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ms-office.activeX" PartName="/xl/activeX/activeX1.bin"/>
  <Override ContentType="application/vnd.ms-office.activeX+xml" PartName="/xl/activeX/activeX1.xml"/>
  <Override ContentType="application/vnd.ms-office.activeX" PartName="/xl/activeX/activeX2.bin"/>
  <Override ContentType="application/vnd.ms-office.activeX+xml" PartName="/xl/activeX/activeX2.xml"/>
  <Override ContentType="application/vnd.ms-office.activeX" PartName="/xl/activeX/activeX3.bin"/>
  <Override ContentType="application/vnd.ms-office.activeX+xml" PartName="/xl/activeX/activeX3.xml"/>
  <Override ContentType="application/vnd.ms-office.activeX" PartName="/xl/activeX/activeX4.bin"/>
  <Override ContentType="application/vnd.ms-office.activeX+xml" PartName="/xl/activeX/activeX4.xml"/>
  <Override ContentType="application/vnd.ms-office.activeX" PartName="/xl/activeX/activeX5.bin"/>
  <Override ContentType="application/vnd.ms-office.activeX+xml" PartName="/xl/activeX/activeX5.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315" windowWidth="18720" windowHeight="7695"/>
  </bookViews>
  <sheets>
    <sheet name="ImportantDisclosures" sheetId="40" r:id="rId1"/>
    <sheet name="Portfolio Manager's Snapshot" sheetId="1" r:id="rId2"/>
    <sheet name="Quarterly Model" sheetId="2" r:id="rId3"/>
    <sheet name="Segment Detail" sheetId="3" r:id="rId4"/>
    <sheet name="DCF" sheetId="5" r:id="rId5"/>
    <sheet name="Take Rate Drivers" sheetId="4" r:id="rId6"/>
    <sheet name="PT" sheetId="6" r:id="rId7"/>
    <sheet name="Presentation" sheetId="7" r:id="rId8"/>
    <sheet name="eBay Sensitivity" sheetId="35" r:id="rId9"/>
    <sheet name="IndexInformation" sheetId="41" r:id="rId10"/>
    <sheet name="ModPubIndex" sheetId="42" r:id="rId11"/>
    <sheet name="MW-Cache" sheetId="30" state="veryHidden" r:id="rId12"/>
  </sheets>
  <definedNames>
    <definedName name="__FDS_HYPERLINK_TOGGLE_STATE__" hidden="1">"ON"</definedName>
    <definedName name="__FDS_UNIQUE_RANGE_ID_GENERATOR_COUNTER" hidden="1">1</definedName>
    <definedName name="__FDS_USED_FOR_REUSING_RANGE_IDS_RECYCLE">{2371,2371,2371,2371,2371,2371,2371,2371,2371,2371,2371,2371,2371,2371,2371,2371,2371,2371,2371,2371,2371,2371,2371,2371,2371,2371,2371,2371,2371,2371,2371,2371,2371,2371}</definedName>
    <definedName name="_bdm.066E2DDA26704AC394611645311D8619.edm" localSheetId="1" hidden="1">'Portfolio Manager''s Snapshot'!$B$9:$L$73</definedName>
    <definedName name="_bdm.A09149FEEB6644F6A0FA46B54625C9B2.edm" localSheetId="4" hidden="1">DCF!$B$3:$M$72</definedName>
    <definedName name="_bdm.BA4879D84E8D49878573258B189CD8CB.edm" localSheetId="1" hidden="1">'Portfolio Manager''s Snapshot'!$B$11:$L$73</definedName>
    <definedName name="_bdm.BE27D87FFAE04CC0A4ABB4EA409C5D97.edm" localSheetId="4" hidden="1">DCF!$B$3:$M$78</definedName>
    <definedName name="_bdm.C3AAF8809BEB44A7B215987826283A49.edm" hidden="1">'Portfolio Manager''s Snapshot'!$1:$1048576</definedName>
    <definedName name="_bdm.D5BEA084CC57433298178706A37A6E78.edm" localSheetId="4" hidden="1">DCF!$B$2:$M$78</definedName>
    <definedName name="_Order1" hidden="1">0</definedName>
    <definedName name="_Order1_1" hidden="1">255</definedName>
    <definedName name="_Order2" hidden="1">255</definedName>
    <definedName name="_Regression_Int" hidden="1">1</definedName>
    <definedName name="_Switch">DCF!$B$5</definedName>
    <definedName name="_Toggle">DCF!$A$5</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ccessDatabase" hidden="1">"C:\DATA\Kevin\Kevin's Model.mdb"</definedName>
    <definedName name="actual_start_year">1992</definedName>
    <definedName name="AdditionalInstructions">IndexInformation!$B$42</definedName>
    <definedName name="Address" localSheetId="0">ImportantDisclosures!$A$2:$A$2</definedName>
    <definedName name="admin">1</definedName>
    <definedName name="AllTables">{1}</definedName>
    <definedName name="ANA" localSheetId="10">ModPubIndex!$A$7</definedName>
    <definedName name="anscount" hidden="1">1</definedName>
    <definedName name="AS2DocOpenMode" hidden="1">"AS2DocumentEdit"</definedName>
    <definedName name="AssetsCurrentDeferredIncomeTaxes">0</definedName>
    <definedName name="AssetsCurrentShortTermInvestments">0</definedName>
    <definedName name="AssetsIntangiblesAccumulatedAmortization">0</definedName>
    <definedName name="AssetsIntangiblesGross">0</definedName>
    <definedName name="AssetsOtherAccumulatedAmortization">0</definedName>
    <definedName name="AssetsOtherGross">0</definedName>
    <definedName name="AssetsOtherNet">0</definedName>
    <definedName name="Authors" localSheetId="0">ImportantDisclosures!$A$7</definedName>
    <definedName name="Authors" localSheetId="9">IndexInformation!$B$18</definedName>
    <definedName name="BRO" localSheetId="10">ModPubIndex!$A$1</definedName>
    <definedName name="case_num">1</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4E6EA1E_opts" hidden="1">"1, 9, 1, False, 2, False, False, , 0, False, False, 1, 2"</definedName>
    <definedName name="cb_sChart14E6EB91_opts" hidden="1">"1, 9, 1, False, 2, False, False, , 0, False, False, 1, 1"</definedName>
    <definedName name="cb_sChart14E6ED99_opts" hidden="1">"1, 9, 1, False, 2, False, False, , 0, False, False, 1, 1"</definedName>
    <definedName name="cb_sChart14E6F3EE_opts" hidden="1">"1, 9, 1, False, 2, False, False, , 0, False, False, 1, 1"</definedName>
    <definedName name="cb_sChart14E81502_opts" hidden="1">"1, 9, 1, False, 2, False, False, , 0, False, False, 1, 2"</definedName>
    <definedName name="cb_sChart14E81DF6_opts" hidden="1">"1, 9, 1, False, 2, False, False, , 0, False, False, 1, 2"</definedName>
    <definedName name="cb_sChart14E82800_opts" hidden="1">"1, 9, 1, False, 2, False, False, , 0, False, False, 1, 2"</definedName>
    <definedName name="cb_sChart14E83288_opts" hidden="1">"1, 9, 1, False, 2, False, False, , 0, False, False, 1, 2"</definedName>
    <definedName name="cb_sChart14E8F629_opts" hidden="1">"1, 9, 1, False, 2, False, False, , 0, False, False, 1, 2"</definedName>
    <definedName name="cb_sChart14F787E8_opts" hidden="1">"1, 9, 1, False, 2, False, False, , 0, False, False, 1, 2"</definedName>
    <definedName name="cb_sChart14F7947A_opts" hidden="1">"1, 9, 1, False, 2, False, False, , 0, False, False, 1, 2"</definedName>
    <definedName name="cb_sChart14F79A09_opts" hidden="1">"1, 9, 1, False, 2, False, False, , 0, False, False, 1, 2"</definedName>
    <definedName name="cb_sChart14FA60AB_opts" hidden="1">"1, 9, 1, False, 2, False, False, , 0, False, False, 1, 2"</definedName>
    <definedName name="cb_sChart14FA650D_opts" hidden="1">"1, 9, 1, False, 2, False, False, , 0, False, False, 1, 2"</definedName>
    <definedName name="cb_sChart1501ACE3_opts" hidden="1">"1, 8, 1, False, 2, False, False, , 0, False, False, 1, 2"</definedName>
    <definedName name="cb_sChart1501AEF7_opts" hidden="1">"1, 9, 1, False, 2, False, False, , 0, False, False, 1, 2"</definedName>
    <definedName name="cb_sChart1501DCE6_opts" hidden="1">"1, 9, 1, False, 2, False, False, , 0, False, False, 1, 2"</definedName>
    <definedName name="cb_sChart1501EF92_opts" hidden="1">"1, 9, 1, False, 2, False, False, , 0, False, False, 1, 2"</definedName>
    <definedName name="cb_sChart1501F8CB_opts" hidden="1">"1, 9, 1, False, 2, False, False, , 0, False, False, 1, 2"</definedName>
    <definedName name="cb_sChart150208AA_opts" hidden="1">"1, 9, 1, False, 2, False, False, , 0, False, False, 1, 2"</definedName>
    <definedName name="cb_sChart15020EC4_opts" hidden="1">"1, 9, 1, False, 2, False, False, , 0, False, False, 1, 2"</definedName>
    <definedName name="cb_sChart150212BF_opts" hidden="1">"1, 9, 1, False, 2, False, False, , 0, False, False, 1, 2"</definedName>
    <definedName name="cb_sChart15021F68_opts" hidden="1">"1, 9, 1, False, 2, False, False, , 0, False, False, 1, 1"</definedName>
    <definedName name="cb_sChart15022484_opts" hidden="1">"1, 9, 1, False, 2, False, False, , 0, False, False, 1, 2"</definedName>
    <definedName name="cb_sChart150226F5_opts" hidden="1">"1, 9, 1, False, 2, False, False, , 0, False, False, 1, 2"</definedName>
    <definedName name="cb_sChart15144595_opts" hidden="1">"1, 9, 1, False, 2, False, False, , 0, False, False, 1, 2"</definedName>
    <definedName name="cb_sChart15145615_opts" hidden="1">"1, 9, 1, False, 2, False, False, , 0, False, False, 1, 2"</definedName>
    <definedName name="cb_sChart151464B0_opts" hidden="1">"1, 9, 1, False, 2, False, False, , 0, False, False, 1, 2"</definedName>
    <definedName name="cb_sChart15146FA1_opts" hidden="1">"1, 9, 1, False, 2, False, False, , 0, False, False, 1, 2"</definedName>
    <definedName name="cb_sChart15149A94_opts" hidden="1">"1, 9, 1, False, 2, False, False, , 0, False, False, 1, 2"</definedName>
    <definedName name="cb_sChart1514EEC3_opts" hidden="1">"1, 9, 1, False, 2, False, False, , 0, False, False, 1, 2"</definedName>
    <definedName name="cb_sChart1514F2E0_opts" hidden="1">"1, 9, 1, False, 2, False, False, , 0, False, False, 1, 2"</definedName>
    <definedName name="cb_sChart151510A0_opts" hidden="1">"1, 9, 1, False, 2, False, False, , 0, False, False, 1, 2"</definedName>
    <definedName name="cb_sChart15154C37_opts" hidden="1">"1, 9, 1, False, 2, False, False, , 0, False, False, 1, 2"</definedName>
    <definedName name="cb_sChart15157034_opts" hidden="1">"1, 9, 1, False, 2, False, False, , 0, False, False, 1, 2"</definedName>
    <definedName name="cb_sChart1515F81B_opts" hidden="1">"1, 9, 1, False, 2, False, False, , 0, False, False, 1, 2"</definedName>
    <definedName name="cb_sChart1515F9EA_opts" hidden="1">"1, 9, 1, False, 2, False, False, , 0, False, False, 1, 2"</definedName>
    <definedName name="cb_sChart15161029_opts" hidden="1">"1, 9, 1, False, 2, False, False, , 0, False, False, 1, 2"</definedName>
    <definedName name="cb_sChart15163773_opts" hidden="1">"1, 9, 1, False, 2, False, False, , 0, False, False, 1, 2"</definedName>
    <definedName name="cb_sChart15164F8C_opts" hidden="1">"1, 9, 1, False, 2, False, False, , 0, False, False, 1, 2"</definedName>
    <definedName name="cb_sChart15165265_opts" hidden="1">"1, 9, 1, False, 2, False, False, , 0, False, False, 1, 2"</definedName>
    <definedName name="cb_sChart15166173_opts" hidden="1">"1, 9, 1, False, 2, False, False, , 0, False, False, 1, 2"</definedName>
    <definedName name="cb_sChart1516A84C_opts" hidden="1">"1, 9, 1, False, 2, False, False, , 0, False, False, 1, 2"</definedName>
    <definedName name="cb_sChart155036A2_opts" hidden="1">"1, 1, 1, False, 2, True, False, , 0, False, False, 1, 1"</definedName>
    <definedName name="cb_sChart16EBA7BA_opts" hidden="1">"1, 1, 1, False, 2, True, False, , 0, False, True, 1,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9EB7A17_opts" hidden="1">"1, 3, 1, False, 2, False, False, , 0, False, True, 1, 1"</definedName>
    <definedName name="cb_sChart19EB7D70_opts" hidden="1">"1, 5, 1, False, 2, False, False, , 0, False, True, 1, 1"</definedName>
    <definedName name="cb_sChart19EB7F61_opts" hidden="1">"1, 3, 1, False, 2, False, False, , 0, False, True, 1,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hart">"Chart 1"</definedName>
    <definedName name="Class_B">68.45</definedName>
    <definedName name="cm">1</definedName>
    <definedName name="CopyrightStamp">ImportantDisclosures!$A$29</definedName>
    <definedName name="COU" localSheetId="10">ModPubIndex!$A$5</definedName>
    <definedName name="CQEnd" localSheetId="9">IndexInformation!$B$31</definedName>
    <definedName name="cu102.ShareScalingFactor" hidden="1">1000000</definedName>
    <definedName name="cu103.EmployeeScalingFactor" hidden="1">1000</definedName>
    <definedName name="cu107.DPSSymbol" hidden="1">"US$"</definedName>
    <definedName name="cu107.EPSSymbol" hidden="1">"US$"</definedName>
    <definedName name="cu71.ScalingFactor" hidden="1">1000000</definedName>
    <definedName name="cu71.ScalingFactor_1" hidden="1">1000</definedName>
    <definedName name="Currency" localSheetId="9">IndexInformation!$B$24</definedName>
    <definedName name="CurrentStockPrice" localSheetId="9">IndexInformation!$B$23</definedName>
    <definedName name="CurrQtrEPS" localSheetId="9">IndexInformation!$B$29</definedName>
    <definedName name="CurrYearEPS" localSheetId="9">IndexInformation!$B$11</definedName>
    <definedName name="CurrYearTotalRevenue" localSheetId="9">IndexInformation!$B$10</definedName>
    <definedName name="CurrYearTotalRevenueActual" localSheetId="9">IndexInformation!$B$32</definedName>
    <definedName name="CUSIP" localSheetId="9">IndexInformation!$B$20</definedName>
    <definedName name="CYEnd" localSheetId="9">IndexInformation!$B$30</definedName>
    <definedName name="Date" localSheetId="0">ImportantDisclosures!$A$8</definedName>
    <definedName name="DB">"WIRENYPROD"</definedName>
    <definedName name="dd">{"Jan","Feb","Mar","Apr","May","Jun","Jul","Aug","Sep","Oct","Nov","Dec";"January","February","March","April","May","June","July","August","September","October","November","December"}</definedName>
    <definedName name="Deleted" localSheetId="9">IndexInformation!$B$27</definedName>
    <definedName name="Description" localSheetId="9">IndexInformation!$B$7</definedName>
    <definedName name="DEVELOPMENT">5</definedName>
    <definedName name="Discipline" localSheetId="9">IndexInformation!$B$3</definedName>
    <definedName name="DISCIPLINE" localSheetId="10">ModPubIndex!$A$12</definedName>
    <definedName name="DisclosuresText">ImportantDisclosures!$A$24</definedName>
    <definedName name="Distribution" localSheetId="9">IndexInformation!$B$26</definedName>
    <definedName name="DistTable" localSheetId="0">ImportantDisclosures!#REF!</definedName>
    <definedName name="DistTablePreamble" localSheetId="0">ImportantDisclosures!#REF!</definedName>
    <definedName name="DOCDAT" localSheetId="10">ModPubIndex!$A$2</definedName>
    <definedName name="DOCTIME" localSheetId="10">ModPubIndex!$A$3</definedName>
    <definedName name="DocType" localSheetId="9">IndexInformation!$B$5</definedName>
    <definedName name="EMAIL_ALERT" localSheetId="10">ModPubIndex!$A$10</definedName>
    <definedName name="EmailAlert" localSheetId="9">IndexInformation!$B$28</definedName>
    <definedName name="EquityAdjustments">0</definedName>
    <definedName name="EquityEmployeeStockOwnershipPlan">0</definedName>
    <definedName name="EquityPaidInCapital">0</definedName>
    <definedName name="EquityTreasuryStock">0</definedName>
    <definedName name="Eric" hidden="1">{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definedName>
    <definedName name="ethg" hidden="1">{"'RCIM'!$E$128"}</definedName>
    <definedName name="ev.Calculation" hidden="1">2</definedName>
    <definedName name="ev.Initialized" hidden="1">FALSE</definedName>
    <definedName name="Exch">" Sheet2!$F$2"</definedName>
    <definedName name="F2012_" localSheetId="2">'Quarterly Model'!$AK:$AK</definedName>
    <definedName name="FC_Balance_Q" localSheetId="2">'Quarterly Model'!$B$216</definedName>
    <definedName name="FC_DCF">DCF!$B$1</definedName>
    <definedName name="FC_Revenue" localSheetId="3">'Segment Detail'!$B$1</definedName>
    <definedName name="FiveYearGrowthRate" localSheetId="9">IndexInformation!$B$16</definedName>
    <definedName name="FollowingYearEPS" localSheetId="9">IndexInformation!$B$15</definedName>
    <definedName name="FollowingYearTotalRevenue" localSheetId="9">IndexInformation!$B$14</definedName>
    <definedName name="FollowingYearTotalRevenueActual" localSheetId="9">IndexInformation!$B$34</definedName>
    <definedName name="Goodwill_Amortization">25</definedName>
    <definedName name="GWyears">40</definedName>
    <definedName name="help" hidden="1">{"'RCIM'!$E$128"}</definedName>
    <definedName name="HL" localSheetId="10">ModPubIndex!$A$8</definedName>
    <definedName name="hn.ExtDb" hidden="1">FALSE</definedName>
    <definedName name="hn.ModelType" hidden="1">"DEAL"</definedName>
    <definedName name="hn.ModelVersion" hidden="1">1</definedName>
    <definedName name="hn.NoUpload" hidden="1">0</definedName>
    <definedName name="hn.Version">"Version 2.14"</definedName>
    <definedName name="HTML_CodePage" hidden="1">936</definedName>
    <definedName name="HTML_Control" hidden="1">{"'Asm'!$E$1:$AX$53"}</definedName>
    <definedName name="HTML_Description" hidden="1">"lin zijian"</definedName>
    <definedName name="HTML_Email" hidden="1">""</definedName>
    <definedName name="HTML_Header" hidden="1">"现金流量表（全部投资）"</definedName>
    <definedName name="HTML_LastUpdate" hidden="1">"10/12/98"</definedName>
    <definedName name="HTML_LineAfter" hidden="1">TRUE</definedName>
    <definedName name="HTML_LineBefore" hidden="1">FALSE</definedName>
    <definedName name="HTML_Name" hidden="1">"linzijia"</definedName>
    <definedName name="HTML_OBDlg2" hidden="1">TRUE</definedName>
    <definedName name="HTML_OBDlg4" hidden="1">TRUE</definedName>
    <definedName name="HTML_OS" hidden="1">0</definedName>
    <definedName name="HTML_PathFile" hidden="1">"C:\lin\bk\MyHTML.htm"</definedName>
    <definedName name="HTML_Title" hidden="1">"PlanRpts220"</definedName>
    <definedName name="HTML1_10" hidden="1">""</definedName>
    <definedName name="HTML1_11" hidden="1">1</definedName>
    <definedName name="HTML1_12" hidden="1">"F:\USERS\ECON\Census95\Int\T9ST.htm"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"2/17/98"</definedName>
    <definedName name="HTML1_9" hidden="1">"BPH"</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Count" hidden="1">3</definedName>
    <definedName name="IncomeEPSFullyDiluted">0</definedName>
    <definedName name="IncomeEPSPrimary">0</definedName>
    <definedName name="IncomeEPSRegular">0</definedName>
    <definedName name="IND" localSheetId="10">ModPubIndex!$A$9</definedName>
    <definedName name="Industry" localSheetId="0">ImportantDisclosures!$A$12</definedName>
    <definedName name="IndustryId">IndexInformation!$B$40</definedName>
    <definedName name="IndustryRating" localSheetId="0">ImportantDisclosures!$A$13</definedName>
    <definedName name="input">{"0.614608629108408";"0.089";"0.07";"0.036";"0.09";"0.39";"0.177761404547907";"0.116071428571429";"0.708";"0.0556964285714285";"0.127160714285714"}</definedName>
    <definedName name="Int_exp">8%</definedName>
    <definedName name="IsColHidden" hidden="1">FALSE</definedName>
    <definedName name="IsLTMColHidden" hidden="1">FALSE</definedName>
    <definedName name="jhiuh" hidden="1">{"'RCIM'!$E$128"}</definedName>
    <definedName name="joimnf" hidden="1">{"'RCIM'!$E$128"}</definedName>
    <definedName name="KeepVersions" localSheetId="9">IndexInformation!$B$8</definedName>
    <definedName name="kw" hidden="1">{"fdsup://Directions/FactSet Auditing Viewer?action=AUDIT_VALUE&amp;DB=129&amp;ID1=03783310&amp;VALUEID=02001&amp;SDATE=2009&amp;PERIODTYPE=ANN_STD&amp;window=popup_no_bar&amp;width=385&amp;height=120&amp;START_MAXIMIZED=FALSE&amp;creator=factset&amp;display_string=Audit"}</definedName>
    <definedName name="LanguageCode">IndexInformation!$B$38</definedName>
    <definedName name="LastCell" localSheetId="0">ImportantDisclosures!$A$24</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nking_1">Presentation!$B$4:$AZ$66</definedName>
    <definedName name="Linking_10">DCF!$B$5:$R$90</definedName>
    <definedName name="Linking_11">Presentation!$B$4:$AK$66</definedName>
    <definedName name="Linking_12">Presentation!$B$68:$AK$117</definedName>
    <definedName name="Linking_13">Presentation!$B$120:$AK$157</definedName>
    <definedName name="Linking_14">DCF!$B$5:$R$91</definedName>
    <definedName name="Linking_2">Presentation!$B$7:$AF$66</definedName>
    <definedName name="Linking_25">Presentation!$B$120:$AZ$157</definedName>
    <definedName name="Linking_26">'eBay Sensitivity'!$C$46:$I$53</definedName>
    <definedName name="Linking_3">Presentation!$B$68:$AF$117</definedName>
    <definedName name="Linking_31">Presentation!$B$4:$AU$66</definedName>
    <definedName name="Linking_32">Presentation!$B$68:$AU$117</definedName>
    <definedName name="Linking_33">Presentation!$B$120:$AU$157</definedName>
    <definedName name="Linking_4">Presentation!$B$120:$AF$157</definedName>
    <definedName name="Linking_46">#N/A</definedName>
    <definedName name="Linking_47">#N/A</definedName>
    <definedName name="Linking_48">#N/A</definedName>
    <definedName name="Linking_49">3.8878</definedName>
    <definedName name="Linking_5">Presentation!$B$4:$AF$66</definedName>
    <definedName name="Linking_56" localSheetId="8">'eBay Sensitivity'!$C$46:$I$56</definedName>
    <definedName name="Linking_57" localSheetId="8">'eBay Sensitivity'!$C$45:$I$56</definedName>
    <definedName name="Linking_6">PT!$B$34:$H$43</definedName>
    <definedName name="Linking_7">PT!$B$34:$D$44</definedName>
    <definedName name="Linking_8">PT!$B$8:$D$20</definedName>
    <definedName name="Linking_9">Presentation!$B$68:$AZ$117</definedName>
    <definedName name="Linking_Range_10">'Portfolio Manager''s Snapshot'!$B$11:$L$59</definedName>
    <definedName name="Linking_Range_21">DCF!$B$2:$R$90</definedName>
    <definedName name="Linking_Range_22">DCF!$E$80:$I$90</definedName>
    <definedName name="Linking_Range_23">DCF!$K$80:$R$89</definedName>
    <definedName name="Linking_Range_45">DCF!$K$82:$Q$88</definedName>
    <definedName name="Linking_Range_50">DCF!$B$3:$R$90</definedName>
    <definedName name="Linking_Range_52">'Portfolio Manager''s Snapshot'!$B$11:$L$44</definedName>
    <definedName name="Linking_Range_8">DCF!$B$3:$Q$89</definedName>
    <definedName name="MacroVersion" localSheetId="9">IndexInformation!$B$1</definedName>
    <definedName name="mfpoerjf" hidden="1">{"'RCIM'!$E$128"}</definedName>
    <definedName name="misc">1</definedName>
    <definedName name="misc2">1</definedName>
    <definedName name="ModelPrice" localSheetId="0">ImportantDisclosures!$A$14</definedName>
    <definedName name="MonthNames">{"Jan","Feb","Mar","Apr","May","Jun","Jul","Aug","Sep","Oct","Nov","Dec";"January","February","March","April","May","June","July","August","September","October","November","December"}</definedName>
    <definedName name="Multiplier" localSheetId="9">IndexInformation!$B$35</definedName>
    <definedName name="mvropemld" hidden="1">{"'RCIM'!$E$128"}</definedName>
    <definedName name="ncowe" hidden="1">{"'RCIM'!$E$128"}</definedName>
    <definedName name="NextYearEPS" localSheetId="9">IndexInformation!$B$13</definedName>
    <definedName name="NextYearTotalRevenue" localSheetId="9">IndexInformation!$B$12</definedName>
    <definedName name="NextYearTotalRevenueActual" localSheetId="9">IndexInformation!$B$33</definedName>
    <definedName name="Normalized_Income_Statement">"IS_Annual"</definedName>
    <definedName name="NvsASD">"V2000-09-08"</definedName>
    <definedName name="NvsAutoDrillOk">"VN"</definedName>
    <definedName name="NvsElapsedTime">0.000234143517445773</definedName>
    <definedName name="NvsEndTime">36707.2948738426</definedName>
    <definedName name="NvsInstSpec">"%,FMI_ALT_BU,TCA_ALTBU_CORPS,NCONSOLIDATING"</definedName>
    <definedName name="NvsLayoutType">"M3"</definedName>
    <definedName name="NvsNplSpec">"%,X,RZF..,CZF.."</definedName>
    <definedName name="NvsPanelEffdt">"V9999-01-01"</definedName>
    <definedName name="NvsPanelSetid">"VMIDIV"</definedName>
    <definedName name="NvsReqBU">"V52"</definedName>
    <definedName name="NvsReqBUOnly">"VN"</definedName>
    <definedName name="NvsTransLed">"VN"</definedName>
    <definedName name="NvsTreeASD">"V2000-09-08"</definedName>
    <definedName name="NvsValTbl.PRODUCT">"MI_GL_PRODCT_VW"</definedName>
    <definedName name="ObjectType">IndexInformation!$B$37</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ExEquityIncome">0</definedName>
    <definedName name="OtherExGainOnSale">0</definedName>
    <definedName name="OtherExInterestIncome">0</definedName>
    <definedName name="OtherExMinorityInterest">0</definedName>
    <definedName name="OtherExTotal">0</definedName>
    <definedName name="PA_Balance_Q" localSheetId="2">'Quarterly Model'!$B$216:$B$269</definedName>
    <definedName name="PA_Cash_Q" localSheetId="2">'Quarterly Model'!$B$156:$B$206</definedName>
    <definedName name="PA_DCF">DCF!$B$1:$R$119</definedName>
    <definedName name="PA_Income_Q" localSheetId="2">'Quarterly Model'!$B$1:$B$144</definedName>
    <definedName name="PA_Revenue" localSheetId="3">'Segment Detail'!$B$1:$B$56</definedName>
    <definedName name="PANA" localSheetId="10">ModPubIndex!$A$11</definedName>
    <definedName name="PathName" localSheetId="9">IndexInformation!$B$25</definedName>
    <definedName name="pbStartPageNumber">1</definedName>
    <definedName name="Pdate">35902</definedName>
    <definedName name="perc">{"0.85","0.875","0.9","0.925","0.95","0.975","1","1.025","1.05","1.075","1.1","1.125","1.15"}</definedName>
    <definedName name="pooling_Premium">25%</definedName>
    <definedName name="price_date">36098</definedName>
    <definedName name="_xlnm.Print_Area">"Formula removed, name can be deleted."</definedName>
    <definedName name="PRODUCT" localSheetId="10">ModPubIndex!$A$6</definedName>
    <definedName name="ProjectName">{"Client Name or Project Name"}</definedName>
    <definedName name="PSYM" localSheetId="10">ModPubIndex!$A$4</definedName>
    <definedName name="PUB_UserID" hidden="1">"MAYERX"</definedName>
    <definedName name="PublishDate" localSheetId="9">IndexInformation!$B$2</definedName>
    <definedName name="Purchase_Premium_A">25%</definedName>
    <definedName name="Purchase_Premium_B">0.25</definedName>
    <definedName name="Rating" localSheetId="9">IndexInformation!$B$9</definedName>
    <definedName name="RatingsDefined" localSheetId="0">ImportantDisclosures!$A$21</definedName>
    <definedName name="RatingsDefs" localSheetId="0">ImportantDisclosures!#REF!</definedName>
    <definedName name="redux">1</definedName>
    <definedName name="RegACDisclosure" localSheetId="0">ImportantDisclosures!#REF!</definedName>
    <definedName name="ResearchTopic" localSheetId="9">IndexInformation!$B$4</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IC" localSheetId="9">IndexInformation!$B$21</definedName>
    <definedName name="rrrrrrrr" hidden="1">{"'RCIM'!$E$128"}</definedName>
    <definedName name="s" hidden="1">{"fdsup://directions/FAT Viewer?action=UPDATE&amp;creator=factset&amp;DYN_ARGS=TRUE&amp;DOC_NAME=FAT:FQL_AUDITING_CLIENT_TEMPLATE.FAT&amp;display_string=Audit&amp;VAR:KEY=RKDEZSTGJQ&amp;VAR:QUERY=RkZfRU5UUlBSX1ZBTF9EQUlMWShOT1csLCwsVVNELCdESUwnKQ==&amp;WINDOW=FIRST_POPUP&amp;HEIGHT=450&amp;WI","DTH=450&amp;START_MAXIMIZED=FALSE&amp;VAR:CALENDAR=US&amp;VAR:SYMBOL=CSGS&amp;VAR:INDEX=0"}</definedName>
    <definedName name="sad" localSheetId="8">#N/A</definedName>
    <definedName name="sad">[0]!sad</definedName>
    <definedName name="SAPFuncF4Help" localSheetId="8" hidden="1">Main.SAPF4Help()</definedName>
    <definedName name="SAPFuncF4Help" hidden="1">Main.SAPF4Help()</definedName>
    <definedName name="SECSettlement" localSheetId="0">ImportantDisclosures!#REF!</definedName>
    <definedName name="SEDOL" localSheetId="9">IndexInformation!$B$22</definedName>
    <definedName name="sencount" hidden="1">1</definedName>
    <definedName name="seniorRate">"SrRate"</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olver_lin" hidden="1">0</definedName>
    <definedName name="solver_num" hidden="1">0</definedName>
    <definedName name="solver_typ" hidden="1">3</definedName>
    <definedName name="solver_val" hidden="1">0.1076</definedName>
    <definedName name="SourceDefined" localSheetId="0">ImportantDisclosures!$A$19</definedName>
    <definedName name="spebdy" hidden="1">{"'RCIM'!$E$128"}</definedName>
    <definedName name="SPWS_WBID">"F1754E3C-8B33-11D3-B915-000086369788"</definedName>
    <definedName name="SrRate">"SrRating"</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ockRating" localSheetId="0">ImportantDisclosures!$A$11</definedName>
    <definedName name="SubjectCode" localSheetId="9">IndexInformation!$B$6</definedName>
    <definedName name="SubmitterUserId">IndexInformation!$B$39</definedName>
    <definedName name="SUPPRESSED" localSheetId="10">ModPubIndex!$A$13</definedName>
    <definedName name="Target_Net_Debt">"targ_netdebt"</definedName>
    <definedName name="TargetPrice" localSheetId="0">ImportantDisclosures!$A$15</definedName>
    <definedName name="tax_rate">38%</definedName>
    <definedName name="Template.WIRE">"DBACCESS"</definedName>
    <definedName name="TemplateRegion">IndexInformation!$B$36</definedName>
    <definedName name="This_Year">"1998E"</definedName>
    <definedName name="Ticker" localSheetId="0">ImportantDisclosures!$A$10</definedName>
    <definedName name="TickerRegion">IndexInformation!$B$41</definedName>
    <definedName name="Tickers" localSheetId="9">IndexInformation!$B$19</definedName>
    <definedName name="Total_Fair_Market_Value_Per_Share">"dcfval03"</definedName>
    <definedName name="UpdateReason" localSheetId="9">IndexInformation!$B$17</definedName>
    <definedName name="USRegDisclosures" localSheetId="0">ImportantDisclosures!#REF!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Version.WIRE">1</definedName>
    <definedName name="wrn.OUTPUT." hidden="1">{"DCF","UPSIDE CASE",FALSE,"Sheet1";"DCF","BASE CASE",FALSE,"Sheet1";"DCF","DOWNSIDE CASE",FALSE,"Sheet1"}</definedName>
    <definedName name="Year_End">1988</definedName>
    <definedName name="YrEnd_FFr_USD">0.1767</definedName>
  </definedNames>
  <calcPr calcId="145621"/>
</workbook>
</file>

<file path=xl/calcChain.xml><?xml version="1.0" encoding="utf-8"?>
<calcChain xmlns="http://schemas.openxmlformats.org/spreadsheetml/2006/main">
  <c r="O13" i="35" l="1"/>
  <c r="O15" i="35"/>
  <c r="C86" i="5"/>
  <c r="BO203" i="2" l="1"/>
  <c r="BK204" i="2"/>
  <c r="BI251" i="2" l="1"/>
  <c r="BI254" i="2" s="1"/>
  <c r="BH251" i="2"/>
  <c r="BH254" i="2" s="1"/>
  <c r="BG251" i="2"/>
  <c r="BG254" i="2" s="1"/>
  <c r="BF251" i="2"/>
  <c r="BF254" i="2" s="1"/>
  <c r="BG246" i="2"/>
  <c r="BH246" i="2" s="1"/>
  <c r="BI246" i="2" s="1"/>
  <c r="BF246" i="2"/>
  <c r="BI243" i="2"/>
  <c r="BI247" i="2" s="1"/>
  <c r="BI255" i="2" s="1"/>
  <c r="BH243" i="2"/>
  <c r="BH247" i="2" s="1"/>
  <c r="BG243" i="2"/>
  <c r="BG247" i="2" s="1"/>
  <c r="BI228" i="2"/>
  <c r="BI235" i="2" s="1"/>
  <c r="BI256" i="2" s="1"/>
  <c r="BH228" i="2"/>
  <c r="BH235" i="2" s="1"/>
  <c r="BG228" i="2"/>
  <c r="BG235" i="2" s="1"/>
  <c r="BF228" i="2"/>
  <c r="BF235" i="2" s="1"/>
  <c r="BI218" i="2"/>
  <c r="BH218" i="2"/>
  <c r="BG218" i="2"/>
  <c r="BF218" i="2"/>
  <c r="BH208" i="2"/>
  <c r="BH211" i="2" s="1"/>
  <c r="BH212" i="2" s="1"/>
  <c r="BF198" i="2"/>
  <c r="BH197" i="2"/>
  <c r="BI197" i="2" s="1"/>
  <c r="BI198" i="2" s="1"/>
  <c r="BG197" i="2"/>
  <c r="BG198" i="2" s="1"/>
  <c r="BI186" i="2"/>
  <c r="BH186" i="2"/>
  <c r="BG186" i="2"/>
  <c r="BF186" i="2"/>
  <c r="BH177" i="2"/>
  <c r="BG177" i="2"/>
  <c r="BG208" i="2" s="1"/>
  <c r="BF177" i="2"/>
  <c r="BF208" i="2" s="1"/>
  <c r="BI167" i="2"/>
  <c r="BI177" i="2" s="1"/>
  <c r="BF211" i="2" l="1"/>
  <c r="BF212" i="2" s="1"/>
  <c r="BG211" i="2"/>
  <c r="BG212" i="2" s="1"/>
  <c r="BH255" i="2"/>
  <c r="BH256" i="2" s="1"/>
  <c r="BI208" i="2"/>
  <c r="BI200" i="2"/>
  <c r="BG255" i="2"/>
  <c r="BG256" i="2" s="1"/>
  <c r="BH198" i="2"/>
  <c r="BH200" i="2" s="1"/>
  <c r="BG200" i="2"/>
  <c r="BF200" i="2"/>
  <c r="BI211" i="2" l="1"/>
  <c r="BI212" i="2" s="1"/>
  <c r="BL163" i="2"/>
  <c r="BK251" i="2" l="1"/>
  <c r="BL250" i="2"/>
  <c r="BP10" i="3" l="1"/>
  <c r="BP53" i="3"/>
  <c r="BN53" i="3"/>
  <c r="BM53" i="3"/>
  <c r="BN96" i="2"/>
  <c r="BN102" i="2"/>
  <c r="BM102" i="2"/>
  <c r="BM10" i="3"/>
  <c r="BN10" i="3"/>
  <c r="BM32" i="3"/>
  <c r="BK67" i="2"/>
  <c r="BN185" i="3"/>
  <c r="BM185" i="3"/>
  <c r="BK10" i="4" l="1"/>
  <c r="BK9" i="4"/>
  <c r="BK65" i="2"/>
  <c r="BK104" i="3" l="1"/>
  <c r="BL242" i="2" l="1"/>
  <c r="BL226" i="2"/>
  <c r="CD224" i="2"/>
  <c r="BY224" i="2"/>
  <c r="CD167" i="2"/>
  <c r="BY167" i="2"/>
  <c r="BT167" i="2"/>
  <c r="BO167" i="2"/>
  <c r="BL224" i="2"/>
  <c r="BM185" i="2" s="1"/>
  <c r="BM224" i="2" l="1"/>
  <c r="BN224" i="2" s="1"/>
  <c r="BO224" i="2" s="1"/>
  <c r="BP224" i="2" s="1"/>
  <c r="BQ224" i="2" s="1"/>
  <c r="BR224" i="2" s="1"/>
  <c r="BS224" i="2" s="1"/>
  <c r="BT224" i="2" s="1"/>
  <c r="BK271" i="2"/>
  <c r="BK259" i="2"/>
  <c r="BK167" i="2"/>
  <c r="BK101" i="2"/>
  <c r="BK72" i="2"/>
  <c r="BK58" i="2"/>
  <c r="BK51" i="2"/>
  <c r="BK44" i="2"/>
  <c r="BK37" i="2"/>
  <c r="BK260" i="2" l="1"/>
  <c r="BI131" i="3"/>
  <c r="BI129" i="3"/>
  <c r="BI161" i="3"/>
  <c r="BK25" i="3"/>
  <c r="BI65" i="2"/>
  <c r="BI44" i="2"/>
  <c r="BK81" i="2"/>
  <c r="BK66" i="2"/>
  <c r="BK73" i="2"/>
  <c r="BK59" i="2"/>
  <c r="BK52" i="2"/>
  <c r="BK45" i="2" l="1"/>
  <c r="BK38" i="2"/>
  <c r="BP41" i="2" s="1"/>
  <c r="BK27" i="2" l="1"/>
  <c r="BK26" i="2"/>
  <c r="BK20" i="2"/>
  <c r="BK19" i="2"/>
  <c r="BK152" i="3" l="1"/>
  <c r="BK161" i="3"/>
  <c r="BK170" i="3"/>
  <c r="BK77" i="3"/>
  <c r="BK75" i="3"/>
  <c r="BK71" i="3"/>
  <c r="BK69" i="3"/>
  <c r="BK50" i="3"/>
  <c r="BK7" i="3"/>
  <c r="AZ293" i="3" l="1"/>
  <c r="AZ289" i="3"/>
  <c r="BE293" i="3"/>
  <c r="BE289" i="3"/>
  <c r="BJ293" i="3"/>
  <c r="BJ289" i="3"/>
  <c r="BI77" i="3" l="1"/>
  <c r="BL68" i="3" l="1"/>
  <c r="BM68" i="3" s="1"/>
  <c r="BN68" i="3" s="1"/>
  <c r="L13" i="35" l="1"/>
  <c r="I13" i="35"/>
  <c r="F13" i="35"/>
  <c r="D50" i="35" l="1"/>
  <c r="D51" i="35" s="1"/>
  <c r="D52" i="35" s="1"/>
  <c r="D49" i="35"/>
  <c r="F47" i="35" l="1"/>
  <c r="G47" i="35" s="1"/>
  <c r="H47" i="35" s="1"/>
  <c r="I47" i="35" s="1"/>
  <c r="AB54" i="35"/>
  <c r="AE33" i="35"/>
  <c r="F39" i="35" l="1"/>
  <c r="F41" i="35"/>
  <c r="C43" i="35"/>
  <c r="D43" i="35"/>
  <c r="F43" i="35" l="1"/>
  <c r="BH10" i="4" l="1"/>
  <c r="BI10" i="4"/>
  <c r="BH9" i="4"/>
  <c r="BI9" i="4"/>
  <c r="BI122" i="2" l="1"/>
  <c r="BZ10" i="3" l="1"/>
  <c r="BW10" i="3"/>
  <c r="BI150" i="2" l="1"/>
  <c r="BG271" i="2"/>
  <c r="BH271" i="2"/>
  <c r="BI120" i="2" l="1"/>
  <c r="BI101" i="2"/>
  <c r="BI11" i="2"/>
  <c r="BI37" i="2"/>
  <c r="BI51" i="2"/>
  <c r="BI58" i="2"/>
  <c r="BI72" i="2"/>
  <c r="BI26" i="2"/>
  <c r="BI27" i="2"/>
  <c r="BQ10" i="3" l="1"/>
  <c r="BR10" i="3" s="1"/>
  <c r="BS10" i="3" s="1"/>
  <c r="BM18" i="3"/>
  <c r="BN18" i="3" s="1"/>
  <c r="BI25" i="3"/>
  <c r="BJ224" i="2"/>
  <c r="AZ68" i="3"/>
  <c r="BI19" i="2"/>
  <c r="BI20" i="2"/>
  <c r="BJ98" i="3" l="1"/>
  <c r="BI100" i="3"/>
  <c r="BI69" i="3"/>
  <c r="BI71" i="3"/>
  <c r="BI75" i="3"/>
  <c r="BI50" i="3"/>
  <c r="BI46" i="3"/>
  <c r="BI7" i="3"/>
  <c r="BM54" i="3" l="1"/>
  <c r="AU179" i="2" l="1"/>
  <c r="AP179" i="2"/>
  <c r="P157" i="7" l="1"/>
  <c r="O157" i="7"/>
  <c r="N157" i="7"/>
  <c r="M157" i="7"/>
  <c r="K157" i="7"/>
  <c r="J157" i="7"/>
  <c r="I157" i="7"/>
  <c r="H157" i="7"/>
  <c r="G157" i="7"/>
  <c r="F157" i="7"/>
  <c r="E157" i="7"/>
  <c r="D157" i="7"/>
  <c r="C157" i="7"/>
  <c r="B157" i="7"/>
  <c r="P156" i="7"/>
  <c r="O156" i="7"/>
  <c r="N156" i="7"/>
  <c r="M156" i="7"/>
  <c r="K156" i="7"/>
  <c r="J156" i="7"/>
  <c r="I156" i="7"/>
  <c r="H156" i="7"/>
  <c r="G156" i="7"/>
  <c r="F156" i="7"/>
  <c r="E156" i="7"/>
  <c r="D156" i="7"/>
  <c r="C156" i="7"/>
  <c r="B156" i="7"/>
  <c r="AD155" i="7"/>
  <c r="AC155" i="7"/>
  <c r="AB155" i="7"/>
  <c r="Z155" i="7"/>
  <c r="Y155" i="7"/>
  <c r="X155" i="7"/>
  <c r="W155" i="7"/>
  <c r="U155" i="7"/>
  <c r="T155" i="7"/>
  <c r="S155" i="7"/>
  <c r="Q155" i="7"/>
  <c r="P155" i="7"/>
  <c r="O155" i="7"/>
  <c r="N155" i="7"/>
  <c r="M155" i="7"/>
  <c r="L155" i="7"/>
  <c r="K155" i="7"/>
  <c r="J155" i="7"/>
  <c r="I155" i="7"/>
  <c r="H155" i="7"/>
  <c r="G155" i="7"/>
  <c r="F155" i="7"/>
  <c r="E155" i="7"/>
  <c r="D155" i="7"/>
  <c r="C155" i="7"/>
  <c r="B155" i="7"/>
  <c r="AD154" i="7"/>
  <c r="AC154" i="7"/>
  <c r="AB154" i="7"/>
  <c r="Z154" i="7"/>
  <c r="Y154" i="7"/>
  <c r="X154" i="7"/>
  <c r="W154" i="7"/>
  <c r="U154" i="7"/>
  <c r="T154" i="7"/>
  <c r="S154" i="7"/>
  <c r="R154" i="7"/>
  <c r="Q154" i="7"/>
  <c r="P154" i="7"/>
  <c r="O154" i="7"/>
  <c r="N154" i="7"/>
  <c r="M154" i="7"/>
  <c r="L154" i="7"/>
  <c r="K154" i="7"/>
  <c r="J154" i="7"/>
  <c r="I154" i="7"/>
  <c r="H154" i="7"/>
  <c r="G154" i="7"/>
  <c r="F154" i="7"/>
  <c r="E154" i="7"/>
  <c r="D154" i="7"/>
  <c r="C154" i="7"/>
  <c r="B154" i="7"/>
  <c r="U153" i="7"/>
  <c r="T153" i="7"/>
  <c r="S153" i="7"/>
  <c r="R153" i="7"/>
  <c r="Q153" i="7"/>
  <c r="P153" i="7"/>
  <c r="O153" i="7"/>
  <c r="N153" i="7"/>
  <c r="M153" i="7"/>
  <c r="L153" i="7"/>
  <c r="K153" i="7"/>
  <c r="J153" i="7"/>
  <c r="I153" i="7"/>
  <c r="H153" i="7"/>
  <c r="G153" i="7"/>
  <c r="F153" i="7"/>
  <c r="E153" i="7"/>
  <c r="D153" i="7"/>
  <c r="C153" i="7"/>
  <c r="B153" i="7"/>
  <c r="AD152" i="7"/>
  <c r="AC152" i="7"/>
  <c r="AB152" i="7"/>
  <c r="Z152" i="7"/>
  <c r="Y152" i="7"/>
  <c r="X152" i="7"/>
  <c r="W152" i="7"/>
  <c r="U152" i="7"/>
  <c r="T152" i="7"/>
  <c r="S152" i="7"/>
  <c r="R152" i="7"/>
  <c r="Q152" i="7"/>
  <c r="P152" i="7"/>
  <c r="O152" i="7"/>
  <c r="N152" i="7"/>
  <c r="M152" i="7"/>
  <c r="L152" i="7"/>
  <c r="K152" i="7"/>
  <c r="J152" i="7"/>
  <c r="I152" i="7"/>
  <c r="H152" i="7"/>
  <c r="G152" i="7"/>
  <c r="F152" i="7"/>
  <c r="E152" i="7"/>
  <c r="D152" i="7"/>
  <c r="C152" i="7"/>
  <c r="B152" i="7"/>
  <c r="B151" i="7"/>
  <c r="P149" i="7"/>
  <c r="O149" i="7"/>
  <c r="N149" i="7"/>
  <c r="M149" i="7"/>
  <c r="K149" i="7"/>
  <c r="J149" i="7"/>
  <c r="I149" i="7"/>
  <c r="H149" i="7"/>
  <c r="G149" i="7"/>
  <c r="F149" i="7"/>
  <c r="E149" i="7"/>
  <c r="D149" i="7"/>
  <c r="C149" i="7"/>
  <c r="B149" i="7"/>
  <c r="R148" i="7"/>
  <c r="Q148" i="7"/>
  <c r="P148" i="7"/>
  <c r="O148" i="7"/>
  <c r="N148" i="7"/>
  <c r="M148" i="7"/>
  <c r="L148" i="7"/>
  <c r="K148" i="7"/>
  <c r="J148" i="7"/>
  <c r="I148" i="7"/>
  <c r="H148" i="7"/>
  <c r="G148" i="7"/>
  <c r="F148" i="7"/>
  <c r="E148" i="7"/>
  <c r="D148" i="7"/>
  <c r="C148" i="7"/>
  <c r="B148" i="7"/>
  <c r="AD147" i="7"/>
  <c r="AC147" i="7"/>
  <c r="AB147" i="7"/>
  <c r="Z147" i="7"/>
  <c r="Y147" i="7"/>
  <c r="X147" i="7"/>
  <c r="W147" i="7"/>
  <c r="U147" i="7"/>
  <c r="T147" i="7"/>
  <c r="S147" i="7"/>
  <c r="R147" i="7"/>
  <c r="Q147" i="7"/>
  <c r="P147" i="7"/>
  <c r="O147" i="7"/>
  <c r="N147" i="7"/>
  <c r="M147" i="7"/>
  <c r="L147" i="7"/>
  <c r="K147" i="7"/>
  <c r="J147" i="7"/>
  <c r="I147" i="7"/>
  <c r="H147" i="7"/>
  <c r="G147" i="7"/>
  <c r="F147" i="7"/>
  <c r="E147" i="7"/>
  <c r="D147" i="7"/>
  <c r="C147" i="7"/>
  <c r="B147" i="7"/>
  <c r="P145" i="7"/>
  <c r="O145" i="7"/>
  <c r="N145" i="7"/>
  <c r="M145" i="7"/>
  <c r="K145" i="7"/>
  <c r="J145" i="7"/>
  <c r="I145" i="7"/>
  <c r="H145" i="7"/>
  <c r="G145" i="7"/>
  <c r="F145" i="7"/>
  <c r="E145" i="7"/>
  <c r="D145" i="7"/>
  <c r="C145" i="7"/>
  <c r="B145" i="7"/>
  <c r="AD144" i="7"/>
  <c r="AC144" i="7"/>
  <c r="AB144" i="7"/>
  <c r="Z144" i="7"/>
  <c r="Y144" i="7"/>
  <c r="X144" i="7"/>
  <c r="W144" i="7"/>
  <c r="U144" i="7"/>
  <c r="T144" i="7"/>
  <c r="S144" i="7"/>
  <c r="R144" i="7"/>
  <c r="Q144" i="7"/>
  <c r="P144" i="7"/>
  <c r="O144" i="7"/>
  <c r="N144" i="7"/>
  <c r="M144" i="7"/>
  <c r="L144" i="7"/>
  <c r="K144" i="7"/>
  <c r="J144" i="7"/>
  <c r="I144" i="7"/>
  <c r="H144" i="7"/>
  <c r="G144" i="7"/>
  <c r="F144" i="7"/>
  <c r="E144" i="7"/>
  <c r="D144" i="7"/>
  <c r="C144" i="7"/>
  <c r="B144" i="7"/>
  <c r="AD143" i="7"/>
  <c r="AC143" i="7"/>
  <c r="AB143" i="7"/>
  <c r="Z143" i="7"/>
  <c r="Y143" i="7"/>
  <c r="X143" i="7"/>
  <c r="W143" i="7"/>
  <c r="U143" i="7"/>
  <c r="T143" i="7"/>
  <c r="S143" i="7"/>
  <c r="R143" i="7"/>
  <c r="Q143" i="7"/>
  <c r="P143" i="7"/>
  <c r="O143" i="7"/>
  <c r="N143" i="7"/>
  <c r="M143" i="7"/>
  <c r="L143" i="7"/>
  <c r="K143" i="7"/>
  <c r="J143" i="7"/>
  <c r="I143" i="7"/>
  <c r="H143" i="7"/>
  <c r="G143" i="7"/>
  <c r="F143" i="7"/>
  <c r="E143" i="7"/>
  <c r="D143" i="7"/>
  <c r="C143" i="7"/>
  <c r="B143" i="7"/>
  <c r="AD142" i="7"/>
  <c r="AC142" i="7"/>
  <c r="W142" i="7"/>
  <c r="U142" i="7"/>
  <c r="T142" i="7"/>
  <c r="S142" i="7"/>
  <c r="Q142" i="7"/>
  <c r="P142" i="7"/>
  <c r="O142" i="7"/>
  <c r="N142" i="7"/>
  <c r="M142" i="7"/>
  <c r="L142" i="7"/>
  <c r="K142" i="7"/>
  <c r="J142" i="7"/>
  <c r="I142" i="7"/>
  <c r="H142" i="7"/>
  <c r="G142" i="7"/>
  <c r="F142" i="7"/>
  <c r="E142" i="7"/>
  <c r="D142" i="7"/>
  <c r="C142" i="7"/>
  <c r="B142" i="7"/>
  <c r="AD141" i="7"/>
  <c r="AC141" i="7"/>
  <c r="AB141" i="7"/>
  <c r="Z141" i="7"/>
  <c r="Y141" i="7"/>
  <c r="X141" i="7"/>
  <c r="W141" i="7"/>
  <c r="U141" i="7"/>
  <c r="T141" i="7"/>
  <c r="S141" i="7"/>
  <c r="R141" i="7"/>
  <c r="Q141" i="7"/>
  <c r="P141" i="7"/>
  <c r="O141" i="7"/>
  <c r="N141" i="7"/>
  <c r="M141" i="7"/>
  <c r="L141" i="7"/>
  <c r="K141" i="7"/>
  <c r="J141" i="7"/>
  <c r="I141" i="7"/>
  <c r="H141" i="7"/>
  <c r="G141" i="7"/>
  <c r="F141" i="7"/>
  <c r="E141" i="7"/>
  <c r="D141" i="7"/>
  <c r="C141" i="7"/>
  <c r="B141" i="7"/>
  <c r="AD140" i="7"/>
  <c r="AC140" i="7"/>
  <c r="AB140" i="7"/>
  <c r="Z140" i="7"/>
  <c r="Y140" i="7"/>
  <c r="X140" i="7"/>
  <c r="W140" i="7"/>
  <c r="U140" i="7"/>
  <c r="T140" i="7"/>
  <c r="S140" i="7"/>
  <c r="R140" i="7"/>
  <c r="Q140" i="7"/>
  <c r="P140" i="7"/>
  <c r="O140" i="7"/>
  <c r="N140" i="7"/>
  <c r="M140" i="7"/>
  <c r="L140" i="7"/>
  <c r="K140" i="7"/>
  <c r="J140" i="7"/>
  <c r="I140" i="7"/>
  <c r="H140" i="7"/>
  <c r="G140" i="7"/>
  <c r="F140" i="7"/>
  <c r="E140" i="7"/>
  <c r="D140" i="7"/>
  <c r="C140" i="7"/>
  <c r="B140" i="7"/>
  <c r="B139" i="7"/>
  <c r="P137" i="7"/>
  <c r="O137" i="7"/>
  <c r="N137" i="7"/>
  <c r="M137" i="7"/>
  <c r="K137" i="7"/>
  <c r="J137" i="7"/>
  <c r="I137" i="7"/>
  <c r="H137" i="7"/>
  <c r="G137" i="7"/>
  <c r="F137" i="7"/>
  <c r="E137" i="7"/>
  <c r="D137" i="7"/>
  <c r="C137" i="7"/>
  <c r="B137" i="7"/>
  <c r="AD136" i="7"/>
  <c r="AC136" i="7"/>
  <c r="AB136" i="7"/>
  <c r="Z136" i="7"/>
  <c r="Y136" i="7"/>
  <c r="X136" i="7"/>
  <c r="W136" i="7"/>
  <c r="U136" i="7"/>
  <c r="T136" i="7"/>
  <c r="S136" i="7"/>
  <c r="R136" i="7"/>
  <c r="Q136" i="7"/>
  <c r="P136" i="7"/>
  <c r="O136" i="7"/>
  <c r="N136" i="7"/>
  <c r="M136" i="7"/>
  <c r="L136" i="7"/>
  <c r="K136" i="7"/>
  <c r="J136" i="7"/>
  <c r="I136" i="7"/>
  <c r="H136" i="7"/>
  <c r="G136" i="7"/>
  <c r="F136" i="7"/>
  <c r="E136" i="7"/>
  <c r="D136" i="7"/>
  <c r="C136" i="7"/>
  <c r="B136" i="7"/>
  <c r="AD135" i="7"/>
  <c r="AC135" i="7"/>
  <c r="AB135" i="7"/>
  <c r="Z135" i="7"/>
  <c r="Y135" i="7"/>
  <c r="X135" i="7"/>
  <c r="W135" i="7"/>
  <c r="U135" i="7"/>
  <c r="T135" i="7"/>
  <c r="S135" i="7"/>
  <c r="R135" i="7"/>
  <c r="Q135" i="7"/>
  <c r="P135" i="7"/>
  <c r="O135" i="7"/>
  <c r="N135" i="7"/>
  <c r="M135" i="7"/>
  <c r="L135" i="7"/>
  <c r="K135" i="7"/>
  <c r="J135" i="7"/>
  <c r="I135" i="7"/>
  <c r="H135" i="7"/>
  <c r="G135" i="7"/>
  <c r="F135" i="7"/>
  <c r="E135" i="7"/>
  <c r="D135" i="7"/>
  <c r="C135" i="7"/>
  <c r="B135" i="7"/>
  <c r="AD134" i="7"/>
  <c r="AC134" i="7"/>
  <c r="AB134" i="7"/>
  <c r="Z134" i="7"/>
  <c r="Y134" i="7"/>
  <c r="X134" i="7"/>
  <c r="W134" i="7"/>
  <c r="U134" i="7"/>
  <c r="T134" i="7"/>
  <c r="S134" i="7"/>
  <c r="R134" i="7"/>
  <c r="Q134" i="7"/>
  <c r="P134" i="7"/>
  <c r="O134" i="7"/>
  <c r="N134" i="7"/>
  <c r="M134" i="7"/>
  <c r="L134" i="7"/>
  <c r="K134" i="7"/>
  <c r="J134" i="7"/>
  <c r="I134" i="7"/>
  <c r="H134" i="7"/>
  <c r="G134" i="7"/>
  <c r="F134" i="7"/>
  <c r="E134" i="7"/>
  <c r="D134" i="7"/>
  <c r="C134" i="7"/>
  <c r="B134" i="7"/>
  <c r="AD133" i="7"/>
  <c r="AC133" i="7"/>
  <c r="AB133" i="7"/>
  <c r="Z133" i="7"/>
  <c r="Y133" i="7"/>
  <c r="X133" i="7"/>
  <c r="W133" i="7"/>
  <c r="U133" i="7"/>
  <c r="T133" i="7"/>
  <c r="S133" i="7"/>
  <c r="Q133" i="7"/>
  <c r="P133" i="7"/>
  <c r="O133" i="7"/>
  <c r="N133" i="7"/>
  <c r="M133" i="7"/>
  <c r="L133" i="7"/>
  <c r="K133" i="7"/>
  <c r="J133" i="7"/>
  <c r="I133" i="7"/>
  <c r="H133" i="7"/>
  <c r="G133" i="7"/>
  <c r="F133" i="7"/>
  <c r="E133" i="7"/>
  <c r="D133" i="7"/>
  <c r="C133" i="7"/>
  <c r="B133" i="7"/>
  <c r="AD132" i="7"/>
  <c r="AC132" i="7"/>
  <c r="AB132" i="7"/>
  <c r="Z132" i="7"/>
  <c r="Y132" i="7"/>
  <c r="X132" i="7"/>
  <c r="W132" i="7"/>
  <c r="U132" i="7"/>
  <c r="T132" i="7"/>
  <c r="S132" i="7"/>
  <c r="O132" i="7"/>
  <c r="N132" i="7"/>
  <c r="M132" i="7"/>
  <c r="K132" i="7"/>
  <c r="J132" i="7"/>
  <c r="I132" i="7"/>
  <c r="H132" i="7"/>
  <c r="G132" i="7"/>
  <c r="F132" i="7"/>
  <c r="E132" i="7"/>
  <c r="D132" i="7"/>
  <c r="C132" i="7"/>
  <c r="B132" i="7"/>
  <c r="P130" i="7"/>
  <c r="O130" i="7"/>
  <c r="N130" i="7"/>
  <c r="M130" i="7"/>
  <c r="K130" i="7"/>
  <c r="J130" i="7"/>
  <c r="I130" i="7"/>
  <c r="H130" i="7"/>
  <c r="G130" i="7"/>
  <c r="F130" i="7"/>
  <c r="E130" i="7"/>
  <c r="D130" i="7"/>
  <c r="C130" i="7"/>
  <c r="B130" i="7"/>
  <c r="AD129" i="7"/>
  <c r="AC129" i="7"/>
  <c r="AB129" i="7"/>
  <c r="Z129" i="7"/>
  <c r="Y129" i="7"/>
  <c r="X129" i="7"/>
  <c r="W129" i="7"/>
  <c r="U129" i="7"/>
  <c r="T129" i="7"/>
  <c r="S129" i="7"/>
  <c r="R129" i="7"/>
  <c r="Q129" i="7"/>
  <c r="P129" i="7"/>
  <c r="O129" i="7"/>
  <c r="N129" i="7"/>
  <c r="M129" i="7"/>
  <c r="L129" i="7"/>
  <c r="K129" i="7"/>
  <c r="J129" i="7"/>
  <c r="I129" i="7"/>
  <c r="H129" i="7"/>
  <c r="G129" i="7"/>
  <c r="F129" i="7"/>
  <c r="E129" i="7"/>
  <c r="D129" i="7"/>
  <c r="C129" i="7"/>
  <c r="B129" i="7"/>
  <c r="AD128" i="7"/>
  <c r="AC128" i="7"/>
  <c r="AB128" i="7"/>
  <c r="Z128" i="7"/>
  <c r="Y128" i="7"/>
  <c r="X128" i="7"/>
  <c r="W128" i="7"/>
  <c r="U128" i="7"/>
  <c r="T128" i="7"/>
  <c r="S128" i="7"/>
  <c r="Q128" i="7"/>
  <c r="P128" i="7"/>
  <c r="O128" i="7"/>
  <c r="N128" i="7"/>
  <c r="M128" i="7"/>
  <c r="L128" i="7"/>
  <c r="K128" i="7"/>
  <c r="J128" i="7"/>
  <c r="I128" i="7"/>
  <c r="H128" i="7"/>
  <c r="G128" i="7"/>
  <c r="F128" i="7"/>
  <c r="E128" i="7"/>
  <c r="D128" i="7"/>
  <c r="C128" i="7"/>
  <c r="B128" i="7"/>
  <c r="AD127" i="7"/>
  <c r="AC127" i="7"/>
  <c r="AB127" i="7"/>
  <c r="Z127" i="7"/>
  <c r="Y127" i="7"/>
  <c r="X127" i="7"/>
  <c r="W127" i="7"/>
  <c r="U127" i="7"/>
  <c r="T127" i="7"/>
  <c r="S127" i="7"/>
  <c r="R127" i="7"/>
  <c r="Q127" i="7"/>
  <c r="P127" i="7"/>
  <c r="O127" i="7"/>
  <c r="N127" i="7"/>
  <c r="M127" i="7"/>
  <c r="L127" i="7"/>
  <c r="K127" i="7"/>
  <c r="J127" i="7"/>
  <c r="I127" i="7"/>
  <c r="H127" i="7"/>
  <c r="G127" i="7"/>
  <c r="F127" i="7"/>
  <c r="E127" i="7"/>
  <c r="D127" i="7"/>
  <c r="C127" i="7"/>
  <c r="B127" i="7"/>
  <c r="AD126" i="7"/>
  <c r="AC126" i="7"/>
  <c r="AB126" i="7"/>
  <c r="Z126" i="7"/>
  <c r="Y126" i="7"/>
  <c r="X126" i="7"/>
  <c r="W126" i="7"/>
  <c r="U126" i="7"/>
  <c r="T126" i="7"/>
  <c r="S126" i="7"/>
  <c r="R126" i="7"/>
  <c r="Q126" i="7"/>
  <c r="P126" i="7"/>
  <c r="O126" i="7"/>
  <c r="N126" i="7"/>
  <c r="M126" i="7"/>
  <c r="L126" i="7"/>
  <c r="K126" i="7"/>
  <c r="J126" i="7"/>
  <c r="I126" i="7"/>
  <c r="H126" i="7"/>
  <c r="G126" i="7"/>
  <c r="F126" i="7"/>
  <c r="E126" i="7"/>
  <c r="D126" i="7"/>
  <c r="C126" i="7"/>
  <c r="B126" i="7"/>
  <c r="AD125" i="7"/>
  <c r="AC125" i="7"/>
  <c r="AB125" i="7"/>
  <c r="Z125" i="7"/>
  <c r="Y125" i="7"/>
  <c r="X125" i="7"/>
  <c r="W125" i="7"/>
  <c r="U125" i="7"/>
  <c r="T125" i="7"/>
  <c r="S125" i="7"/>
  <c r="R125" i="7"/>
  <c r="Q125" i="7"/>
  <c r="P125" i="7"/>
  <c r="O125" i="7"/>
  <c r="N125" i="7"/>
  <c r="M125" i="7"/>
  <c r="L125" i="7"/>
  <c r="K125" i="7"/>
  <c r="J125" i="7"/>
  <c r="I125" i="7"/>
  <c r="H125" i="7"/>
  <c r="G125" i="7"/>
  <c r="F125" i="7"/>
  <c r="E125" i="7"/>
  <c r="D125" i="7"/>
  <c r="C125" i="7"/>
  <c r="B125" i="7"/>
  <c r="AD124" i="7"/>
  <c r="AC124" i="7"/>
  <c r="AB124" i="7"/>
  <c r="Z124" i="7"/>
  <c r="Y124" i="7"/>
  <c r="X124" i="7"/>
  <c r="W124" i="7"/>
  <c r="U124" i="7"/>
  <c r="T124" i="7"/>
  <c r="S124" i="7"/>
  <c r="R124" i="7"/>
  <c r="Q124" i="7"/>
  <c r="P124" i="7"/>
  <c r="O124" i="7"/>
  <c r="N124" i="7"/>
  <c r="M124" i="7"/>
  <c r="L124" i="7"/>
  <c r="K124" i="7"/>
  <c r="J124" i="7"/>
  <c r="I124" i="7"/>
  <c r="H124" i="7"/>
  <c r="G124" i="7"/>
  <c r="F124" i="7"/>
  <c r="E124" i="7"/>
  <c r="D124" i="7"/>
  <c r="C124" i="7"/>
  <c r="B124" i="7"/>
  <c r="AD123" i="7"/>
  <c r="AC123" i="7"/>
  <c r="AB123" i="7"/>
  <c r="Z123" i="7"/>
  <c r="Y123" i="7"/>
  <c r="X123" i="7"/>
  <c r="W123" i="7"/>
  <c r="U123" i="7"/>
  <c r="T123" i="7"/>
  <c r="Q123" i="7"/>
  <c r="P123" i="7"/>
  <c r="O123" i="7"/>
  <c r="N123" i="7"/>
  <c r="M123" i="7"/>
  <c r="L123" i="7"/>
  <c r="K123" i="7"/>
  <c r="J123" i="7"/>
  <c r="I123" i="7"/>
  <c r="H123" i="7"/>
  <c r="G123" i="7"/>
  <c r="F123" i="7"/>
  <c r="E123" i="7"/>
  <c r="D123" i="7"/>
  <c r="C123" i="7"/>
  <c r="B123" i="7"/>
  <c r="B122" i="7"/>
  <c r="P117" i="7"/>
  <c r="O117" i="7"/>
  <c r="M117" i="7"/>
  <c r="K117" i="7"/>
  <c r="J117" i="7"/>
  <c r="I117" i="7"/>
  <c r="H117" i="7"/>
  <c r="G117" i="7"/>
  <c r="F117" i="7"/>
  <c r="E117" i="7"/>
  <c r="D117" i="7"/>
  <c r="C117" i="7"/>
  <c r="B117" i="7"/>
  <c r="P116" i="7"/>
  <c r="M116" i="7"/>
  <c r="K116" i="7"/>
  <c r="J116" i="7"/>
  <c r="I116" i="7"/>
  <c r="H116" i="7"/>
  <c r="F116" i="7"/>
  <c r="E116" i="7"/>
  <c r="D116" i="7"/>
  <c r="C116" i="7"/>
  <c r="B116" i="7"/>
  <c r="P114" i="7"/>
  <c r="M114" i="7"/>
  <c r="K114" i="7"/>
  <c r="J114" i="7"/>
  <c r="I114" i="7"/>
  <c r="H114" i="7"/>
  <c r="F114" i="7"/>
  <c r="E114" i="7"/>
  <c r="D114" i="7"/>
  <c r="C114" i="7"/>
  <c r="B114" i="7"/>
  <c r="P113" i="7"/>
  <c r="M113" i="7"/>
  <c r="K113" i="7"/>
  <c r="J113" i="7"/>
  <c r="I113" i="7"/>
  <c r="H113" i="7"/>
  <c r="F113" i="7"/>
  <c r="E113" i="7"/>
  <c r="D113" i="7"/>
  <c r="C113" i="7"/>
  <c r="B113" i="7"/>
  <c r="P111" i="7"/>
  <c r="M111" i="7"/>
  <c r="K111" i="7"/>
  <c r="J111" i="7"/>
  <c r="I111" i="7"/>
  <c r="H111" i="7"/>
  <c r="F111" i="7"/>
  <c r="E111" i="7"/>
  <c r="D111" i="7"/>
  <c r="C111" i="7"/>
  <c r="B111" i="7"/>
  <c r="P110" i="7"/>
  <c r="M110" i="7"/>
  <c r="K110" i="7"/>
  <c r="J110" i="7"/>
  <c r="I110" i="7"/>
  <c r="H110" i="7"/>
  <c r="G110" i="7"/>
  <c r="F110" i="7"/>
  <c r="E110" i="7"/>
  <c r="D110" i="7"/>
  <c r="C110" i="7"/>
  <c r="B110" i="7"/>
  <c r="P108" i="7"/>
  <c r="M108" i="7"/>
  <c r="K108" i="7"/>
  <c r="J108" i="7"/>
  <c r="I108" i="7"/>
  <c r="H108" i="7"/>
  <c r="F108" i="7"/>
  <c r="E108" i="7"/>
  <c r="D108" i="7"/>
  <c r="C108" i="7"/>
  <c r="B108" i="7"/>
  <c r="AY107" i="7"/>
  <c r="AX107" i="7"/>
  <c r="AW107" i="7"/>
  <c r="AV107" i="7"/>
  <c r="AT107" i="7"/>
  <c r="AS107" i="7"/>
  <c r="AR107" i="7"/>
  <c r="AQ107" i="7"/>
  <c r="AO107" i="7"/>
  <c r="AN107" i="7"/>
  <c r="AM107" i="7"/>
  <c r="AL107" i="7"/>
  <c r="AJ107" i="7"/>
  <c r="AI107" i="7"/>
  <c r="AH107" i="7"/>
  <c r="AG107" i="7"/>
  <c r="AE107" i="7"/>
  <c r="AD107" i="7"/>
  <c r="AC107" i="7"/>
  <c r="AB107" i="7"/>
  <c r="Z107" i="7"/>
  <c r="Y107" i="7"/>
  <c r="X107" i="7"/>
  <c r="W107" i="7"/>
  <c r="U107" i="7"/>
  <c r="T107" i="7"/>
  <c r="Q107" i="7"/>
  <c r="P107" i="7"/>
  <c r="O107" i="7"/>
  <c r="N107" i="7"/>
  <c r="M107" i="7"/>
  <c r="L107" i="7"/>
  <c r="K107" i="7"/>
  <c r="J107" i="7"/>
  <c r="I107" i="7"/>
  <c r="H107" i="7"/>
  <c r="G107" i="7"/>
  <c r="F107" i="7"/>
  <c r="E107" i="7"/>
  <c r="D107" i="7"/>
  <c r="C107" i="7"/>
  <c r="B107" i="7"/>
  <c r="P106" i="7"/>
  <c r="M106" i="7"/>
  <c r="K106" i="7"/>
  <c r="J106" i="7"/>
  <c r="I106" i="7"/>
  <c r="H106" i="7"/>
  <c r="F106" i="7"/>
  <c r="E106" i="7"/>
  <c r="D106" i="7"/>
  <c r="C106" i="7"/>
  <c r="B106" i="7"/>
  <c r="AD105" i="7"/>
  <c r="AC105" i="7"/>
  <c r="AB105" i="7"/>
  <c r="Y105" i="7"/>
  <c r="X105" i="7"/>
  <c r="W105" i="7"/>
  <c r="U105" i="7"/>
  <c r="T105" i="7"/>
  <c r="S105" i="7"/>
  <c r="R105" i="7"/>
  <c r="Q105" i="7"/>
  <c r="P105" i="7"/>
  <c r="O105" i="7"/>
  <c r="N105" i="7"/>
  <c r="M105" i="7"/>
  <c r="L105" i="7"/>
  <c r="K105" i="7"/>
  <c r="J105" i="7"/>
  <c r="I105" i="7"/>
  <c r="H105" i="7"/>
  <c r="G105" i="7"/>
  <c r="F105" i="7"/>
  <c r="E105" i="7"/>
  <c r="D105" i="7"/>
  <c r="C105" i="7"/>
  <c r="B105" i="7"/>
  <c r="AY104" i="7"/>
  <c r="AX104" i="7"/>
  <c r="AW104" i="7"/>
  <c r="AV104" i="7"/>
  <c r="AT104" i="7"/>
  <c r="AS104" i="7"/>
  <c r="AR104" i="7"/>
  <c r="AQ104" i="7"/>
  <c r="AO104" i="7"/>
  <c r="AN104" i="7"/>
  <c r="AM104" i="7"/>
  <c r="AL104" i="7"/>
  <c r="AJ104" i="7"/>
  <c r="AI104" i="7"/>
  <c r="AH104" i="7"/>
  <c r="AG104" i="7"/>
  <c r="AE104" i="7"/>
  <c r="AD104" i="7"/>
  <c r="AC104" i="7"/>
  <c r="AB104" i="7"/>
  <c r="Z104" i="7"/>
  <c r="Y104" i="7"/>
  <c r="X104" i="7"/>
  <c r="W104" i="7"/>
  <c r="U104" i="7"/>
  <c r="T104" i="7"/>
  <c r="R104" i="7"/>
  <c r="Q104" i="7"/>
  <c r="P104" i="7"/>
  <c r="O104" i="7"/>
  <c r="N104" i="7"/>
  <c r="M104" i="7"/>
  <c r="L104" i="7"/>
  <c r="K104" i="7"/>
  <c r="J104" i="7"/>
  <c r="I104" i="7"/>
  <c r="H104" i="7"/>
  <c r="G104" i="7"/>
  <c r="F104" i="7"/>
  <c r="E104" i="7"/>
  <c r="D104" i="7"/>
  <c r="C104" i="7"/>
  <c r="B104" i="7"/>
  <c r="AY103" i="7"/>
  <c r="AX103" i="7"/>
  <c r="AW103" i="7"/>
  <c r="AV103" i="7"/>
  <c r="AT103" i="7"/>
  <c r="AS103" i="7"/>
  <c r="AR103" i="7"/>
  <c r="AQ103" i="7"/>
  <c r="AO103" i="7"/>
  <c r="AN103" i="7"/>
  <c r="AM103" i="7"/>
  <c r="AL103" i="7"/>
  <c r="AJ103" i="7"/>
  <c r="AI103" i="7"/>
  <c r="AH103" i="7"/>
  <c r="AG103" i="7"/>
  <c r="AE103" i="7"/>
  <c r="AD103" i="7"/>
  <c r="AC103" i="7"/>
  <c r="AB103" i="7"/>
  <c r="Z103" i="7"/>
  <c r="Y103" i="7"/>
  <c r="X103" i="7"/>
  <c r="W103" i="7"/>
  <c r="U103" i="7"/>
  <c r="T103" i="7"/>
  <c r="R103" i="7"/>
  <c r="Q103" i="7"/>
  <c r="P103" i="7"/>
  <c r="O103" i="7"/>
  <c r="N103" i="7"/>
  <c r="M103" i="7"/>
  <c r="L103" i="7"/>
  <c r="K103" i="7"/>
  <c r="J103" i="7"/>
  <c r="I103" i="7"/>
  <c r="H103" i="7"/>
  <c r="G103" i="7"/>
  <c r="F103" i="7"/>
  <c r="E103" i="7"/>
  <c r="D103" i="7"/>
  <c r="C103" i="7"/>
  <c r="B103" i="7"/>
  <c r="AY102" i="7"/>
  <c r="AX102" i="7"/>
  <c r="AW102" i="7"/>
  <c r="AV102" i="7"/>
  <c r="AT102" i="7"/>
  <c r="AS102" i="7"/>
  <c r="AR102" i="7"/>
  <c r="AQ102" i="7"/>
  <c r="AO102" i="7"/>
  <c r="AN102" i="7"/>
  <c r="AM102" i="7"/>
  <c r="AL102" i="7"/>
  <c r="AJ102" i="7"/>
  <c r="AI102" i="7"/>
  <c r="AH102" i="7"/>
  <c r="AG102" i="7"/>
  <c r="AE102" i="7"/>
  <c r="AD102" i="7"/>
  <c r="AC102" i="7"/>
  <c r="AB102" i="7"/>
  <c r="Z102" i="7"/>
  <c r="Y102" i="7"/>
  <c r="X102" i="7"/>
  <c r="W102" i="7"/>
  <c r="U102" i="7"/>
  <c r="T102" i="7"/>
  <c r="R102" i="7"/>
  <c r="Q102" i="7"/>
  <c r="P102" i="7"/>
  <c r="O102" i="7"/>
  <c r="N102" i="7"/>
  <c r="M102" i="7"/>
  <c r="L102" i="7"/>
  <c r="K102" i="7"/>
  <c r="J102" i="7"/>
  <c r="I102" i="7"/>
  <c r="H102" i="7"/>
  <c r="G102" i="7"/>
  <c r="F102" i="7"/>
  <c r="E102" i="7"/>
  <c r="D102" i="7"/>
  <c r="C102" i="7"/>
  <c r="B102" i="7"/>
  <c r="AY101" i="7"/>
  <c r="AX101" i="7"/>
  <c r="AW101" i="7"/>
  <c r="AV101" i="7"/>
  <c r="AT101" i="7"/>
  <c r="AS101" i="7"/>
  <c r="AR101" i="7"/>
  <c r="AQ101" i="7"/>
  <c r="AO101" i="7"/>
  <c r="AN101" i="7"/>
  <c r="AM101" i="7"/>
  <c r="AL101" i="7"/>
  <c r="AJ101" i="7"/>
  <c r="AI101" i="7"/>
  <c r="AH101" i="7"/>
  <c r="AG101" i="7"/>
  <c r="AE101" i="7"/>
  <c r="AD101" i="7"/>
  <c r="AC101" i="7"/>
  <c r="AB101" i="7"/>
  <c r="Z101" i="7"/>
  <c r="Y101" i="7"/>
  <c r="X101" i="7"/>
  <c r="W101" i="7"/>
  <c r="U101" i="7"/>
  <c r="T101" i="7"/>
  <c r="S101" i="7"/>
  <c r="R101" i="7"/>
  <c r="Q101" i="7"/>
  <c r="P101" i="7"/>
  <c r="O101" i="7"/>
  <c r="N101" i="7"/>
  <c r="M101" i="7"/>
  <c r="L101" i="7"/>
  <c r="K101" i="7"/>
  <c r="J101" i="7"/>
  <c r="I101" i="7"/>
  <c r="H101" i="7"/>
  <c r="G101" i="7"/>
  <c r="F101" i="7"/>
  <c r="E101" i="7"/>
  <c r="D101" i="7"/>
  <c r="C101" i="7"/>
  <c r="B101" i="7"/>
  <c r="AY100" i="7"/>
  <c r="AX100" i="7"/>
  <c r="AW100" i="7"/>
  <c r="AV100" i="7"/>
  <c r="AT100" i="7"/>
  <c r="AS100" i="7"/>
  <c r="AR100" i="7"/>
  <c r="AQ100" i="7"/>
  <c r="AO100" i="7"/>
  <c r="AN100" i="7"/>
  <c r="AM100" i="7"/>
  <c r="AL100" i="7"/>
  <c r="AJ100" i="7"/>
  <c r="AI100" i="7"/>
  <c r="AH100" i="7"/>
  <c r="AG100" i="7"/>
  <c r="AE100" i="7"/>
  <c r="AD100" i="7"/>
  <c r="AC100" i="7"/>
  <c r="AB100" i="7"/>
  <c r="Z100" i="7"/>
  <c r="Y100" i="7"/>
  <c r="X100" i="7"/>
  <c r="W100" i="7"/>
  <c r="U100" i="7"/>
  <c r="T100" i="7"/>
  <c r="R100" i="7"/>
  <c r="Q100" i="7"/>
  <c r="P100" i="7"/>
  <c r="O100" i="7"/>
  <c r="N100" i="7"/>
  <c r="M100" i="7"/>
  <c r="L100" i="7"/>
  <c r="K100" i="7"/>
  <c r="J100" i="7"/>
  <c r="I100" i="7"/>
  <c r="H100" i="7"/>
  <c r="G100" i="7"/>
  <c r="F100" i="7"/>
  <c r="E100" i="7"/>
  <c r="D100" i="7"/>
  <c r="C100" i="7"/>
  <c r="B100" i="7"/>
  <c r="AY99" i="7"/>
  <c r="AX99" i="7"/>
  <c r="AW99" i="7"/>
  <c r="AV99" i="7"/>
  <c r="AT99" i="7"/>
  <c r="AS99" i="7"/>
  <c r="AR99" i="7"/>
  <c r="AQ99" i="7"/>
  <c r="AO99" i="7"/>
  <c r="AN99" i="7"/>
  <c r="AM99" i="7"/>
  <c r="AL99" i="7"/>
  <c r="AJ99" i="7"/>
  <c r="AI99" i="7"/>
  <c r="AH99" i="7"/>
  <c r="AG99" i="7"/>
  <c r="AE99" i="7"/>
  <c r="AD99" i="7"/>
  <c r="AC99" i="7"/>
  <c r="AB99" i="7"/>
  <c r="Z99" i="7"/>
  <c r="Y99" i="7"/>
  <c r="X99" i="7"/>
  <c r="W99" i="7"/>
  <c r="U99" i="7"/>
  <c r="T99" i="7"/>
  <c r="R99" i="7"/>
  <c r="Q99" i="7"/>
  <c r="P99" i="7"/>
  <c r="O99" i="7"/>
  <c r="N99" i="7"/>
  <c r="M99" i="7"/>
  <c r="L99" i="7"/>
  <c r="K99" i="7"/>
  <c r="J99" i="7"/>
  <c r="I99" i="7"/>
  <c r="H99" i="7"/>
  <c r="G99" i="7"/>
  <c r="F99" i="7"/>
  <c r="E99" i="7"/>
  <c r="D99" i="7"/>
  <c r="C99" i="7"/>
  <c r="B99" i="7"/>
  <c r="AY98" i="7"/>
  <c r="AX98" i="7"/>
  <c r="AW98" i="7"/>
  <c r="AV98" i="7"/>
  <c r="AT98" i="7"/>
  <c r="AS98" i="7"/>
  <c r="AR98" i="7"/>
  <c r="AQ98" i="7"/>
  <c r="AO98" i="7"/>
  <c r="AN98" i="7"/>
  <c r="AM98" i="7"/>
  <c r="AL98" i="7"/>
  <c r="AJ98" i="7"/>
  <c r="AI98" i="7"/>
  <c r="AH98" i="7"/>
  <c r="AG98" i="7"/>
  <c r="AE98" i="7"/>
  <c r="AD98" i="7"/>
  <c r="AC98" i="7"/>
  <c r="AB98" i="7"/>
  <c r="Z98" i="7"/>
  <c r="R98" i="7"/>
  <c r="Q98" i="7"/>
  <c r="P98" i="7"/>
  <c r="O98" i="7"/>
  <c r="N98" i="7"/>
  <c r="M98" i="7"/>
  <c r="L98" i="7"/>
  <c r="K98" i="7"/>
  <c r="J98" i="7"/>
  <c r="I98" i="7"/>
  <c r="H98" i="7"/>
  <c r="G98" i="7"/>
  <c r="F98" i="7"/>
  <c r="E98" i="7"/>
  <c r="D98" i="7"/>
  <c r="C98" i="7"/>
  <c r="B98" i="7"/>
  <c r="B97" i="7"/>
  <c r="P95" i="7"/>
  <c r="M95" i="7"/>
  <c r="K95" i="7"/>
  <c r="J95" i="7"/>
  <c r="I95" i="7"/>
  <c r="H95" i="7"/>
  <c r="F95" i="7"/>
  <c r="E95" i="7"/>
  <c r="D95" i="7"/>
  <c r="C95" i="7"/>
  <c r="B95" i="7"/>
  <c r="AY94" i="7"/>
  <c r="AX94" i="7"/>
  <c r="AW94" i="7"/>
  <c r="AV94" i="7"/>
  <c r="AT94" i="7"/>
  <c r="AS94" i="7"/>
  <c r="AR94" i="7"/>
  <c r="AQ94" i="7"/>
  <c r="AO94" i="7"/>
  <c r="AN94" i="7"/>
  <c r="AM94" i="7"/>
  <c r="AL94" i="7"/>
  <c r="AJ94" i="7"/>
  <c r="AI94" i="7"/>
  <c r="AH94" i="7"/>
  <c r="AG94" i="7"/>
  <c r="AE94" i="7"/>
  <c r="AD94" i="7"/>
  <c r="AC94" i="7"/>
  <c r="AB94" i="7"/>
  <c r="Z94" i="7"/>
  <c r="Y94" i="7"/>
  <c r="X94" i="7"/>
  <c r="W94" i="7"/>
  <c r="U94" i="7"/>
  <c r="T94" i="7"/>
  <c r="R94" i="7"/>
  <c r="Q94" i="7"/>
  <c r="P94" i="7"/>
  <c r="O94" i="7"/>
  <c r="N94" i="7"/>
  <c r="M94" i="7"/>
  <c r="L94" i="7"/>
  <c r="K94" i="7"/>
  <c r="J94" i="7"/>
  <c r="I94" i="7"/>
  <c r="H94" i="7"/>
  <c r="G94" i="7"/>
  <c r="F94" i="7"/>
  <c r="E94" i="7"/>
  <c r="D94" i="7"/>
  <c r="C94" i="7"/>
  <c r="B94" i="7"/>
  <c r="AY93" i="7"/>
  <c r="AX93" i="7"/>
  <c r="AW93" i="7"/>
  <c r="AV93" i="7"/>
  <c r="AT93" i="7"/>
  <c r="AS93" i="7"/>
  <c r="AR93" i="7"/>
  <c r="AQ93" i="7"/>
  <c r="AO93" i="7"/>
  <c r="AN93" i="7"/>
  <c r="AM93" i="7"/>
  <c r="AL93" i="7"/>
  <c r="AJ93" i="7"/>
  <c r="AI93" i="7"/>
  <c r="AH93" i="7"/>
  <c r="AG93" i="7"/>
  <c r="AE93" i="7"/>
  <c r="AD93" i="7"/>
  <c r="AC93" i="7"/>
  <c r="AB93" i="7"/>
  <c r="Z93" i="7"/>
  <c r="Y93" i="7"/>
  <c r="X93" i="7"/>
  <c r="W93" i="7"/>
  <c r="U93" i="7"/>
  <c r="T93" i="7"/>
  <c r="R93" i="7"/>
  <c r="Q93" i="7"/>
  <c r="P93" i="7"/>
  <c r="O93" i="7"/>
  <c r="N93" i="7"/>
  <c r="M93" i="7"/>
  <c r="L93" i="7"/>
  <c r="K93" i="7"/>
  <c r="J93" i="7"/>
  <c r="I93" i="7"/>
  <c r="H93" i="7"/>
  <c r="G93" i="7"/>
  <c r="F93" i="7"/>
  <c r="E93" i="7"/>
  <c r="D93" i="7"/>
  <c r="C93" i="7"/>
  <c r="B93" i="7"/>
  <c r="AY92" i="7"/>
  <c r="AX92" i="7"/>
  <c r="AW92" i="7"/>
  <c r="AV92" i="7"/>
  <c r="AT92" i="7"/>
  <c r="AS92" i="7"/>
  <c r="AR92" i="7"/>
  <c r="AQ92" i="7"/>
  <c r="AO92" i="7"/>
  <c r="AN92" i="7"/>
  <c r="AM92" i="7"/>
  <c r="AL92" i="7"/>
  <c r="AJ92" i="7"/>
  <c r="AI92" i="7"/>
  <c r="AH92" i="7"/>
  <c r="AG92" i="7"/>
  <c r="AE92" i="7"/>
  <c r="AD92" i="7"/>
  <c r="AC92" i="7"/>
  <c r="AB92" i="7"/>
  <c r="Z92" i="7"/>
  <c r="Y92" i="7"/>
  <c r="X92" i="7"/>
  <c r="W92" i="7"/>
  <c r="U92" i="7"/>
  <c r="T92" i="7"/>
  <c r="R92" i="7"/>
  <c r="Q92" i="7"/>
  <c r="P92" i="7"/>
  <c r="O92" i="7"/>
  <c r="N92" i="7"/>
  <c r="M92" i="7"/>
  <c r="L92" i="7"/>
  <c r="K92" i="7"/>
  <c r="J92" i="7"/>
  <c r="I92" i="7"/>
  <c r="H92" i="7"/>
  <c r="G92" i="7"/>
  <c r="F92" i="7"/>
  <c r="E92" i="7"/>
  <c r="D92" i="7"/>
  <c r="C92" i="7"/>
  <c r="B92" i="7"/>
  <c r="AY91" i="7"/>
  <c r="AX91" i="7"/>
  <c r="AW91" i="7"/>
  <c r="AV91" i="7"/>
  <c r="AT91" i="7"/>
  <c r="AS91" i="7"/>
  <c r="AR91" i="7"/>
  <c r="AQ91" i="7"/>
  <c r="AO91" i="7"/>
  <c r="AN91" i="7"/>
  <c r="AM91" i="7"/>
  <c r="AL91" i="7"/>
  <c r="AJ91" i="7"/>
  <c r="AI91" i="7"/>
  <c r="AH91" i="7"/>
  <c r="AG91" i="7"/>
  <c r="AE91" i="7"/>
  <c r="AD91" i="7"/>
  <c r="AC91" i="7"/>
  <c r="AB91" i="7"/>
  <c r="Z91" i="7"/>
  <c r="Y91" i="7"/>
  <c r="X91" i="7"/>
  <c r="W91" i="7"/>
  <c r="U91" i="7"/>
  <c r="T91" i="7"/>
  <c r="R91" i="7"/>
  <c r="Q91" i="7"/>
  <c r="P91" i="7"/>
  <c r="O91" i="7"/>
  <c r="N91" i="7"/>
  <c r="M91" i="7"/>
  <c r="L91" i="7"/>
  <c r="K91" i="7"/>
  <c r="J91" i="7"/>
  <c r="I91" i="7"/>
  <c r="H91" i="7"/>
  <c r="G91" i="7"/>
  <c r="F91" i="7"/>
  <c r="E91" i="7"/>
  <c r="D91" i="7"/>
  <c r="C91" i="7"/>
  <c r="B91" i="7"/>
  <c r="AD90" i="7"/>
  <c r="AC90" i="7"/>
  <c r="AB90" i="7"/>
  <c r="Z90" i="7"/>
  <c r="Y90" i="7"/>
  <c r="X90" i="7"/>
  <c r="W90" i="7"/>
  <c r="U90" i="7"/>
  <c r="T90" i="7"/>
  <c r="R90" i="7"/>
  <c r="Q90" i="7"/>
  <c r="P90" i="7"/>
  <c r="O90" i="7"/>
  <c r="N90" i="7"/>
  <c r="M90" i="7"/>
  <c r="L90" i="7"/>
  <c r="K90" i="7"/>
  <c r="J90" i="7"/>
  <c r="I90" i="7"/>
  <c r="H90" i="7"/>
  <c r="G90" i="7"/>
  <c r="F90" i="7"/>
  <c r="E90" i="7"/>
  <c r="D90" i="7"/>
  <c r="C90" i="7"/>
  <c r="B90" i="7"/>
  <c r="AD89" i="7"/>
  <c r="AC89" i="7"/>
  <c r="AB89" i="7"/>
  <c r="Z89" i="7"/>
  <c r="Y89" i="7"/>
  <c r="X89" i="7"/>
  <c r="W89" i="7"/>
  <c r="U89" i="7"/>
  <c r="R89" i="7"/>
  <c r="Q89" i="7"/>
  <c r="P89" i="7"/>
  <c r="O89" i="7"/>
  <c r="N89" i="7"/>
  <c r="M89" i="7"/>
  <c r="L89" i="7"/>
  <c r="K89" i="7"/>
  <c r="J89" i="7"/>
  <c r="I89" i="7"/>
  <c r="H89" i="7"/>
  <c r="G89" i="7"/>
  <c r="F89" i="7"/>
  <c r="E89" i="7"/>
  <c r="D89" i="7"/>
  <c r="C89" i="7"/>
  <c r="B89" i="7"/>
  <c r="F88" i="7"/>
  <c r="E88" i="7"/>
  <c r="D88" i="7"/>
  <c r="C88" i="7"/>
  <c r="B88" i="7"/>
  <c r="P86" i="7"/>
  <c r="M86" i="7"/>
  <c r="K86" i="7"/>
  <c r="J86" i="7"/>
  <c r="I86" i="7"/>
  <c r="H86" i="7"/>
  <c r="F86" i="7"/>
  <c r="E86" i="7"/>
  <c r="D86" i="7"/>
  <c r="C86" i="7"/>
  <c r="B86" i="7"/>
  <c r="AD85" i="7"/>
  <c r="AC85" i="7"/>
  <c r="AB85" i="7"/>
  <c r="Z85" i="7"/>
  <c r="Y85" i="7"/>
  <c r="X85" i="7"/>
  <c r="W85" i="7"/>
  <c r="U85" i="7"/>
  <c r="T85" i="7"/>
  <c r="R85" i="7"/>
  <c r="Q85" i="7"/>
  <c r="P85" i="7"/>
  <c r="O85" i="7"/>
  <c r="N85" i="7"/>
  <c r="M85" i="7"/>
  <c r="L85" i="7"/>
  <c r="K85" i="7"/>
  <c r="J85" i="7"/>
  <c r="I85" i="7"/>
  <c r="H85" i="7"/>
  <c r="G85" i="7"/>
  <c r="F85" i="7"/>
  <c r="E85" i="7"/>
  <c r="D85" i="7"/>
  <c r="C85" i="7"/>
  <c r="B85" i="7"/>
  <c r="AD84" i="7"/>
  <c r="AC84" i="7"/>
  <c r="AB84" i="7"/>
  <c r="Z84" i="7"/>
  <c r="Y84" i="7"/>
  <c r="X84" i="7"/>
  <c r="W84" i="7"/>
  <c r="U84" i="7"/>
  <c r="T84" i="7"/>
  <c r="R84" i="7"/>
  <c r="Q84" i="7"/>
  <c r="P84" i="7"/>
  <c r="O84" i="7"/>
  <c r="N84" i="7"/>
  <c r="M84" i="7"/>
  <c r="L84" i="7"/>
  <c r="K84" i="7"/>
  <c r="J84" i="7"/>
  <c r="I84" i="7"/>
  <c r="H84" i="7"/>
  <c r="G84" i="7"/>
  <c r="F84" i="7"/>
  <c r="E84" i="7"/>
  <c r="D84" i="7"/>
  <c r="C84" i="7"/>
  <c r="B84" i="7"/>
  <c r="AY83" i="7"/>
  <c r="AX83" i="7"/>
  <c r="AW83" i="7"/>
  <c r="AV83" i="7"/>
  <c r="AT83" i="7"/>
  <c r="AS83" i="7"/>
  <c r="AR83" i="7"/>
  <c r="AQ83" i="7"/>
  <c r="AO83" i="7"/>
  <c r="AN83" i="7"/>
  <c r="AM83" i="7"/>
  <c r="AL83" i="7"/>
  <c r="AJ83" i="7"/>
  <c r="AI83" i="7"/>
  <c r="AH83" i="7"/>
  <c r="AG83" i="7"/>
  <c r="AE83" i="7"/>
  <c r="AD83" i="7"/>
  <c r="AC83" i="7"/>
  <c r="AB83" i="7"/>
  <c r="Z83" i="7"/>
  <c r="Y83" i="7"/>
  <c r="X83" i="7"/>
  <c r="W83" i="7"/>
  <c r="U83" i="7"/>
  <c r="T83" i="7"/>
  <c r="R83" i="7"/>
  <c r="Q83" i="7"/>
  <c r="P83" i="7"/>
  <c r="O83" i="7"/>
  <c r="N83" i="7"/>
  <c r="M83" i="7"/>
  <c r="L83" i="7"/>
  <c r="K83" i="7"/>
  <c r="J83" i="7"/>
  <c r="I83" i="7"/>
  <c r="H83" i="7"/>
  <c r="G83" i="7"/>
  <c r="F83" i="7"/>
  <c r="E83" i="7"/>
  <c r="D83" i="7"/>
  <c r="C83" i="7"/>
  <c r="B83" i="7"/>
  <c r="AD82" i="7"/>
  <c r="AC82" i="7"/>
  <c r="AB82" i="7"/>
  <c r="Z82" i="7"/>
  <c r="Y82" i="7"/>
  <c r="X82" i="7"/>
  <c r="W82" i="7"/>
  <c r="U82" i="7"/>
  <c r="T82" i="7"/>
  <c r="R82" i="7"/>
  <c r="Q82" i="7"/>
  <c r="P82" i="7"/>
  <c r="O82" i="7"/>
  <c r="N82" i="7"/>
  <c r="M82" i="7"/>
  <c r="L82" i="7"/>
  <c r="K82" i="7"/>
  <c r="J82" i="7"/>
  <c r="I82" i="7"/>
  <c r="H82" i="7"/>
  <c r="G82" i="7"/>
  <c r="F82" i="7"/>
  <c r="E82" i="7"/>
  <c r="D82" i="7"/>
  <c r="C82" i="7"/>
  <c r="B82" i="7"/>
  <c r="AD81" i="7"/>
  <c r="AC81" i="7"/>
  <c r="AB81" i="7"/>
  <c r="Z81" i="7"/>
  <c r="Y81" i="7"/>
  <c r="X81" i="7"/>
  <c r="W81" i="7"/>
  <c r="U81" i="7"/>
  <c r="T81" i="7"/>
  <c r="R81" i="7"/>
  <c r="Q81" i="7"/>
  <c r="P81" i="7"/>
  <c r="O81" i="7"/>
  <c r="N81" i="7"/>
  <c r="M81" i="7"/>
  <c r="L81" i="7"/>
  <c r="K81" i="7"/>
  <c r="J81" i="7"/>
  <c r="I81" i="7"/>
  <c r="H81" i="7"/>
  <c r="G81" i="7"/>
  <c r="F81" i="7"/>
  <c r="E81" i="7"/>
  <c r="D81" i="7"/>
  <c r="C81" i="7"/>
  <c r="B81" i="7"/>
  <c r="AY80" i="7"/>
  <c r="AX80" i="7"/>
  <c r="AW80" i="7"/>
  <c r="AV80" i="7"/>
  <c r="AT80" i="7"/>
  <c r="AS80" i="7"/>
  <c r="AR80" i="7"/>
  <c r="AQ80" i="7"/>
  <c r="AO80" i="7"/>
  <c r="AN80" i="7"/>
  <c r="AM80" i="7"/>
  <c r="AL80" i="7"/>
  <c r="AJ80" i="7"/>
  <c r="AI80" i="7"/>
  <c r="AH80" i="7"/>
  <c r="AG80" i="7"/>
  <c r="AE80" i="7"/>
  <c r="AD80" i="7"/>
  <c r="AC80" i="7"/>
  <c r="AB80" i="7"/>
  <c r="Z80" i="7"/>
  <c r="Y80" i="7"/>
  <c r="X80" i="7"/>
  <c r="W80" i="7"/>
  <c r="U80" i="7"/>
  <c r="T80" i="7"/>
  <c r="Q80" i="7"/>
  <c r="P80" i="7"/>
  <c r="O80" i="7"/>
  <c r="N80" i="7"/>
  <c r="M80" i="7"/>
  <c r="L80" i="7"/>
  <c r="K80" i="7"/>
  <c r="J80" i="7"/>
  <c r="I80" i="7"/>
  <c r="H80" i="7"/>
  <c r="G80" i="7"/>
  <c r="F80" i="7"/>
  <c r="E80" i="7"/>
  <c r="D80" i="7"/>
  <c r="C80" i="7"/>
  <c r="B80" i="7"/>
  <c r="AD79" i="7"/>
  <c r="AC79" i="7"/>
  <c r="AB79" i="7"/>
  <c r="Z79" i="7"/>
  <c r="Y79" i="7"/>
  <c r="X79" i="7"/>
  <c r="W79" i="7"/>
  <c r="U79" i="7"/>
  <c r="T79" i="7"/>
  <c r="R79" i="7"/>
  <c r="Q79" i="7"/>
  <c r="P79" i="7"/>
  <c r="O79" i="7"/>
  <c r="N79" i="7"/>
  <c r="M79" i="7"/>
  <c r="L79" i="7"/>
  <c r="K79" i="7"/>
  <c r="J79" i="7"/>
  <c r="I79" i="7"/>
  <c r="H79" i="7"/>
  <c r="G79" i="7"/>
  <c r="F79" i="7"/>
  <c r="E79" i="7"/>
  <c r="D79" i="7"/>
  <c r="C79" i="7"/>
  <c r="B79" i="7"/>
  <c r="F78" i="7"/>
  <c r="E78" i="7"/>
  <c r="D78" i="7"/>
  <c r="C78" i="7"/>
  <c r="B78" i="7"/>
  <c r="AY77" i="7"/>
  <c r="AX77" i="7"/>
  <c r="AW77" i="7"/>
  <c r="AV77" i="7"/>
  <c r="AT77" i="7"/>
  <c r="AS77" i="7"/>
  <c r="AR77" i="7"/>
  <c r="AQ77" i="7"/>
  <c r="AO77" i="7"/>
  <c r="AN77" i="7"/>
  <c r="AM77" i="7"/>
  <c r="AL77" i="7"/>
  <c r="AJ77" i="7"/>
  <c r="AI77" i="7"/>
  <c r="AH77" i="7"/>
  <c r="AG77" i="7"/>
  <c r="AE77" i="7"/>
  <c r="AD77" i="7"/>
  <c r="AC77" i="7"/>
  <c r="AB77" i="7"/>
  <c r="Z77" i="7"/>
  <c r="Y77" i="7"/>
  <c r="X77" i="7"/>
  <c r="W77" i="7"/>
  <c r="U77" i="7"/>
  <c r="T77" i="7"/>
  <c r="R77" i="7"/>
  <c r="Q77" i="7"/>
  <c r="P77" i="7"/>
  <c r="O77" i="7"/>
  <c r="N77" i="7"/>
  <c r="M77" i="7"/>
  <c r="L77" i="7"/>
  <c r="K77" i="7"/>
  <c r="J77" i="7"/>
  <c r="I77" i="7"/>
  <c r="H77" i="7"/>
  <c r="G77" i="7"/>
  <c r="F77" i="7"/>
  <c r="E77" i="7"/>
  <c r="D77" i="7"/>
  <c r="C77" i="7"/>
  <c r="B77" i="7"/>
  <c r="AY76" i="7"/>
  <c r="AX76" i="7"/>
  <c r="AW76" i="7"/>
  <c r="AV76" i="7"/>
  <c r="AT76" i="7"/>
  <c r="AS76" i="7"/>
  <c r="AR76" i="7"/>
  <c r="AQ76" i="7"/>
  <c r="AO76" i="7"/>
  <c r="AN76" i="7"/>
  <c r="AM76" i="7"/>
  <c r="AL76" i="7"/>
  <c r="AJ76" i="7"/>
  <c r="AI76" i="7"/>
  <c r="AH76" i="7"/>
  <c r="AG76" i="7"/>
  <c r="AE76" i="7"/>
  <c r="AD76" i="7"/>
  <c r="AC76" i="7"/>
  <c r="AB76" i="7"/>
  <c r="Z76" i="7"/>
  <c r="Y76" i="7"/>
  <c r="X76" i="7"/>
  <c r="W76" i="7"/>
  <c r="U76" i="7"/>
  <c r="T76" i="7"/>
  <c r="R76" i="7"/>
  <c r="Q76" i="7"/>
  <c r="P76" i="7"/>
  <c r="O76" i="7"/>
  <c r="N76" i="7"/>
  <c r="M76" i="7"/>
  <c r="L76" i="7"/>
  <c r="K76" i="7"/>
  <c r="J76" i="7"/>
  <c r="I76" i="7"/>
  <c r="H76" i="7"/>
  <c r="G76" i="7"/>
  <c r="F76" i="7"/>
  <c r="E76" i="7"/>
  <c r="D76" i="7"/>
  <c r="C76" i="7"/>
  <c r="B76" i="7"/>
  <c r="AD75" i="7"/>
  <c r="AC75" i="7"/>
  <c r="AB75" i="7"/>
  <c r="Z75" i="7"/>
  <c r="Y75" i="7"/>
  <c r="X75" i="7"/>
  <c r="W75" i="7"/>
  <c r="U75" i="7"/>
  <c r="T75" i="7"/>
  <c r="R75" i="7"/>
  <c r="Q75" i="7"/>
  <c r="P75" i="7"/>
  <c r="O75" i="7"/>
  <c r="N75" i="7"/>
  <c r="M75" i="7"/>
  <c r="L75" i="7"/>
  <c r="K75" i="7"/>
  <c r="J75" i="7"/>
  <c r="I75" i="7"/>
  <c r="H75" i="7"/>
  <c r="G75" i="7"/>
  <c r="F75" i="7"/>
  <c r="E75" i="7"/>
  <c r="D75" i="7"/>
  <c r="C75" i="7"/>
  <c r="B75" i="7"/>
  <c r="AD74" i="7"/>
  <c r="AC74" i="7"/>
  <c r="AB74" i="7"/>
  <c r="Z74" i="7"/>
  <c r="Y74" i="7"/>
  <c r="X74" i="7"/>
  <c r="W74" i="7"/>
  <c r="U74" i="7"/>
  <c r="T74" i="7"/>
  <c r="R74" i="7"/>
  <c r="Q74" i="7"/>
  <c r="P74" i="7"/>
  <c r="O74" i="7"/>
  <c r="N74" i="7"/>
  <c r="M74" i="7"/>
  <c r="L74" i="7"/>
  <c r="K74" i="7"/>
  <c r="J74" i="7"/>
  <c r="I74" i="7"/>
  <c r="H74" i="7"/>
  <c r="G74" i="7"/>
  <c r="F74" i="7"/>
  <c r="E74" i="7"/>
  <c r="D74" i="7"/>
  <c r="C74" i="7"/>
  <c r="B74" i="7"/>
  <c r="AD73" i="7"/>
  <c r="AC73" i="7"/>
  <c r="AB73" i="7"/>
  <c r="Z73" i="7"/>
  <c r="Y73" i="7"/>
  <c r="X73" i="7"/>
  <c r="W73" i="7"/>
  <c r="U73" i="7"/>
  <c r="T73" i="7"/>
  <c r="R73" i="7"/>
  <c r="Q73" i="7"/>
  <c r="P73" i="7"/>
  <c r="O73" i="7"/>
  <c r="N73" i="7"/>
  <c r="M73" i="7"/>
  <c r="L73" i="7"/>
  <c r="K73" i="7"/>
  <c r="J73" i="7"/>
  <c r="I73" i="7"/>
  <c r="H73" i="7"/>
  <c r="G73" i="7"/>
  <c r="F73" i="7"/>
  <c r="E73" i="7"/>
  <c r="D73" i="7"/>
  <c r="C73" i="7"/>
  <c r="B73" i="7"/>
  <c r="F72" i="7"/>
  <c r="E72" i="7"/>
  <c r="D72" i="7"/>
  <c r="C72" i="7"/>
  <c r="B72" i="7"/>
  <c r="AD71" i="7"/>
  <c r="AC71" i="7"/>
  <c r="AB71" i="7"/>
  <c r="Z71" i="7"/>
  <c r="Y71" i="7"/>
  <c r="X71" i="7"/>
  <c r="W71" i="7"/>
  <c r="U71" i="7"/>
  <c r="T71" i="7"/>
  <c r="R71" i="7"/>
  <c r="P71" i="7"/>
  <c r="O71" i="7"/>
  <c r="N71" i="7"/>
  <c r="M71" i="7"/>
  <c r="L71" i="7"/>
  <c r="K71" i="7"/>
  <c r="J71" i="7"/>
  <c r="I71" i="7"/>
  <c r="H71" i="7"/>
  <c r="G71" i="7"/>
  <c r="F71" i="7"/>
  <c r="E71" i="7"/>
  <c r="D71" i="7"/>
  <c r="C71" i="7"/>
  <c r="B71" i="7"/>
  <c r="F70" i="7"/>
  <c r="E70" i="7"/>
  <c r="D70" i="7"/>
  <c r="C70" i="7"/>
  <c r="B70" i="7"/>
  <c r="P65" i="7"/>
  <c r="O65" i="7"/>
  <c r="N65" i="7"/>
  <c r="M65" i="7"/>
  <c r="K65" i="7"/>
  <c r="J65" i="7"/>
  <c r="I65" i="7"/>
  <c r="H65" i="7"/>
  <c r="G65" i="7"/>
  <c r="F65" i="7"/>
  <c r="E65" i="7"/>
  <c r="D65" i="7"/>
  <c r="C65" i="7"/>
  <c r="B65" i="7"/>
  <c r="K64" i="7"/>
  <c r="J64" i="7"/>
  <c r="I64" i="7"/>
  <c r="H64" i="7"/>
  <c r="F64" i="7"/>
  <c r="E64" i="7"/>
  <c r="D64" i="7"/>
  <c r="C64" i="7"/>
  <c r="B64" i="7"/>
  <c r="K63" i="7"/>
  <c r="J63" i="7"/>
  <c r="I63" i="7"/>
  <c r="H63" i="7"/>
  <c r="F63" i="7"/>
  <c r="E63" i="7"/>
  <c r="D63" i="7"/>
  <c r="C63" i="7"/>
  <c r="B63" i="7"/>
  <c r="AY62" i="7"/>
  <c r="AX62" i="7"/>
  <c r="AW62" i="7"/>
  <c r="AV62" i="7"/>
  <c r="AT62" i="7"/>
  <c r="AS62" i="7"/>
  <c r="AR62" i="7"/>
  <c r="AQ62" i="7"/>
  <c r="AO62" i="7"/>
  <c r="AN62" i="7"/>
  <c r="AM62" i="7"/>
  <c r="AL62" i="7"/>
  <c r="AJ62" i="7"/>
  <c r="AI62" i="7"/>
  <c r="AH62" i="7"/>
  <c r="AG62" i="7"/>
  <c r="AD62" i="7"/>
  <c r="AC62" i="7"/>
  <c r="AB62" i="7"/>
  <c r="Y62" i="7"/>
  <c r="X62" i="7"/>
  <c r="W62" i="7"/>
  <c r="U62" i="7"/>
  <c r="T62" i="7"/>
  <c r="S62" i="7"/>
  <c r="R62" i="7"/>
  <c r="P62" i="7"/>
  <c r="O62" i="7"/>
  <c r="N62" i="7"/>
  <c r="M62" i="7"/>
  <c r="L62" i="7"/>
  <c r="K62" i="7"/>
  <c r="J62" i="7"/>
  <c r="I62" i="7"/>
  <c r="H62" i="7"/>
  <c r="G62" i="7"/>
  <c r="F62" i="7"/>
  <c r="E62" i="7"/>
  <c r="D62" i="7"/>
  <c r="C62" i="7"/>
  <c r="B62" i="7"/>
  <c r="L60" i="7"/>
  <c r="K60" i="7"/>
  <c r="J60" i="7"/>
  <c r="I60" i="7"/>
  <c r="H60" i="7"/>
  <c r="G60" i="7"/>
  <c r="F60" i="7"/>
  <c r="E60" i="7"/>
  <c r="D60" i="7"/>
  <c r="C60" i="7"/>
  <c r="B60" i="7"/>
  <c r="K59" i="7"/>
  <c r="J59" i="7"/>
  <c r="I59" i="7"/>
  <c r="H59" i="7"/>
  <c r="G59" i="7"/>
  <c r="F59" i="7"/>
  <c r="E59" i="7"/>
  <c r="D59" i="7"/>
  <c r="C59" i="7"/>
  <c r="B59" i="7"/>
  <c r="K58" i="7"/>
  <c r="J58" i="7"/>
  <c r="I58" i="7"/>
  <c r="H58" i="7"/>
  <c r="G58" i="7"/>
  <c r="F58" i="7"/>
  <c r="E58" i="7"/>
  <c r="D58" i="7"/>
  <c r="C58" i="7"/>
  <c r="B58" i="7"/>
  <c r="AD57" i="7"/>
  <c r="AC57" i="7"/>
  <c r="AB57" i="7"/>
  <c r="Z57" i="7"/>
  <c r="Y57" i="7"/>
  <c r="X57" i="7"/>
  <c r="W57" i="7"/>
  <c r="U57" i="7"/>
  <c r="S57" i="7"/>
  <c r="L57" i="7"/>
  <c r="K57" i="7"/>
  <c r="J57" i="7"/>
  <c r="I57" i="7"/>
  <c r="H57" i="7"/>
  <c r="G57" i="7"/>
  <c r="F57" i="7"/>
  <c r="E57" i="7"/>
  <c r="D57" i="7"/>
  <c r="C57" i="7"/>
  <c r="B57" i="7"/>
  <c r="K55" i="7"/>
  <c r="J55" i="7"/>
  <c r="I55" i="7"/>
  <c r="H55" i="7"/>
  <c r="G55" i="7"/>
  <c r="F55" i="7"/>
  <c r="E55" i="7"/>
  <c r="D55" i="7"/>
  <c r="C55" i="7"/>
  <c r="B55" i="7"/>
  <c r="K54" i="7"/>
  <c r="J54" i="7"/>
  <c r="I54" i="7"/>
  <c r="H54" i="7"/>
  <c r="F54" i="7"/>
  <c r="E54" i="7"/>
  <c r="D54" i="7"/>
  <c r="C54" i="7"/>
  <c r="B54" i="7"/>
  <c r="K53" i="7"/>
  <c r="J53" i="7"/>
  <c r="I53" i="7"/>
  <c r="H53" i="7"/>
  <c r="F53" i="7"/>
  <c r="E53" i="7"/>
  <c r="D53" i="7"/>
  <c r="C53" i="7"/>
  <c r="B53" i="7"/>
  <c r="AV51" i="7"/>
  <c r="AQ51" i="7"/>
  <c r="AL51" i="7"/>
  <c r="AJ51" i="7"/>
  <c r="AI51" i="7"/>
  <c r="AH51" i="7"/>
  <c r="K51" i="7"/>
  <c r="J51" i="7"/>
  <c r="I51" i="7"/>
  <c r="H51" i="7"/>
  <c r="F51" i="7"/>
  <c r="E51" i="7"/>
  <c r="D51" i="7"/>
  <c r="C51" i="7"/>
  <c r="B51" i="7"/>
  <c r="R50" i="7"/>
  <c r="P50" i="7"/>
  <c r="O50" i="7"/>
  <c r="N50" i="7"/>
  <c r="K50" i="7"/>
  <c r="J50" i="7"/>
  <c r="I50" i="7"/>
  <c r="H50" i="7"/>
  <c r="F50" i="7"/>
  <c r="E50" i="7"/>
  <c r="D50" i="7"/>
  <c r="C50" i="7"/>
  <c r="B50" i="7"/>
  <c r="K49" i="7"/>
  <c r="J49" i="7"/>
  <c r="I49" i="7"/>
  <c r="H49" i="7"/>
  <c r="F49" i="7"/>
  <c r="E49" i="7"/>
  <c r="D49" i="7"/>
  <c r="C49" i="7"/>
  <c r="B49" i="7"/>
  <c r="AY48" i="7"/>
  <c r="AX48" i="7"/>
  <c r="AW48" i="7"/>
  <c r="AV48" i="7"/>
  <c r="AT48" i="7"/>
  <c r="AS48" i="7"/>
  <c r="AR48" i="7"/>
  <c r="AQ48" i="7"/>
  <c r="AO48" i="7"/>
  <c r="AN48" i="7"/>
  <c r="AM48" i="7"/>
  <c r="AL48" i="7"/>
  <c r="AJ48" i="7"/>
  <c r="AI48" i="7"/>
  <c r="AH48" i="7"/>
  <c r="AG48" i="7"/>
  <c r="AE48" i="7"/>
  <c r="AD48" i="7"/>
  <c r="AC48" i="7"/>
  <c r="AB48" i="7"/>
  <c r="Z48" i="7"/>
  <c r="Y48" i="7"/>
  <c r="X48" i="7"/>
  <c r="W48" i="7"/>
  <c r="U48" i="7"/>
  <c r="S48" i="7"/>
  <c r="R48" i="7"/>
  <c r="P48" i="7"/>
  <c r="O48" i="7"/>
  <c r="N48" i="7"/>
  <c r="M48" i="7"/>
  <c r="K48" i="7"/>
  <c r="J48" i="7"/>
  <c r="I48" i="7"/>
  <c r="H48" i="7"/>
  <c r="G48" i="7"/>
  <c r="F48" i="7"/>
  <c r="E48" i="7"/>
  <c r="D48" i="7"/>
  <c r="C48" i="7"/>
  <c r="B48" i="7"/>
  <c r="K46" i="7"/>
  <c r="J46" i="7"/>
  <c r="I46" i="7"/>
  <c r="H46" i="7"/>
  <c r="F46" i="7"/>
  <c r="E46" i="7"/>
  <c r="D46" i="7"/>
  <c r="C46" i="7"/>
  <c r="B46" i="7"/>
  <c r="K45" i="7"/>
  <c r="J45" i="7"/>
  <c r="I45" i="7"/>
  <c r="H45" i="7"/>
  <c r="G45" i="7"/>
  <c r="F45" i="7"/>
  <c r="E45" i="7"/>
  <c r="D45" i="7"/>
  <c r="C45" i="7"/>
  <c r="B45" i="7"/>
  <c r="K44" i="7"/>
  <c r="J44" i="7"/>
  <c r="I44" i="7"/>
  <c r="H44" i="7"/>
  <c r="F44" i="7"/>
  <c r="E44" i="7"/>
  <c r="D44" i="7"/>
  <c r="C44" i="7"/>
  <c r="B44" i="7"/>
  <c r="K42" i="7"/>
  <c r="J42" i="7"/>
  <c r="I42" i="7"/>
  <c r="H42" i="7"/>
  <c r="F42" i="7"/>
  <c r="E42" i="7"/>
  <c r="D42" i="7"/>
  <c r="C42" i="7"/>
  <c r="B42" i="7"/>
  <c r="K41" i="7"/>
  <c r="J41" i="7"/>
  <c r="I41" i="7"/>
  <c r="H41" i="7"/>
  <c r="G41" i="7"/>
  <c r="F41" i="7"/>
  <c r="E41" i="7"/>
  <c r="D41" i="7"/>
  <c r="C41" i="7"/>
  <c r="B41" i="7"/>
  <c r="F40" i="7"/>
  <c r="E40" i="7"/>
  <c r="D40" i="7"/>
  <c r="C40" i="7"/>
  <c r="B40" i="7"/>
  <c r="K38" i="7"/>
  <c r="J38" i="7"/>
  <c r="I38" i="7"/>
  <c r="H38" i="7"/>
  <c r="F38" i="7"/>
  <c r="E38" i="7"/>
  <c r="D38" i="7"/>
  <c r="C38" i="7"/>
  <c r="B38" i="7"/>
  <c r="M37" i="7"/>
  <c r="K37" i="7"/>
  <c r="J37" i="7"/>
  <c r="I37" i="7"/>
  <c r="H37" i="7"/>
  <c r="F37" i="7"/>
  <c r="E37" i="7"/>
  <c r="D37" i="7"/>
  <c r="C37" i="7"/>
  <c r="B37" i="7"/>
  <c r="K36" i="7"/>
  <c r="J36" i="7"/>
  <c r="I36" i="7"/>
  <c r="H36" i="7"/>
  <c r="F36" i="7"/>
  <c r="E36" i="7"/>
  <c r="D36" i="7"/>
  <c r="C36" i="7"/>
  <c r="B36" i="7"/>
  <c r="K35" i="7"/>
  <c r="J35" i="7"/>
  <c r="I35" i="7"/>
  <c r="H35" i="7"/>
  <c r="F35" i="7"/>
  <c r="E35" i="7"/>
  <c r="D35" i="7"/>
  <c r="C35" i="7"/>
  <c r="B35" i="7"/>
  <c r="K34" i="7"/>
  <c r="J34" i="7"/>
  <c r="I34" i="7"/>
  <c r="H34" i="7"/>
  <c r="F34" i="7"/>
  <c r="E34" i="7"/>
  <c r="D34" i="7"/>
  <c r="C34" i="7"/>
  <c r="B34" i="7"/>
  <c r="K33" i="7"/>
  <c r="J33" i="7"/>
  <c r="I33" i="7"/>
  <c r="H33" i="7"/>
  <c r="F33" i="7"/>
  <c r="E33" i="7"/>
  <c r="D33" i="7"/>
  <c r="C33" i="7"/>
  <c r="B33" i="7"/>
  <c r="K32" i="7"/>
  <c r="J32" i="7"/>
  <c r="I32" i="7"/>
  <c r="H32" i="7"/>
  <c r="F32" i="7"/>
  <c r="E32" i="7"/>
  <c r="D32" i="7"/>
  <c r="C32" i="7"/>
  <c r="B32" i="7"/>
  <c r="K31" i="7"/>
  <c r="J31" i="7"/>
  <c r="I31" i="7"/>
  <c r="H31" i="7"/>
  <c r="F31" i="7"/>
  <c r="E31" i="7"/>
  <c r="D31" i="7"/>
  <c r="C31" i="7"/>
  <c r="B31" i="7"/>
  <c r="K30" i="7"/>
  <c r="J30" i="7"/>
  <c r="I30" i="7"/>
  <c r="H30" i="7"/>
  <c r="F30" i="7"/>
  <c r="E30" i="7"/>
  <c r="D30" i="7"/>
  <c r="C30" i="7"/>
  <c r="B30" i="7"/>
  <c r="K29" i="7"/>
  <c r="J29" i="7"/>
  <c r="I29" i="7"/>
  <c r="H29" i="7"/>
  <c r="F29" i="7"/>
  <c r="E29" i="7"/>
  <c r="D29" i="7"/>
  <c r="C29" i="7"/>
  <c r="B29" i="7"/>
  <c r="P27" i="7"/>
  <c r="O27" i="7"/>
  <c r="N27" i="7"/>
  <c r="M27" i="7"/>
  <c r="L27" i="7"/>
  <c r="K27" i="7"/>
  <c r="J27" i="7"/>
  <c r="I27" i="7"/>
  <c r="H27" i="7"/>
  <c r="G27" i="7"/>
  <c r="F27" i="7"/>
  <c r="E27" i="7"/>
  <c r="D27" i="7"/>
  <c r="C27" i="7"/>
  <c r="B27" i="7"/>
  <c r="K26" i="7"/>
  <c r="J26" i="7"/>
  <c r="I26" i="7"/>
  <c r="H26" i="7"/>
  <c r="F26" i="7"/>
  <c r="E26" i="7"/>
  <c r="D26" i="7"/>
  <c r="C26" i="7"/>
  <c r="B26" i="7"/>
  <c r="F25" i="7"/>
  <c r="E25" i="7"/>
  <c r="D25" i="7"/>
  <c r="C25" i="7"/>
  <c r="B25" i="7"/>
  <c r="K23" i="7"/>
  <c r="J23" i="7"/>
  <c r="I23" i="7"/>
  <c r="H23" i="7"/>
  <c r="F23" i="7"/>
  <c r="E23" i="7"/>
  <c r="D23" i="7"/>
  <c r="C23" i="7"/>
  <c r="B23" i="7"/>
  <c r="AD22" i="7"/>
  <c r="AC22" i="7"/>
  <c r="AB22" i="7"/>
  <c r="Z22" i="7"/>
  <c r="Y22" i="7"/>
  <c r="X22" i="7"/>
  <c r="W22" i="7"/>
  <c r="U22" i="7"/>
  <c r="T22" i="7"/>
  <c r="L22" i="7"/>
  <c r="K22" i="7"/>
  <c r="J22" i="7"/>
  <c r="I22" i="7"/>
  <c r="H22" i="7"/>
  <c r="G22" i="7"/>
  <c r="F22" i="7"/>
  <c r="E22" i="7"/>
  <c r="D22" i="7"/>
  <c r="C22" i="7"/>
  <c r="B22" i="7"/>
  <c r="K21" i="7"/>
  <c r="J21" i="7"/>
  <c r="I21" i="7"/>
  <c r="H21" i="7"/>
  <c r="F21" i="7"/>
  <c r="E21" i="7"/>
  <c r="D21" i="7"/>
  <c r="C21" i="7"/>
  <c r="B21" i="7"/>
  <c r="AD20" i="7"/>
  <c r="AC20" i="7"/>
  <c r="AB20" i="7"/>
  <c r="Z20" i="7"/>
  <c r="Y20" i="7"/>
  <c r="X20" i="7"/>
  <c r="W20" i="7"/>
  <c r="U20" i="7"/>
  <c r="T20" i="7"/>
  <c r="S20" i="7"/>
  <c r="R20" i="7"/>
  <c r="P20" i="7"/>
  <c r="O20" i="7"/>
  <c r="N20" i="7"/>
  <c r="M20" i="7"/>
  <c r="L20" i="7"/>
  <c r="K20" i="7"/>
  <c r="J20" i="7"/>
  <c r="I20" i="7"/>
  <c r="H20" i="7"/>
  <c r="G20" i="7"/>
  <c r="F20" i="7"/>
  <c r="E20" i="7"/>
  <c r="D20" i="7"/>
  <c r="C20" i="7"/>
  <c r="B20" i="7"/>
  <c r="K18" i="7"/>
  <c r="J18" i="7"/>
  <c r="I18" i="7"/>
  <c r="H18" i="7"/>
  <c r="G18" i="7"/>
  <c r="F18" i="7"/>
  <c r="E18" i="7"/>
  <c r="D18" i="7"/>
  <c r="C18" i="7"/>
  <c r="B18" i="7"/>
  <c r="F17" i="7"/>
  <c r="E17" i="7"/>
  <c r="D17" i="7"/>
  <c r="C17" i="7"/>
  <c r="B17" i="7"/>
  <c r="P15" i="7"/>
  <c r="O15" i="7"/>
  <c r="N15" i="7"/>
  <c r="K15" i="7"/>
  <c r="J15" i="7"/>
  <c r="I15" i="7"/>
  <c r="H15" i="7"/>
  <c r="G15" i="7"/>
  <c r="F15" i="7"/>
  <c r="E15" i="7"/>
  <c r="D15" i="7"/>
  <c r="C15" i="7"/>
  <c r="B15" i="7"/>
  <c r="K14" i="7"/>
  <c r="J14" i="7"/>
  <c r="I14" i="7"/>
  <c r="H14" i="7"/>
  <c r="F14" i="7"/>
  <c r="E14" i="7"/>
  <c r="D14" i="7"/>
  <c r="C14" i="7"/>
  <c r="B14" i="7"/>
  <c r="P13" i="7"/>
  <c r="O13" i="7"/>
  <c r="N13" i="7"/>
  <c r="K13" i="7"/>
  <c r="J13" i="7"/>
  <c r="I13" i="7"/>
  <c r="H13" i="7"/>
  <c r="G13" i="7"/>
  <c r="F13" i="7"/>
  <c r="E13" i="7"/>
  <c r="D13" i="7"/>
  <c r="C13" i="7"/>
  <c r="B13" i="7"/>
  <c r="K12" i="7"/>
  <c r="J12" i="7"/>
  <c r="I12" i="7"/>
  <c r="H12" i="7"/>
  <c r="F12" i="7"/>
  <c r="E12" i="7"/>
  <c r="D12" i="7"/>
  <c r="C12" i="7"/>
  <c r="B12" i="7"/>
  <c r="K9" i="7"/>
  <c r="J9" i="7"/>
  <c r="I9" i="7"/>
  <c r="H9" i="7"/>
  <c r="P8" i="7"/>
  <c r="O8" i="7"/>
  <c r="N8" i="7"/>
  <c r="M8" i="7"/>
  <c r="K8" i="7"/>
  <c r="J8" i="7"/>
  <c r="I8" i="7"/>
  <c r="H8" i="7"/>
  <c r="AD7" i="7"/>
  <c r="AC7" i="7"/>
  <c r="AB7" i="7"/>
  <c r="Z7" i="7"/>
  <c r="Y7" i="7"/>
  <c r="X7" i="7"/>
  <c r="W7" i="7"/>
  <c r="U7" i="7"/>
  <c r="T7" i="7"/>
  <c r="S7" i="7"/>
  <c r="R7" i="7"/>
  <c r="Q7" i="7"/>
  <c r="P7" i="7"/>
  <c r="O7" i="7"/>
  <c r="N7" i="7"/>
  <c r="M7" i="7"/>
  <c r="L7" i="7"/>
  <c r="K7" i="7"/>
  <c r="J7" i="7"/>
  <c r="I7" i="7"/>
  <c r="H7" i="7"/>
  <c r="G7" i="7"/>
  <c r="AZ5" i="7"/>
  <c r="AY5" i="7"/>
  <c r="AX5" i="7"/>
  <c r="AW5" i="7"/>
  <c r="AV5" i="7"/>
  <c r="AU5" i="7"/>
  <c r="AT5" i="7"/>
  <c r="AS5" i="7"/>
  <c r="AR5" i="7"/>
  <c r="AQ5" i="7"/>
  <c r="AP5" i="7"/>
  <c r="AO5" i="7"/>
  <c r="AN5" i="7"/>
  <c r="AM5" i="7"/>
  <c r="AL5" i="7"/>
  <c r="AK5" i="7"/>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E5" i="7"/>
  <c r="D5" i="7"/>
  <c r="C5" i="7"/>
  <c r="D11" i="6"/>
  <c r="C118" i="5"/>
  <c r="E101" i="5" s="1"/>
  <c r="C115" i="5"/>
  <c r="L86" i="5"/>
  <c r="Q83" i="5"/>
  <c r="P83" i="5"/>
  <c r="N83" i="5"/>
  <c r="M83" i="5"/>
  <c r="E69" i="5"/>
  <c r="D69" i="5"/>
  <c r="C69" i="5"/>
  <c r="G67" i="5"/>
  <c r="F67" i="5"/>
  <c r="E67" i="5"/>
  <c r="D67" i="5"/>
  <c r="E65" i="5"/>
  <c r="E68" i="5" s="1"/>
  <c r="D65" i="5"/>
  <c r="C65" i="5"/>
  <c r="E63" i="5"/>
  <c r="D63" i="5"/>
  <c r="C63" i="5"/>
  <c r="E61" i="5"/>
  <c r="D61" i="5"/>
  <c r="C61" i="5"/>
  <c r="C51" i="5"/>
  <c r="C46" i="5"/>
  <c r="D39" i="5"/>
  <c r="C39" i="5"/>
  <c r="D31" i="5"/>
  <c r="C31" i="5"/>
  <c r="B19" i="5"/>
  <c r="D13" i="5"/>
  <c r="C13" i="5"/>
  <c r="E6" i="5"/>
  <c r="D6" i="5"/>
  <c r="E7" i="5" s="1"/>
  <c r="C6" i="5"/>
  <c r="H5" i="5"/>
  <c r="G5" i="5"/>
  <c r="F5" i="5"/>
  <c r="E5" i="5"/>
  <c r="D5" i="5"/>
  <c r="C5" i="5"/>
  <c r="C4" i="5" s="1"/>
  <c r="B5" i="5"/>
  <c r="AP56" i="4"/>
  <c r="AK56" i="4"/>
  <c r="AP55" i="4"/>
  <c r="AK55" i="4"/>
  <c r="BA48" i="4"/>
  <c r="BA47" i="4"/>
  <c r="BB46" i="4"/>
  <c r="BB45" i="4"/>
  <c r="BM43" i="4"/>
  <c r="BN43" i="4" s="1"/>
  <c r="BP43" i="4" s="1"/>
  <c r="BQ43" i="4" s="1"/>
  <c r="BR43" i="4" s="1"/>
  <c r="BS43" i="4" s="1"/>
  <c r="BU43" i="4" s="1"/>
  <c r="BV43" i="4" s="1"/>
  <c r="BW43" i="4" s="1"/>
  <c r="BX43" i="4" s="1"/>
  <c r="BZ43" i="4" s="1"/>
  <c r="CA43" i="4" s="1"/>
  <c r="CB43" i="4" s="1"/>
  <c r="CC43" i="4" s="1"/>
  <c r="BL43" i="4"/>
  <c r="BI42" i="4"/>
  <c r="BH42" i="4"/>
  <c r="BG42" i="4"/>
  <c r="BF42" i="4"/>
  <c r="BJ41" i="4"/>
  <c r="BE41" i="4"/>
  <c r="BA37" i="4"/>
  <c r="AZ37" i="4"/>
  <c r="BA36" i="4"/>
  <c r="BB36" i="4" s="1"/>
  <c r="BC36" i="4" s="1"/>
  <c r="BD36" i="4" s="1"/>
  <c r="BF36" i="4" s="1"/>
  <c r="AZ36" i="4"/>
  <c r="BC33" i="4"/>
  <c r="BB33" i="4"/>
  <c r="BG33" i="4" s="1"/>
  <c r="BA33" i="4"/>
  <c r="AY33" i="4"/>
  <c r="AQ31" i="4"/>
  <c r="AQ30" i="4"/>
  <c r="AR29" i="4"/>
  <c r="AS29" i="4" s="1"/>
  <c r="AR28" i="4"/>
  <c r="AR30" i="4" s="1"/>
  <c r="CA26" i="4"/>
  <c r="CB26" i="4" s="1"/>
  <c r="CC26" i="4" s="1"/>
  <c r="BV26" i="4"/>
  <c r="BW26" i="4" s="1"/>
  <c r="BX26" i="4" s="1"/>
  <c r="BQ26" i="4"/>
  <c r="BR26" i="4" s="1"/>
  <c r="BS26" i="4" s="1"/>
  <c r="BD25" i="4"/>
  <c r="BC25" i="4"/>
  <c r="BB25" i="4"/>
  <c r="BG25" i="4" s="1"/>
  <c r="BA25" i="4"/>
  <c r="AZ25" i="4"/>
  <c r="AT25" i="4"/>
  <c r="AU25" i="4" s="1"/>
  <c r="AQ15" i="4"/>
  <c r="AX14" i="4"/>
  <c r="AV14" i="4"/>
  <c r="AT14" i="4"/>
  <c r="AS14" i="4"/>
  <c r="AR14" i="4"/>
  <c r="AQ14" i="4"/>
  <c r="AR13" i="4"/>
  <c r="AR15" i="4" s="1"/>
  <c r="AU12" i="4"/>
  <c r="CA10" i="4"/>
  <c r="CB10" i="4" s="1"/>
  <c r="CC10" i="4" s="1"/>
  <c r="BV10" i="4"/>
  <c r="BW10" i="4" s="1"/>
  <c r="BX10" i="4" s="1"/>
  <c r="BQ10" i="4"/>
  <c r="BR10" i="4" s="1"/>
  <c r="BS10" i="4" s="1"/>
  <c r="BG10" i="4"/>
  <c r="BD10" i="4"/>
  <c r="BC10" i="4"/>
  <c r="BB10" i="4"/>
  <c r="BA10" i="4"/>
  <c r="AX10" i="4"/>
  <c r="AV10" i="4"/>
  <c r="BG9" i="4"/>
  <c r="BF9" i="4"/>
  <c r="BK41" i="4" s="1"/>
  <c r="BD9" i="4"/>
  <c r="BC9" i="4"/>
  <c r="BB9" i="4"/>
  <c r="BB14" i="4" s="1"/>
  <c r="BA9" i="4"/>
  <c r="AY9" i="4"/>
  <c r="AW9" i="4"/>
  <c r="AW14" i="4" s="1"/>
  <c r="AU9" i="4"/>
  <c r="BH6" i="4"/>
  <c r="BG6" i="4"/>
  <c r="BG44" i="4" s="1"/>
  <c r="BF6" i="4"/>
  <c r="BF44" i="4" s="1"/>
  <c r="BD6" i="4"/>
  <c r="BD43" i="4" s="1"/>
  <c r="BC6" i="4"/>
  <c r="BB6" i="4"/>
  <c r="BA6" i="4"/>
  <c r="BA43" i="4" s="1"/>
  <c r="AY6" i="4"/>
  <c r="AY27" i="4" s="1"/>
  <c r="AX6" i="4"/>
  <c r="AX27" i="4" s="1"/>
  <c r="AW6" i="4"/>
  <c r="AW27" i="4" s="1"/>
  <c r="AV6" i="4"/>
  <c r="AV27" i="4" s="1"/>
  <c r="AU6" i="4"/>
  <c r="AT6" i="4"/>
  <c r="AS6" i="4"/>
  <c r="AS50" i="4" s="1"/>
  <c r="AS52" i="4" s="1"/>
  <c r="AR6" i="4"/>
  <c r="AQ6" i="4"/>
  <c r="AQ27" i="4" s="1"/>
  <c r="AP6" i="4"/>
  <c r="AP50" i="4" s="1"/>
  <c r="AP52" i="4" s="1"/>
  <c r="AK6" i="4"/>
  <c r="AK50" i="4" s="1"/>
  <c r="AK52" i="4" s="1"/>
  <c r="CD4" i="4"/>
  <c r="CC4" i="4"/>
  <c r="CB4" i="4"/>
  <c r="CA4" i="4"/>
  <c r="BZ4" i="4"/>
  <c r="BY4" i="4"/>
  <c r="BX4" i="4"/>
  <c r="BW4" i="4"/>
  <c r="BV4" i="4"/>
  <c r="BU4" i="4"/>
  <c r="BT4" i="4"/>
  <c r="BS4" i="4"/>
  <c r="BR4" i="4"/>
  <c r="BQ4" i="4"/>
  <c r="BP4" i="4"/>
  <c r="BO4" i="4"/>
  <c r="BN4" i="4"/>
  <c r="BM4" i="4"/>
  <c r="BL4" i="4"/>
  <c r="BK4" i="4"/>
  <c r="BJ4" i="4"/>
  <c r="BI4" i="4"/>
  <c r="BH4" i="4"/>
  <c r="BG4" i="4"/>
  <c r="BF4" i="4"/>
  <c r="BE4" i="4"/>
  <c r="BD4" i="4"/>
  <c r="BC4" i="4"/>
  <c r="BB4" i="4"/>
  <c r="BA4" i="4"/>
  <c r="AZ4" i="4"/>
  <c r="AY4" i="4"/>
  <c r="AX4" i="4"/>
  <c r="AW4" i="4"/>
  <c r="AV4" i="4"/>
  <c r="AU4" i="4"/>
  <c r="AT4" i="4"/>
  <c r="AS4" i="4"/>
  <c r="AR4" i="4"/>
  <c r="AQ4" i="4"/>
  <c r="AP4" i="4"/>
  <c r="AK4" i="4"/>
  <c r="AV279" i="3"/>
  <c r="AS279" i="3"/>
  <c r="AR279" i="3"/>
  <c r="AQ279" i="3"/>
  <c r="AT278" i="3"/>
  <c r="AU278" i="3" s="1"/>
  <c r="AO278" i="3"/>
  <c r="AP278" i="3" s="1"/>
  <c r="AP279" i="3" s="1"/>
  <c r="AI261" i="3"/>
  <c r="AH261" i="3"/>
  <c r="AG261" i="3"/>
  <c r="AE261" i="3"/>
  <c r="AD261" i="3"/>
  <c r="AC261" i="3"/>
  <c r="AB261" i="3"/>
  <c r="Z261" i="3"/>
  <c r="Y261" i="3"/>
  <c r="X261" i="3"/>
  <c r="W261" i="3"/>
  <c r="U261" i="3"/>
  <c r="T261" i="3"/>
  <c r="S261" i="3"/>
  <c r="R261" i="3"/>
  <c r="P261" i="3"/>
  <c r="O261" i="3"/>
  <c r="N261" i="3"/>
  <c r="M261" i="3"/>
  <c r="K261" i="3"/>
  <c r="J261" i="3"/>
  <c r="I261" i="3"/>
  <c r="H261" i="3"/>
  <c r="F261" i="3"/>
  <c r="AU252" i="3"/>
  <c r="AP252" i="3"/>
  <c r="AK252" i="3"/>
  <c r="AF252" i="3"/>
  <c r="AA252" i="3"/>
  <c r="V252" i="3"/>
  <c r="Q252" i="3"/>
  <c r="L252" i="3"/>
  <c r="AU248" i="3"/>
  <c r="AP248" i="3"/>
  <c r="AK248" i="3"/>
  <c r="AF248" i="3"/>
  <c r="AA248" i="3"/>
  <c r="V248" i="3"/>
  <c r="Q248" i="3"/>
  <c r="L248" i="3"/>
  <c r="G248" i="3"/>
  <c r="AE233" i="3"/>
  <c r="AD233" i="3"/>
  <c r="AC233" i="3"/>
  <c r="AB233" i="3"/>
  <c r="Z233" i="3"/>
  <c r="Y233" i="3"/>
  <c r="X233" i="3"/>
  <c r="W233" i="3"/>
  <c r="U233" i="3"/>
  <c r="T233" i="3"/>
  <c r="S233" i="3"/>
  <c r="R233" i="3"/>
  <c r="P233" i="3"/>
  <c r="O233" i="3"/>
  <c r="N233" i="3"/>
  <c r="M233" i="3"/>
  <c r="AV232" i="3"/>
  <c r="AS232" i="3"/>
  <c r="AR232" i="3"/>
  <c r="AQ232" i="3"/>
  <c r="AN232" i="3"/>
  <c r="AN231" i="3" s="1"/>
  <c r="AM232" i="3"/>
  <c r="AM231" i="3" s="1"/>
  <c r="AL232" i="3"/>
  <c r="AL228" i="3" s="1"/>
  <c r="AI232" i="3"/>
  <c r="AI233" i="3" s="1"/>
  <c r="AI177" i="3" s="1"/>
  <c r="AH232" i="3"/>
  <c r="AG232" i="3"/>
  <c r="AG233" i="3" s="1"/>
  <c r="AG177" i="3" s="1"/>
  <c r="AF232" i="3"/>
  <c r="AA232" i="3"/>
  <c r="V232" i="3"/>
  <c r="Q232" i="3"/>
  <c r="L232" i="3"/>
  <c r="AQ231" i="3"/>
  <c r="AL231" i="3"/>
  <c r="AV230" i="3"/>
  <c r="AS230" i="3"/>
  <c r="AR230" i="3"/>
  <c r="AQ230" i="3"/>
  <c r="AT229" i="3"/>
  <c r="AO229" i="3"/>
  <c r="AP229" i="3" s="1"/>
  <c r="AJ229" i="3"/>
  <c r="AK229" i="3" s="1"/>
  <c r="AQ228" i="3"/>
  <c r="AV227" i="3"/>
  <c r="AS227" i="3"/>
  <c r="AR227" i="3"/>
  <c r="AQ227" i="3"/>
  <c r="AN227" i="3"/>
  <c r="AM227" i="3"/>
  <c r="AL227" i="3"/>
  <c r="AT226" i="3"/>
  <c r="AO226" i="3"/>
  <c r="AJ226" i="3"/>
  <c r="AK226" i="3" s="1"/>
  <c r="AV213" i="3"/>
  <c r="AT213" i="3"/>
  <c r="AS213" i="3"/>
  <c r="AR213" i="3"/>
  <c r="AW214" i="3" s="1"/>
  <c r="AQ213" i="3"/>
  <c r="AO213" i="3"/>
  <c r="AN213" i="3"/>
  <c r="AM213" i="3"/>
  <c r="AL213" i="3"/>
  <c r="AJ213" i="3"/>
  <c r="AI213" i="3"/>
  <c r="AH213" i="3"/>
  <c r="AG213" i="3"/>
  <c r="AE213" i="3"/>
  <c r="AD213" i="3"/>
  <c r="AC213" i="3"/>
  <c r="AB213" i="3"/>
  <c r="Z213" i="3"/>
  <c r="Y213" i="3"/>
  <c r="X213" i="3"/>
  <c r="W213" i="3"/>
  <c r="U213" i="3"/>
  <c r="T213" i="3"/>
  <c r="S213" i="3"/>
  <c r="R213" i="3"/>
  <c r="P213" i="3"/>
  <c r="O213" i="3"/>
  <c r="N213" i="3"/>
  <c r="M213" i="3"/>
  <c r="K213" i="3"/>
  <c r="AV212" i="3"/>
  <c r="AT212" i="3"/>
  <c r="AS212" i="3"/>
  <c r="AR212" i="3"/>
  <c r="AQ212" i="3"/>
  <c r="AO212" i="3"/>
  <c r="AN212" i="3"/>
  <c r="AM212" i="3"/>
  <c r="AL212" i="3"/>
  <c r="AJ212" i="3"/>
  <c r="AI212" i="3"/>
  <c r="AH212" i="3"/>
  <c r="AG212" i="3"/>
  <c r="AE212" i="3"/>
  <c r="AD212" i="3"/>
  <c r="AC212" i="3"/>
  <c r="AB212" i="3"/>
  <c r="Z212" i="3"/>
  <c r="Y212" i="3"/>
  <c r="X212" i="3"/>
  <c r="W212" i="3"/>
  <c r="U212" i="3"/>
  <c r="T212" i="3"/>
  <c r="S212" i="3"/>
  <c r="R212" i="3"/>
  <c r="P212" i="3"/>
  <c r="AU211" i="3"/>
  <c r="AP211" i="3"/>
  <c r="AK211" i="3"/>
  <c r="AF211" i="3"/>
  <c r="AA211" i="3"/>
  <c r="V211" i="3"/>
  <c r="Q211" i="3"/>
  <c r="J211" i="3"/>
  <c r="I211" i="3"/>
  <c r="N212" i="3" s="1"/>
  <c r="H211" i="3"/>
  <c r="M212" i="3" s="1"/>
  <c r="F211" i="3"/>
  <c r="F213" i="3" s="1"/>
  <c r="E211" i="3"/>
  <c r="E213" i="3" s="1"/>
  <c r="D211" i="3"/>
  <c r="D213" i="3" s="1"/>
  <c r="C211" i="3"/>
  <c r="AV209" i="3"/>
  <c r="AT209" i="3"/>
  <c r="AS209" i="3"/>
  <c r="AR209" i="3"/>
  <c r="AQ209" i="3"/>
  <c r="AO209" i="3"/>
  <c r="AN209" i="3"/>
  <c r="AM209" i="3"/>
  <c r="AL209" i="3"/>
  <c r="AJ209" i="3"/>
  <c r="AI209" i="3"/>
  <c r="AH209" i="3"/>
  <c r="AG209" i="3"/>
  <c r="AE209" i="3"/>
  <c r="AD209" i="3"/>
  <c r="AC209" i="3"/>
  <c r="AB209" i="3"/>
  <c r="Z209" i="3"/>
  <c r="Y209" i="3"/>
  <c r="X209" i="3"/>
  <c r="W209" i="3"/>
  <c r="U209" i="3"/>
  <c r="T209" i="3"/>
  <c r="S209" i="3"/>
  <c r="R209" i="3"/>
  <c r="P209" i="3"/>
  <c r="O209" i="3"/>
  <c r="N209" i="3"/>
  <c r="M209" i="3"/>
  <c r="K209" i="3"/>
  <c r="J209" i="3"/>
  <c r="I209" i="3"/>
  <c r="H209" i="3"/>
  <c r="AU208" i="3"/>
  <c r="AP208" i="3"/>
  <c r="AK208" i="3"/>
  <c r="AF208" i="3"/>
  <c r="AA208" i="3"/>
  <c r="V208" i="3"/>
  <c r="Q208" i="3"/>
  <c r="L208" i="3"/>
  <c r="G208" i="3"/>
  <c r="AV196" i="3"/>
  <c r="BJ195" i="3"/>
  <c r="BC195" i="3"/>
  <c r="BB195" i="3"/>
  <c r="BA195" i="3"/>
  <c r="AY195" i="3"/>
  <c r="AX195" i="3"/>
  <c r="AZ195" i="3" s="1"/>
  <c r="AU195" i="3"/>
  <c r="AP195" i="3"/>
  <c r="BJ194" i="3"/>
  <c r="BC194" i="3"/>
  <c r="BB194" i="3"/>
  <c r="BA194" i="3"/>
  <c r="AY194" i="3"/>
  <c r="AX194" i="3"/>
  <c r="AU194" i="3"/>
  <c r="AP194" i="3"/>
  <c r="BJ193" i="3"/>
  <c r="BC193" i="3"/>
  <c r="BB193" i="3"/>
  <c r="BA193" i="3"/>
  <c r="BE193" i="3" s="1"/>
  <c r="AY193" i="3"/>
  <c r="AX193" i="3"/>
  <c r="AU193" i="3"/>
  <c r="AP193" i="3"/>
  <c r="BF182" i="3"/>
  <c r="BD182" i="3"/>
  <c r="BC182" i="3"/>
  <c r="BB182" i="3"/>
  <c r="BA182" i="3"/>
  <c r="AY182" i="3"/>
  <c r="AX182" i="3"/>
  <c r="AW182" i="3"/>
  <c r="AV182" i="3"/>
  <c r="AT182" i="3"/>
  <c r="AS182" i="3"/>
  <c r="AR182" i="3"/>
  <c r="AQ182" i="3"/>
  <c r="AO182" i="3"/>
  <c r="AN182" i="3"/>
  <c r="AM182" i="3"/>
  <c r="AL182" i="3"/>
  <c r="AJ182" i="3"/>
  <c r="AI182" i="3"/>
  <c r="AH182" i="3"/>
  <c r="AG182" i="3"/>
  <c r="BF178" i="3"/>
  <c r="BD178" i="3"/>
  <c r="BC178" i="3"/>
  <c r="BB178" i="3"/>
  <c r="BA178" i="3"/>
  <c r="AY178" i="3"/>
  <c r="AX178" i="3"/>
  <c r="AW178" i="3"/>
  <c r="AV178" i="3"/>
  <c r="AT178" i="3"/>
  <c r="AS178" i="3"/>
  <c r="AR178" i="3"/>
  <c r="AQ178" i="3"/>
  <c r="AO178" i="3"/>
  <c r="AN178" i="3"/>
  <c r="AM178" i="3"/>
  <c r="AL178" i="3"/>
  <c r="AJ178" i="3"/>
  <c r="AI178" i="3"/>
  <c r="AH178" i="3"/>
  <c r="AG178" i="3"/>
  <c r="AE178" i="3"/>
  <c r="AD178" i="3"/>
  <c r="AC178" i="3"/>
  <c r="AB178" i="3"/>
  <c r="Z178" i="3"/>
  <c r="Y178" i="3"/>
  <c r="X178" i="3"/>
  <c r="W178" i="3"/>
  <c r="AE177" i="3"/>
  <c r="AE179" i="3" s="1"/>
  <c r="AD177" i="3"/>
  <c r="AC177" i="3"/>
  <c r="AC179" i="3" s="1"/>
  <c r="AB177" i="3"/>
  <c r="Z177" i="3"/>
  <c r="Y177" i="3"/>
  <c r="X177" i="3"/>
  <c r="W177" i="3"/>
  <c r="W179" i="3" s="1"/>
  <c r="BH170" i="3"/>
  <c r="BG170" i="3"/>
  <c r="BF170" i="3"/>
  <c r="BD170" i="3"/>
  <c r="BC170" i="3"/>
  <c r="BB170" i="3"/>
  <c r="BA170" i="3"/>
  <c r="AY170" i="3"/>
  <c r="AV167" i="3"/>
  <c r="AV190" i="3" s="1"/>
  <c r="AR167" i="3"/>
  <c r="AQ166" i="3"/>
  <c r="AP166" i="3"/>
  <c r="BH161" i="3"/>
  <c r="BG161" i="3"/>
  <c r="BF161" i="3"/>
  <c r="BB161" i="3"/>
  <c r="BA161" i="3"/>
  <c r="AY161" i="3"/>
  <c r="AR158" i="3"/>
  <c r="AX157" i="3"/>
  <c r="AW157" i="3"/>
  <c r="AV157" i="3"/>
  <c r="AV160" i="3" s="1"/>
  <c r="AQ157" i="3"/>
  <c r="AQ160" i="3" s="1"/>
  <c r="AQ162" i="3" s="1"/>
  <c r="AQ163" i="3" s="1"/>
  <c r="AP157" i="3"/>
  <c r="BH152" i="3"/>
  <c r="BG152" i="3"/>
  <c r="BF152" i="3"/>
  <c r="BB152" i="3"/>
  <c r="BA152" i="3"/>
  <c r="AY152" i="3"/>
  <c r="AR149" i="3"/>
  <c r="AV148" i="3"/>
  <c r="AQ148" i="3"/>
  <c r="AQ151" i="3" s="1"/>
  <c r="AP148" i="3"/>
  <c r="AP151" i="3" s="1"/>
  <c r="AT141" i="3"/>
  <c r="AY137" i="3"/>
  <c r="AX137" i="3"/>
  <c r="AX143" i="3" s="1"/>
  <c r="AU137" i="3"/>
  <c r="AU142" i="3" s="1"/>
  <c r="AP137" i="3"/>
  <c r="AP140" i="3" s="1"/>
  <c r="AP141" i="3" s="1"/>
  <c r="AK137" i="3"/>
  <c r="AK140" i="3" s="1"/>
  <c r="AX136" i="3"/>
  <c r="AW136" i="3"/>
  <c r="AU136" i="3"/>
  <c r="AP136" i="3"/>
  <c r="AV135" i="3"/>
  <c r="AQ135" i="3"/>
  <c r="AX134" i="3"/>
  <c r="AW134" i="3"/>
  <c r="AU134" i="3"/>
  <c r="AP134" i="3"/>
  <c r="AV133" i="3"/>
  <c r="AQ133" i="3"/>
  <c r="BH131" i="3"/>
  <c r="BF131" i="3"/>
  <c r="BD131" i="3"/>
  <c r="BC131" i="3"/>
  <c r="AW130" i="3"/>
  <c r="BB131" i="3" s="1"/>
  <c r="AV130" i="3"/>
  <c r="BA131" i="3" s="1"/>
  <c r="AT130" i="3"/>
  <c r="AY131" i="3" s="1"/>
  <c r="AS130" i="3"/>
  <c r="AX131" i="3" s="1"/>
  <c r="AR130" i="3"/>
  <c r="BH129" i="3"/>
  <c r="BF129" i="3"/>
  <c r="BD129" i="3"/>
  <c r="BC129" i="3"/>
  <c r="AU129" i="3"/>
  <c r="AP129" i="3"/>
  <c r="AW128" i="3"/>
  <c r="BB129" i="3" s="1"/>
  <c r="AV128" i="3"/>
  <c r="BA129" i="3" s="1"/>
  <c r="AT128" i="3"/>
  <c r="AY129" i="3" s="1"/>
  <c r="AS128" i="3"/>
  <c r="AR128" i="3"/>
  <c r="AQ128" i="3" s="1"/>
  <c r="BA124" i="3"/>
  <c r="AY124" i="3"/>
  <c r="AX124" i="3"/>
  <c r="AW124" i="3"/>
  <c r="AV124" i="3"/>
  <c r="AT124" i="3"/>
  <c r="BD119" i="3"/>
  <c r="BC119" i="3"/>
  <c r="BB119" i="3"/>
  <c r="BA119" i="3"/>
  <c r="AY119" i="3"/>
  <c r="AX119" i="3"/>
  <c r="BE118" i="3"/>
  <c r="AU118" i="3"/>
  <c r="AU113" i="3" s="1"/>
  <c r="AR118" i="3"/>
  <c r="AR113" i="3" s="1"/>
  <c r="AQ118" i="3"/>
  <c r="AV119" i="3" s="1"/>
  <c r="AP118" i="3"/>
  <c r="AP113" i="3" s="1"/>
  <c r="BD114" i="3"/>
  <c r="BC114" i="3"/>
  <c r="BB114" i="3"/>
  <c r="BA114" i="3"/>
  <c r="AY114" i="3"/>
  <c r="BE113" i="3"/>
  <c r="AZ113" i="3"/>
  <c r="AS113" i="3"/>
  <c r="AX115" i="3" s="1"/>
  <c r="BG106" i="3"/>
  <c r="BG101" i="3"/>
  <c r="BD101" i="3"/>
  <c r="BB101" i="3"/>
  <c r="AY101" i="3"/>
  <c r="BH100" i="3"/>
  <c r="BG100" i="3"/>
  <c r="BF100" i="3"/>
  <c r="BC100" i="3"/>
  <c r="BA100" i="3"/>
  <c r="AX100" i="3"/>
  <c r="AV100" i="3"/>
  <c r="BF99" i="3"/>
  <c r="BF10" i="4" s="1"/>
  <c r="AX99" i="3"/>
  <c r="AV99" i="3"/>
  <c r="BE98" i="3"/>
  <c r="AY98" i="3"/>
  <c r="BD100" i="3" s="1"/>
  <c r="AW98" i="3"/>
  <c r="BB100" i="3" s="1"/>
  <c r="AU98" i="3"/>
  <c r="AU93" i="3"/>
  <c r="AP93" i="3"/>
  <c r="AK93" i="3"/>
  <c r="BH77" i="3"/>
  <c r="BG77" i="3"/>
  <c r="BF77" i="3"/>
  <c r="BK78" i="3" s="1"/>
  <c r="BD77" i="3"/>
  <c r="BI78" i="3" s="1"/>
  <c r="BC77" i="3"/>
  <c r="BB77" i="3"/>
  <c r="BA77" i="3"/>
  <c r="AY77" i="3"/>
  <c r="AX77" i="3"/>
  <c r="AW77" i="3"/>
  <c r="AV77" i="3"/>
  <c r="AU77" i="3"/>
  <c r="AT77" i="3"/>
  <c r="AS77" i="3"/>
  <c r="AR77" i="3"/>
  <c r="AQ77" i="3"/>
  <c r="AP77" i="3"/>
  <c r="AK77" i="3"/>
  <c r="BH75" i="3"/>
  <c r="BG75" i="3"/>
  <c r="BF75" i="3"/>
  <c r="BD75" i="3"/>
  <c r="BC75" i="3"/>
  <c r="BB75" i="3"/>
  <c r="BA75" i="3"/>
  <c r="AY75" i="3"/>
  <c r="AX75" i="3"/>
  <c r="AW75" i="3"/>
  <c r="AV75" i="3"/>
  <c r="AU75" i="3"/>
  <c r="AP75" i="3"/>
  <c r="BJ74" i="3"/>
  <c r="BE74" i="3"/>
  <c r="AZ74" i="3"/>
  <c r="BH71" i="3"/>
  <c r="BG71" i="3"/>
  <c r="BF71" i="3"/>
  <c r="BK72" i="3" s="1"/>
  <c r="BD71" i="3"/>
  <c r="BI72" i="3" s="1"/>
  <c r="BC71" i="3"/>
  <c r="BB71" i="3"/>
  <c r="BA71" i="3"/>
  <c r="AY71" i="3"/>
  <c r="AX71" i="3"/>
  <c r="AW71" i="3"/>
  <c r="AV71" i="3"/>
  <c r="AU71" i="3"/>
  <c r="AT71" i="3"/>
  <c r="AS71" i="3"/>
  <c r="AR71" i="3"/>
  <c r="AQ71" i="3"/>
  <c r="BH69" i="3"/>
  <c r="BG69" i="3"/>
  <c r="BF69" i="3"/>
  <c r="BD69" i="3"/>
  <c r="BC69" i="3"/>
  <c r="BB69" i="3"/>
  <c r="BA69" i="3"/>
  <c r="AY69" i="3"/>
  <c r="AX69" i="3"/>
  <c r="AW69" i="3"/>
  <c r="AV69" i="3"/>
  <c r="AU69" i="3"/>
  <c r="AP69" i="3"/>
  <c r="BE68" i="3"/>
  <c r="BH57" i="3"/>
  <c r="BG57" i="3"/>
  <c r="BF57" i="3"/>
  <c r="BD57" i="3"/>
  <c r="BD62" i="3" s="1"/>
  <c r="Z10" i="7" s="1"/>
  <c r="BC57" i="3"/>
  <c r="BB57" i="3"/>
  <c r="BB141" i="3" s="1"/>
  <c r="BA57" i="3"/>
  <c r="BA141" i="3" s="1"/>
  <c r="AX57" i="3"/>
  <c r="AX141" i="3" s="1"/>
  <c r="AP57" i="3"/>
  <c r="AO57" i="3"/>
  <c r="AO62" i="3" s="1"/>
  <c r="K10" i="7" s="1"/>
  <c r="AN57" i="3"/>
  <c r="AN62" i="3" s="1"/>
  <c r="J10" i="7" s="1"/>
  <c r="AM57" i="3"/>
  <c r="AM62" i="3" s="1"/>
  <c r="I10" i="7" s="1"/>
  <c r="AL57" i="3"/>
  <c r="AL62" i="3" s="1"/>
  <c r="H10" i="7" s="1"/>
  <c r="AK57" i="3"/>
  <c r="AK62" i="3" s="1"/>
  <c r="G10" i="7" s="1"/>
  <c r="BZ54" i="3"/>
  <c r="BU54" i="3"/>
  <c r="BD54" i="3"/>
  <c r="CA53" i="3"/>
  <c r="BV53" i="3"/>
  <c r="BV54" i="3" s="1"/>
  <c r="BL54" i="3"/>
  <c r="BZ52" i="3"/>
  <c r="BU52" i="3"/>
  <c r="BD52" i="3"/>
  <c r="BH50" i="3"/>
  <c r="BG50" i="3"/>
  <c r="BF50" i="3"/>
  <c r="BC50" i="3"/>
  <c r="BB50" i="3"/>
  <c r="BA50" i="3"/>
  <c r="AX50" i="3"/>
  <c r="AW50" i="3"/>
  <c r="AV50" i="3"/>
  <c r="AP50" i="3"/>
  <c r="BE49" i="3"/>
  <c r="AY50" i="3"/>
  <c r="AU49" i="3"/>
  <c r="BH46" i="3"/>
  <c r="BG46" i="3"/>
  <c r="BF46" i="3"/>
  <c r="BC46" i="3"/>
  <c r="AP46" i="3"/>
  <c r="BE45" i="3"/>
  <c r="C14" i="1" s="1"/>
  <c r="BD46" i="3"/>
  <c r="AW45" i="3"/>
  <c r="AW25" i="3" s="1"/>
  <c r="AV45" i="3"/>
  <c r="AU45" i="3"/>
  <c r="AU46" i="3" s="1"/>
  <c r="AT45" i="3"/>
  <c r="AT57" i="3" s="1"/>
  <c r="AT62" i="3" s="1"/>
  <c r="P10" i="7" s="1"/>
  <c r="AS45" i="3"/>
  <c r="AS57" i="3" s="1"/>
  <c r="AS62" i="3" s="1"/>
  <c r="O10" i="7" s="1"/>
  <c r="AR45" i="3"/>
  <c r="AQ45" i="3"/>
  <c r="BH43" i="3"/>
  <c r="BG43" i="3"/>
  <c r="BF43" i="3"/>
  <c r="BC43" i="3"/>
  <c r="BB43" i="3"/>
  <c r="BA43" i="3"/>
  <c r="AX43" i="3"/>
  <c r="AW43" i="3"/>
  <c r="AT43" i="3"/>
  <c r="AS43" i="3"/>
  <c r="AR43" i="3"/>
  <c r="AY42" i="3"/>
  <c r="AX42" i="3"/>
  <c r="AW42" i="3"/>
  <c r="CC41" i="3"/>
  <c r="CB41" i="3"/>
  <c r="CA41" i="3"/>
  <c r="BZ41" i="3"/>
  <c r="BX41" i="3"/>
  <c r="BW41" i="3"/>
  <c r="BV41" i="3"/>
  <c r="BU41" i="3"/>
  <c r="BS41" i="3"/>
  <c r="BR41" i="3"/>
  <c r="BQ41" i="3"/>
  <c r="BP41" i="3"/>
  <c r="BN41" i="3"/>
  <c r="BM41" i="3"/>
  <c r="BL41" i="3"/>
  <c r="BK41" i="3"/>
  <c r="BH41" i="3"/>
  <c r="BH42" i="3" s="1"/>
  <c r="BG41" i="3"/>
  <c r="BG42" i="3" s="1"/>
  <c r="BF41" i="3"/>
  <c r="BC41" i="3"/>
  <c r="BC42" i="3" s="1"/>
  <c r="BB41" i="3"/>
  <c r="BB42" i="3" s="1"/>
  <c r="AX41" i="3"/>
  <c r="AW41" i="3"/>
  <c r="CD40" i="3"/>
  <c r="BY40" i="3"/>
  <c r="BT40" i="3"/>
  <c r="BO40" i="3"/>
  <c r="BJ40" i="3"/>
  <c r="BD40" i="3"/>
  <c r="BE40" i="3" s="1"/>
  <c r="AV40" i="3"/>
  <c r="AV43" i="3" s="1"/>
  <c r="AQ40" i="3"/>
  <c r="AU40" i="3" s="1"/>
  <c r="AU43" i="3" s="1"/>
  <c r="BE30" i="3"/>
  <c r="AZ30" i="3"/>
  <c r="AU30" i="3"/>
  <c r="BH25" i="3"/>
  <c r="BG25" i="3"/>
  <c r="BF25" i="3"/>
  <c r="AB9" i="7" s="1"/>
  <c r="BD25" i="3"/>
  <c r="Z9" i="7" s="1"/>
  <c r="BC25" i="3"/>
  <c r="Y9" i="7" s="1"/>
  <c r="BB25" i="3"/>
  <c r="BA25" i="3"/>
  <c r="W9" i="7" s="1"/>
  <c r="AY25" i="3"/>
  <c r="U9" i="7" s="1"/>
  <c r="AX25" i="3"/>
  <c r="T9" i="7" s="1"/>
  <c r="AR25" i="3"/>
  <c r="AP25" i="3"/>
  <c r="AP53" i="4" s="1"/>
  <c r="AK25" i="3"/>
  <c r="BD16" i="3"/>
  <c r="BD14" i="3" s="1"/>
  <c r="BH14" i="3"/>
  <c r="BG14" i="3"/>
  <c r="BG21" i="3" s="1"/>
  <c r="BG23" i="3" s="1"/>
  <c r="BF14" i="3"/>
  <c r="BF21" i="3" s="1"/>
  <c r="BF23" i="3" s="1"/>
  <c r="BC14" i="3"/>
  <c r="BB14" i="3"/>
  <c r="BB21" i="3" s="1"/>
  <c r="BB23" i="3" s="1"/>
  <c r="BA14" i="3"/>
  <c r="AY14" i="3"/>
  <c r="AY21" i="3" s="1"/>
  <c r="AX14" i="3"/>
  <c r="AX21" i="3" s="1"/>
  <c r="AX23" i="3" s="1"/>
  <c r="AW14" i="3"/>
  <c r="AV14" i="3"/>
  <c r="AV21" i="3" s="1"/>
  <c r="AU14" i="3"/>
  <c r="AT14" i="3"/>
  <c r="AT21" i="3" s="1"/>
  <c r="AT23" i="3" s="1"/>
  <c r="AS14" i="3"/>
  <c r="AS21" i="3" s="1"/>
  <c r="AS23" i="3" s="1"/>
  <c r="AR14" i="3"/>
  <c r="AR21" i="3" s="1"/>
  <c r="AR23" i="3" s="1"/>
  <c r="AQ14" i="3"/>
  <c r="AQ21" i="3" s="1"/>
  <c r="AQ23" i="3" s="1"/>
  <c r="AP14" i="3"/>
  <c r="AP21" i="3" s="1"/>
  <c r="AP23" i="3" s="1"/>
  <c r="BZ11" i="3"/>
  <c r="BW11" i="3"/>
  <c r="BR11" i="3"/>
  <c r="BQ11" i="3"/>
  <c r="CA10" i="3"/>
  <c r="CB10" i="3" s="1"/>
  <c r="BX10" i="3"/>
  <c r="BX9" i="3" s="1"/>
  <c r="BV10" i="3"/>
  <c r="BS11" i="3"/>
  <c r="BP11" i="3"/>
  <c r="BZ9" i="3"/>
  <c r="BW9" i="3"/>
  <c r="BU9" i="3"/>
  <c r="BR9" i="3"/>
  <c r="BQ9" i="3"/>
  <c r="BH7" i="3"/>
  <c r="AD8" i="7" s="1"/>
  <c r="BG7" i="3"/>
  <c r="AC8" i="7" s="1"/>
  <c r="BF7" i="3"/>
  <c r="BF177" i="3" s="1"/>
  <c r="BD7" i="3"/>
  <c r="BC7" i="3"/>
  <c r="Y8" i="7" s="1"/>
  <c r="BB7" i="3"/>
  <c r="BA7" i="3"/>
  <c r="BA177" i="3" s="1"/>
  <c r="AY7" i="3"/>
  <c r="AX7" i="3"/>
  <c r="AX177" i="3" s="1"/>
  <c r="AW7" i="3"/>
  <c r="S8" i="7" s="1"/>
  <c r="AV7" i="3"/>
  <c r="AU7" i="3"/>
  <c r="Q8" i="7" s="1"/>
  <c r="AP7" i="3"/>
  <c r="L8" i="7" s="1"/>
  <c r="BE6" i="3"/>
  <c r="AZ93" i="3"/>
  <c r="CD4" i="3"/>
  <c r="CC4" i="3"/>
  <c r="CB4" i="3"/>
  <c r="CA4" i="3"/>
  <c r="BZ4" i="3"/>
  <c r="BY4" i="3"/>
  <c r="BX4" i="3"/>
  <c r="BW4" i="3"/>
  <c r="BV4" i="3"/>
  <c r="BU4" i="3"/>
  <c r="BT4" i="3"/>
  <c r="BS4" i="3"/>
  <c r="BR4" i="3"/>
  <c r="BQ4" i="3"/>
  <c r="BP4" i="3"/>
  <c r="BO4" i="3"/>
  <c r="BN4" i="3"/>
  <c r="BM4" i="3"/>
  <c r="BL4" i="3"/>
  <c r="BK4" i="3"/>
  <c r="BJ4" i="3"/>
  <c r="BI4" i="3"/>
  <c r="BH4" i="3"/>
  <c r="BG4" i="3"/>
  <c r="BF4" i="3"/>
  <c r="BE4" i="3"/>
  <c r="BD4" i="3"/>
  <c r="BC4" i="3"/>
  <c r="BB4" i="3"/>
  <c r="BA4" i="3"/>
  <c r="AZ4" i="3"/>
  <c r="AY4" i="3"/>
  <c r="AX4" i="3"/>
  <c r="AW4" i="3"/>
  <c r="AV4" i="3"/>
  <c r="AU4" i="3"/>
  <c r="AT4" i="3"/>
  <c r="AS4" i="3"/>
  <c r="AR4" i="3"/>
  <c r="AQ4" i="3"/>
  <c r="AP4" i="3"/>
  <c r="AK4" i="3"/>
  <c r="BH287" i="2"/>
  <c r="BG287" i="2"/>
  <c r="BF287" i="2"/>
  <c r="BC287" i="2"/>
  <c r="BB287" i="2"/>
  <c r="BA287" i="2"/>
  <c r="AU287" i="2"/>
  <c r="AP287" i="2"/>
  <c r="BE284" i="2"/>
  <c r="BB284" i="2" s="1"/>
  <c r="BE283" i="2"/>
  <c r="BC283" i="2" s="1"/>
  <c r="AU282" i="2"/>
  <c r="AP282" i="2"/>
  <c r="BF271" i="2"/>
  <c r="BD271" i="2"/>
  <c r="BC271" i="2"/>
  <c r="BB271" i="2"/>
  <c r="BA271" i="2"/>
  <c r="AY271" i="2"/>
  <c r="AX271" i="2"/>
  <c r="CA270" i="2"/>
  <c r="CB270" i="2" s="1"/>
  <c r="CC270" i="2" s="1"/>
  <c r="BV270" i="2"/>
  <c r="BW270" i="2" s="1"/>
  <c r="BX270" i="2" s="1"/>
  <c r="BQ270" i="2"/>
  <c r="BR270" i="2" s="1"/>
  <c r="BS270" i="2" s="1"/>
  <c r="CA268" i="2"/>
  <c r="CB268" i="2" s="1"/>
  <c r="CC268" i="2" s="1"/>
  <c r="BV268" i="2"/>
  <c r="BW268" i="2" s="1"/>
  <c r="BX268" i="2" s="1"/>
  <c r="BQ268" i="2"/>
  <c r="BR268" i="2" s="1"/>
  <c r="BS268" i="2" s="1"/>
  <c r="CA267" i="2"/>
  <c r="CB267" i="2" s="1"/>
  <c r="CC267" i="2" s="1"/>
  <c r="BV267" i="2"/>
  <c r="BW267" i="2" s="1"/>
  <c r="BX267" i="2" s="1"/>
  <c r="BQ267" i="2"/>
  <c r="BR267" i="2" s="1"/>
  <c r="BS267" i="2" s="1"/>
  <c r="BH259" i="2"/>
  <c r="BG259" i="2"/>
  <c r="BA259" i="2"/>
  <c r="AY259" i="2"/>
  <c r="AY260" i="2" s="1"/>
  <c r="AX259" i="2"/>
  <c r="AW259" i="2"/>
  <c r="AU259" i="2"/>
  <c r="AU260" i="2" s="1"/>
  <c r="AP259" i="2"/>
  <c r="AY254" i="2"/>
  <c r="U156" i="7" s="1"/>
  <c r="AX254" i="2"/>
  <c r="T156" i="7" s="1"/>
  <c r="AW254" i="2"/>
  <c r="AU254" i="2"/>
  <c r="Q156" i="7" s="1"/>
  <c r="AP254" i="2"/>
  <c r="L156" i="7" s="1"/>
  <c r="AE155" i="7"/>
  <c r="BE253" i="2"/>
  <c r="AA155" i="7" s="1"/>
  <c r="AZ253" i="2"/>
  <c r="V155" i="7" s="1"/>
  <c r="AV253" i="2"/>
  <c r="AV254" i="2" s="1"/>
  <c r="R156" i="7" s="1"/>
  <c r="BE252" i="2"/>
  <c r="AA154" i="7" s="1"/>
  <c r="AZ252" i="2"/>
  <c r="V154" i="7" s="1"/>
  <c r="AD153" i="7"/>
  <c r="AB153" i="7"/>
  <c r="BD251" i="2"/>
  <c r="BC251" i="2"/>
  <c r="BB251" i="2"/>
  <c r="X153" i="7" s="1"/>
  <c r="BA251" i="2"/>
  <c r="AZ251" i="2"/>
  <c r="V153" i="7" s="1"/>
  <c r="AE152" i="7"/>
  <c r="BE250" i="2"/>
  <c r="AZ250" i="2"/>
  <c r="AW246" i="2"/>
  <c r="BE245" i="2"/>
  <c r="AA147" i="7" s="1"/>
  <c r="AZ245" i="2"/>
  <c r="V147" i="7" s="1"/>
  <c r="AD145" i="7"/>
  <c r="BA243" i="2"/>
  <c r="AY243" i="2"/>
  <c r="AX243" i="2"/>
  <c r="T145" i="7" s="1"/>
  <c r="AW243" i="2"/>
  <c r="S145" i="7" s="1"/>
  <c r="AU243" i="2"/>
  <c r="Q145" i="7" s="1"/>
  <c r="AP243" i="2"/>
  <c r="BE242" i="2"/>
  <c r="AA144" i="7" s="1"/>
  <c r="AZ242" i="2"/>
  <c r="V144" i="7" s="1"/>
  <c r="BE241" i="2"/>
  <c r="AA143" i="7" s="1"/>
  <c r="AZ241" i="2"/>
  <c r="V143" i="7" s="1"/>
  <c r="BJ240" i="2"/>
  <c r="BB240" i="2"/>
  <c r="AZ240" i="2"/>
  <c r="V142" i="7" s="1"/>
  <c r="AV240" i="2"/>
  <c r="R142" i="7" s="1"/>
  <c r="BJ239" i="2"/>
  <c r="AF141" i="7" s="1"/>
  <c r="BE239" i="2"/>
  <c r="AA141" i="7" s="1"/>
  <c r="AZ239" i="2"/>
  <c r="V141" i="7" s="1"/>
  <c r="BE238" i="2"/>
  <c r="AA140" i="7" s="1"/>
  <c r="AZ238" i="2"/>
  <c r="V140" i="7" s="1"/>
  <c r="BE234" i="2"/>
  <c r="AA136" i="7" s="1"/>
  <c r="AZ234" i="2"/>
  <c r="V136" i="7" s="1"/>
  <c r="BE233" i="2"/>
  <c r="AA135" i="7" s="1"/>
  <c r="AZ233" i="2"/>
  <c r="V135" i="7" s="1"/>
  <c r="BJ232" i="2"/>
  <c r="AF134" i="7" s="1"/>
  <c r="BE232" i="2"/>
  <c r="AA134" i="7" s="1"/>
  <c r="AZ232" i="2"/>
  <c r="V134" i="7" s="1"/>
  <c r="BE231" i="2"/>
  <c r="AA133" i="7" s="1"/>
  <c r="AZ231" i="2"/>
  <c r="V133" i="7" s="1"/>
  <c r="AV231" i="2"/>
  <c r="R133" i="7" s="1"/>
  <c r="BJ230" i="2"/>
  <c r="AE132" i="7"/>
  <c r="BE230" i="2"/>
  <c r="AA132" i="7" s="1"/>
  <c r="AZ230" i="2"/>
  <c r="V132" i="7" s="1"/>
  <c r="AV230" i="2"/>
  <c r="R132" i="7" s="1"/>
  <c r="AU230" i="2"/>
  <c r="Q132" i="7" s="1"/>
  <c r="AT230" i="2"/>
  <c r="P132" i="7" s="1"/>
  <c r="AP230" i="2"/>
  <c r="L132" i="7" s="1"/>
  <c r="AC130" i="7"/>
  <c r="AB130" i="7"/>
  <c r="BD228" i="2"/>
  <c r="BD235" i="2" s="1"/>
  <c r="Z137" i="7" s="1"/>
  <c r="BC228" i="2"/>
  <c r="BB228" i="2"/>
  <c r="X130" i="7" s="1"/>
  <c r="BA228" i="2"/>
  <c r="W130" i="7" s="1"/>
  <c r="AY228" i="2"/>
  <c r="AY235" i="2" s="1"/>
  <c r="AX228" i="2"/>
  <c r="T130" i="7" s="1"/>
  <c r="AU228" i="2"/>
  <c r="Q130" i="7" s="1"/>
  <c r="AP228" i="2"/>
  <c r="L130" i="7" s="1"/>
  <c r="BE227" i="2"/>
  <c r="AA129" i="7" s="1"/>
  <c r="AZ227" i="2"/>
  <c r="V129" i="7" s="1"/>
  <c r="AE128" i="7"/>
  <c r="BE226" i="2"/>
  <c r="AA128" i="7" s="1"/>
  <c r="AZ226" i="2"/>
  <c r="V128" i="7" s="1"/>
  <c r="AV226" i="2"/>
  <c r="R128" i="7" s="1"/>
  <c r="BE225" i="2"/>
  <c r="AA127" i="7" s="1"/>
  <c r="AZ225" i="2"/>
  <c r="V127" i="7" s="1"/>
  <c r="BE223" i="2"/>
  <c r="AA126" i="7" s="1"/>
  <c r="AZ223" i="2"/>
  <c r="V126" i="7" s="1"/>
  <c r="BE222" i="2"/>
  <c r="AA125" i="7" s="1"/>
  <c r="AZ222" i="2"/>
  <c r="V125" i="7" s="1"/>
  <c r="BE221" i="2"/>
  <c r="AA124" i="7" s="1"/>
  <c r="AZ221" i="2"/>
  <c r="V124" i="7" s="1"/>
  <c r="AZ220" i="2"/>
  <c r="V123" i="7" s="1"/>
  <c r="AW220" i="2"/>
  <c r="S123" i="7" s="1"/>
  <c r="AV220" i="2"/>
  <c r="CD218" i="2"/>
  <c r="AZ121" i="7" s="1"/>
  <c r="CC218" i="2"/>
  <c r="AY121" i="7" s="1"/>
  <c r="CB218" i="2"/>
  <c r="AX121" i="7" s="1"/>
  <c r="CA218" i="2"/>
  <c r="AW121" i="7" s="1"/>
  <c r="BZ218" i="2"/>
  <c r="AV121" i="7" s="1"/>
  <c r="BY218" i="2"/>
  <c r="AU121" i="7" s="1"/>
  <c r="BX218" i="2"/>
  <c r="AT121" i="7" s="1"/>
  <c r="BW218" i="2"/>
  <c r="AS121" i="7" s="1"/>
  <c r="BV218" i="2"/>
  <c r="AR121" i="7" s="1"/>
  <c r="BU218" i="2"/>
  <c r="AQ121" i="7" s="1"/>
  <c r="BT218" i="2"/>
  <c r="AP121" i="7" s="1"/>
  <c r="BS218" i="2"/>
  <c r="AO121" i="7" s="1"/>
  <c r="BR218" i="2"/>
  <c r="AN121" i="7" s="1"/>
  <c r="BQ218" i="2"/>
  <c r="AM121" i="7" s="1"/>
  <c r="BP218" i="2"/>
  <c r="AL121" i="7" s="1"/>
  <c r="BO218" i="2"/>
  <c r="AK121" i="7" s="1"/>
  <c r="BN218" i="2"/>
  <c r="AJ121" i="7" s="1"/>
  <c r="BM218" i="2"/>
  <c r="AI121" i="7" s="1"/>
  <c r="BL218" i="2"/>
  <c r="AH121" i="7" s="1"/>
  <c r="BK218" i="2"/>
  <c r="AG121" i="7" s="1"/>
  <c r="BJ218" i="2"/>
  <c r="AF121" i="7" s="1"/>
  <c r="AE121" i="7"/>
  <c r="AD121" i="7"/>
  <c r="AC121" i="7"/>
  <c r="AB121" i="7"/>
  <c r="BE218" i="2"/>
  <c r="AA121" i="7" s="1"/>
  <c r="BD218" i="2"/>
  <c r="Z121" i="7" s="1"/>
  <c r="BC218" i="2"/>
  <c r="Y121" i="7" s="1"/>
  <c r="BB218" i="2"/>
  <c r="X121" i="7" s="1"/>
  <c r="BA218" i="2"/>
  <c r="W121" i="7" s="1"/>
  <c r="AZ218" i="2"/>
  <c r="V121" i="7" s="1"/>
  <c r="AY218" i="2"/>
  <c r="U121" i="7" s="1"/>
  <c r="AX218" i="2"/>
  <c r="T121" i="7" s="1"/>
  <c r="AW218" i="2"/>
  <c r="S121" i="7" s="1"/>
  <c r="AV218" i="2"/>
  <c r="R121" i="7" s="1"/>
  <c r="AU218" i="2"/>
  <c r="Q121" i="7" s="1"/>
  <c r="AT218" i="2"/>
  <c r="P121" i="7" s="1"/>
  <c r="AS218" i="2"/>
  <c r="O121" i="7" s="1"/>
  <c r="AR218" i="2"/>
  <c r="N121" i="7" s="1"/>
  <c r="AQ218" i="2"/>
  <c r="M121" i="7" s="1"/>
  <c r="AP218" i="2"/>
  <c r="L121" i="7" s="1"/>
  <c r="AO218" i="2"/>
  <c r="K121" i="7" s="1"/>
  <c r="AN218" i="2"/>
  <c r="J121" i="7" s="1"/>
  <c r="AM218" i="2"/>
  <c r="I121" i="7" s="1"/>
  <c r="AL218" i="2"/>
  <c r="H121" i="7" s="1"/>
  <c r="AK218" i="2"/>
  <c r="G121" i="7" s="1"/>
  <c r="AJ218" i="2"/>
  <c r="F121" i="7" s="1"/>
  <c r="AI218" i="2"/>
  <c r="E121" i="7" s="1"/>
  <c r="AH218" i="2"/>
  <c r="D121" i="7" s="1"/>
  <c r="AG218" i="2"/>
  <c r="C121" i="7" s="1"/>
  <c r="AF218" i="2"/>
  <c r="AE218" i="2"/>
  <c r="AD218" i="2"/>
  <c r="AC218" i="2"/>
  <c r="AB218" i="2"/>
  <c r="AA218" i="2"/>
  <c r="Z218" i="2"/>
  <c r="Y218" i="2"/>
  <c r="X218" i="2"/>
  <c r="W218" i="2"/>
  <c r="V218" i="2"/>
  <c r="U218" i="2"/>
  <c r="T218" i="2"/>
  <c r="S218" i="2"/>
  <c r="R218" i="2"/>
  <c r="Q218" i="2"/>
  <c r="P218" i="2"/>
  <c r="O218" i="2"/>
  <c r="N218" i="2"/>
  <c r="M218" i="2"/>
  <c r="L218" i="2"/>
  <c r="K218" i="2"/>
  <c r="J218" i="2"/>
  <c r="I218" i="2"/>
  <c r="H218" i="2"/>
  <c r="G218" i="2"/>
  <c r="F218" i="2"/>
  <c r="E218" i="2"/>
  <c r="D218" i="2"/>
  <c r="C218" i="2"/>
  <c r="CD199" i="2"/>
  <c r="AZ107" i="7" s="1"/>
  <c r="BY199" i="2"/>
  <c r="AU107" i="7" s="1"/>
  <c r="BT199" i="2"/>
  <c r="AP107" i="7" s="1"/>
  <c r="BO199" i="2"/>
  <c r="AK107" i="7" s="1"/>
  <c r="BJ199" i="2"/>
  <c r="AF107" i="7" s="1"/>
  <c r="BE199" i="2"/>
  <c r="AA107" i="7" s="1"/>
  <c r="AV199" i="2"/>
  <c r="AB106" i="7"/>
  <c r="AV198" i="2"/>
  <c r="AU198" i="2"/>
  <c r="Q106" i="7" s="1"/>
  <c r="AS198" i="2"/>
  <c r="O106" i="7" s="1"/>
  <c r="AR198" i="2"/>
  <c r="N106" i="7" s="1"/>
  <c r="AP198" i="2"/>
  <c r="L106" i="7" s="1"/>
  <c r="AK198" i="2"/>
  <c r="G106" i="7" s="1"/>
  <c r="CA197" i="2"/>
  <c r="CB197" i="2" s="1"/>
  <c r="BV197" i="2"/>
  <c r="BW197" i="2" s="1"/>
  <c r="BX197" i="2" s="1"/>
  <c r="BQ197" i="2"/>
  <c r="BR197" i="2" s="1"/>
  <c r="BL197" i="2"/>
  <c r="BM197" i="2" s="1"/>
  <c r="BN197" i="2" s="1"/>
  <c r="AC106" i="7"/>
  <c r="BB197" i="2"/>
  <c r="AZ197" i="2"/>
  <c r="BZ196" i="2"/>
  <c r="BU196" i="2"/>
  <c r="AQ105" i="7" s="1"/>
  <c r="BP196" i="2"/>
  <c r="AG105" i="7"/>
  <c r="BD196" i="2"/>
  <c r="Z105" i="7" s="1"/>
  <c r="AZ196" i="2"/>
  <c r="V105" i="7" s="1"/>
  <c r="CD195" i="2"/>
  <c r="BY195" i="2"/>
  <c r="AU104" i="7" s="1"/>
  <c r="BT195" i="2"/>
  <c r="AP104" i="7" s="1"/>
  <c r="BO195" i="2"/>
  <c r="AK104" i="7" s="1"/>
  <c r="BJ195" i="2"/>
  <c r="BE195" i="2"/>
  <c r="AW195" i="2"/>
  <c r="CD194" i="2"/>
  <c r="AZ103" i="7" s="1"/>
  <c r="BY194" i="2"/>
  <c r="AU103" i="7" s="1"/>
  <c r="BT194" i="2"/>
  <c r="AP103" i="7" s="1"/>
  <c r="BO194" i="2"/>
  <c r="AK103" i="7" s="1"/>
  <c r="BJ194" i="2"/>
  <c r="BE194" i="2"/>
  <c r="AA103" i="7" s="1"/>
  <c r="AW194" i="2"/>
  <c r="AZ194" i="2" s="1"/>
  <c r="V103" i="7" s="1"/>
  <c r="CD193" i="2"/>
  <c r="AZ102" i="7" s="1"/>
  <c r="BY193" i="2"/>
  <c r="AU102" i="7" s="1"/>
  <c r="BT193" i="2"/>
  <c r="AP102" i="7" s="1"/>
  <c r="BO193" i="2"/>
  <c r="AK102" i="7" s="1"/>
  <c r="BJ193" i="2"/>
  <c r="BE193" i="2"/>
  <c r="AA102" i="7" s="1"/>
  <c r="AW193" i="2"/>
  <c r="AZ193" i="2" s="1"/>
  <c r="V102" i="7" s="1"/>
  <c r="CD192" i="2"/>
  <c r="BY192" i="2"/>
  <c r="AU101" i="7" s="1"/>
  <c r="BT192" i="2"/>
  <c r="AP101" i="7" s="1"/>
  <c r="BO192" i="2"/>
  <c r="AK101" i="7" s="1"/>
  <c r="BJ192" i="2"/>
  <c r="BE192" i="2"/>
  <c r="AA101" i="7" s="1"/>
  <c r="AZ192" i="2"/>
  <c r="V101" i="7" s="1"/>
  <c r="CD191" i="2"/>
  <c r="AZ100" i="7" s="1"/>
  <c r="BY191" i="2"/>
  <c r="AU100" i="7" s="1"/>
  <c r="BT191" i="2"/>
  <c r="AP100" i="7" s="1"/>
  <c r="BO191" i="2"/>
  <c r="AK100" i="7" s="1"/>
  <c r="BJ191" i="2"/>
  <c r="BE191" i="2"/>
  <c r="AA100" i="7" s="1"/>
  <c r="AW191" i="2"/>
  <c r="AZ191" i="2" s="1"/>
  <c r="V100" i="7" s="1"/>
  <c r="CD190" i="2"/>
  <c r="AZ99" i="7" s="1"/>
  <c r="BY190" i="2"/>
  <c r="AU99" i="7" s="1"/>
  <c r="BT190" i="2"/>
  <c r="AP99" i="7" s="1"/>
  <c r="BO190" i="2"/>
  <c r="AK99" i="7" s="1"/>
  <c r="BJ190" i="2"/>
  <c r="BE190" i="2"/>
  <c r="AA99" i="7" s="1"/>
  <c r="CD189" i="2"/>
  <c r="AZ98" i="7" s="1"/>
  <c r="BY189" i="2"/>
  <c r="BT189" i="2"/>
  <c r="AP98" i="7" s="1"/>
  <c r="BO189" i="2"/>
  <c r="AK98" i="7" s="1"/>
  <c r="BJ189" i="2"/>
  <c r="BC189" i="2"/>
  <c r="BB189" i="2"/>
  <c r="X98" i="7" s="1"/>
  <c r="BA189" i="2"/>
  <c r="W98" i="7" s="1"/>
  <c r="AY189" i="2"/>
  <c r="U98" i="7" s="1"/>
  <c r="AX189" i="2"/>
  <c r="AW189" i="2"/>
  <c r="AD95" i="7"/>
  <c r="AC95" i="7"/>
  <c r="AB95" i="7"/>
  <c r="BD186" i="2"/>
  <c r="Z95" i="7" s="1"/>
  <c r="BC186" i="2"/>
  <c r="Y95" i="7" s="1"/>
  <c r="BB186" i="2"/>
  <c r="X95" i="7" s="1"/>
  <c r="BA186" i="2"/>
  <c r="W95" i="7" s="1"/>
  <c r="AY186" i="2"/>
  <c r="U95" i="7" s="1"/>
  <c r="AV186" i="2"/>
  <c r="AU186" i="2"/>
  <c r="Q95" i="7" s="1"/>
  <c r="AS186" i="2"/>
  <c r="O95" i="7" s="1"/>
  <c r="AR186" i="2"/>
  <c r="N95" i="7" s="1"/>
  <c r="AP186" i="2"/>
  <c r="L95" i="7" s="1"/>
  <c r="AK186" i="2"/>
  <c r="G95" i="7" s="1"/>
  <c r="CD185" i="2"/>
  <c r="AZ94" i="7" s="1"/>
  <c r="BY185" i="2"/>
  <c r="AU94" i="7" s="1"/>
  <c r="BT185" i="2"/>
  <c r="AP94" i="7" s="1"/>
  <c r="BO185" i="2"/>
  <c r="AK94" i="7" s="1"/>
  <c r="BJ185" i="2"/>
  <c r="BE185" i="2"/>
  <c r="AA94" i="7" s="1"/>
  <c r="AW185" i="2"/>
  <c r="CD184" i="2"/>
  <c r="AZ93" i="7" s="1"/>
  <c r="BY184" i="2"/>
  <c r="AU93" i="7" s="1"/>
  <c r="BT184" i="2"/>
  <c r="AP93" i="7" s="1"/>
  <c r="BO184" i="2"/>
  <c r="AK93" i="7" s="1"/>
  <c r="BJ184" i="2"/>
  <c r="BE184" i="2"/>
  <c r="AA93" i="7" s="1"/>
  <c r="AW184" i="2"/>
  <c r="AZ184" i="2" s="1"/>
  <c r="V93" i="7" s="1"/>
  <c r="CD183" i="2"/>
  <c r="AZ92" i="7" s="1"/>
  <c r="BY183" i="2"/>
  <c r="AU92" i="7" s="1"/>
  <c r="BT183" i="2"/>
  <c r="AP92" i="7" s="1"/>
  <c r="BO183" i="2"/>
  <c r="AK92" i="7" s="1"/>
  <c r="BJ183" i="2"/>
  <c r="BE183" i="2"/>
  <c r="AA92" i="7" s="1"/>
  <c r="AW183" i="2"/>
  <c r="CD182" i="2"/>
  <c r="AZ91" i="7" s="1"/>
  <c r="BY182" i="2"/>
  <c r="AU91" i="7" s="1"/>
  <c r="BT182" i="2"/>
  <c r="AP91" i="7" s="1"/>
  <c r="BO182" i="2"/>
  <c r="AK91" i="7" s="1"/>
  <c r="BJ182" i="2"/>
  <c r="BE182" i="2"/>
  <c r="AA91" i="7" s="1"/>
  <c r="AW182" i="2"/>
  <c r="S91" i="7" s="1"/>
  <c r="BE181" i="2"/>
  <c r="AW181" i="2"/>
  <c r="BE180" i="2"/>
  <c r="G61" i="5" s="1"/>
  <c r="AX180" i="2"/>
  <c r="T89" i="7" s="1"/>
  <c r="AW180" i="2"/>
  <c r="AC86" i="7"/>
  <c r="AB86" i="7"/>
  <c r="BD177" i="2"/>
  <c r="Z86" i="7" s="1"/>
  <c r="BC177" i="2"/>
  <c r="BC208" i="2" s="1"/>
  <c r="BB177" i="2"/>
  <c r="BA177" i="2"/>
  <c r="W86" i="7" s="1"/>
  <c r="AY177" i="2"/>
  <c r="U86" i="7" s="1"/>
  <c r="AX177" i="2"/>
  <c r="T86" i="7" s="1"/>
  <c r="AS177" i="2"/>
  <c r="AS208" i="2" s="1"/>
  <c r="AR177" i="2"/>
  <c r="N86" i="7" s="1"/>
  <c r="AP177" i="2"/>
  <c r="AP208" i="2" s="1"/>
  <c r="AK177" i="2"/>
  <c r="G86" i="7" s="1"/>
  <c r="BE176" i="2"/>
  <c r="AA85" i="7" s="1"/>
  <c r="AW176" i="2"/>
  <c r="AZ176" i="2" s="1"/>
  <c r="V85" i="7" s="1"/>
  <c r="BE175" i="2"/>
  <c r="AA84" i="7" s="1"/>
  <c r="AW175" i="2"/>
  <c r="CD174" i="2"/>
  <c r="AZ83" i="7" s="1"/>
  <c r="BY174" i="2"/>
  <c r="AU83" i="7" s="1"/>
  <c r="BT174" i="2"/>
  <c r="AP83" i="7" s="1"/>
  <c r="BO174" i="2"/>
  <c r="AK83" i="7" s="1"/>
  <c r="BJ174" i="2"/>
  <c r="BE174" i="2"/>
  <c r="AA83" i="7" s="1"/>
  <c r="AW174" i="2"/>
  <c r="BE173" i="2"/>
  <c r="AA82" i="7" s="1"/>
  <c r="AW173" i="2"/>
  <c r="AZ173" i="2" s="1"/>
  <c r="V82" i="7" s="1"/>
  <c r="BE172" i="2"/>
  <c r="AA81" i="7" s="1"/>
  <c r="AW172" i="2"/>
  <c r="CD171" i="2"/>
  <c r="BY171" i="2"/>
  <c r="BT171" i="2"/>
  <c r="BO171" i="2"/>
  <c r="BJ171" i="2"/>
  <c r="BE171" i="2"/>
  <c r="AW171" i="2"/>
  <c r="CD170" i="2"/>
  <c r="AZ80" i="7" s="1"/>
  <c r="BY170" i="2"/>
  <c r="AU80" i="7" s="1"/>
  <c r="BT170" i="2"/>
  <c r="AP80" i="7" s="1"/>
  <c r="BO170" i="2"/>
  <c r="AK80" i="7" s="1"/>
  <c r="BJ170" i="2"/>
  <c r="BE170" i="2"/>
  <c r="AA80" i="7" s="1"/>
  <c r="AV170" i="2"/>
  <c r="AW170" i="2" s="1"/>
  <c r="BE169" i="2"/>
  <c r="AW169" i="2"/>
  <c r="AZ168" i="2"/>
  <c r="BJ167" i="2"/>
  <c r="BE167" i="2"/>
  <c r="AW167" i="2"/>
  <c r="AZ167" i="2" s="1"/>
  <c r="CD166" i="2"/>
  <c r="AZ77" i="7" s="1"/>
  <c r="BY166" i="2"/>
  <c r="AU77" i="7" s="1"/>
  <c r="BT166" i="2"/>
  <c r="AP77" i="7" s="1"/>
  <c r="BO166" i="2"/>
  <c r="AK77" i="7" s="1"/>
  <c r="BJ166" i="2"/>
  <c r="BE166" i="2"/>
  <c r="AW166" i="2"/>
  <c r="CD165" i="2"/>
  <c r="AZ76" i="7" s="1"/>
  <c r="BY165" i="2"/>
  <c r="BT165" i="2"/>
  <c r="AP76" i="7" s="1"/>
  <c r="BO165" i="2"/>
  <c r="BJ165" i="2"/>
  <c r="BE165" i="2"/>
  <c r="AW165" i="2"/>
  <c r="BE164" i="2"/>
  <c r="AA75" i="7" s="1"/>
  <c r="AW164" i="2"/>
  <c r="BE163" i="2"/>
  <c r="AA74" i="7" s="1"/>
  <c r="AW163" i="2"/>
  <c r="AZ163" i="2" s="1"/>
  <c r="V74" i="7" s="1"/>
  <c r="BE162" i="2"/>
  <c r="AW162" i="2"/>
  <c r="AZ162" i="2" s="1"/>
  <c r="BE160" i="2"/>
  <c r="AA71" i="7" s="1"/>
  <c r="AW160" i="2"/>
  <c r="CD158" i="2"/>
  <c r="AZ69" i="7" s="1"/>
  <c r="CC158" i="2"/>
  <c r="AY69" i="7" s="1"/>
  <c r="CB158" i="2"/>
  <c r="AX69" i="7" s="1"/>
  <c r="CA158" i="2"/>
  <c r="AW69" i="7" s="1"/>
  <c r="BZ158" i="2"/>
  <c r="AV69" i="7" s="1"/>
  <c r="BY158" i="2"/>
  <c r="AU69" i="7" s="1"/>
  <c r="BX158" i="2"/>
  <c r="AT69" i="7" s="1"/>
  <c r="BW158" i="2"/>
  <c r="AS69" i="7" s="1"/>
  <c r="BV158" i="2"/>
  <c r="AR69" i="7" s="1"/>
  <c r="BU158" i="2"/>
  <c r="AQ69" i="7" s="1"/>
  <c r="BT158" i="2"/>
  <c r="AP69" i="7" s="1"/>
  <c r="BS158" i="2"/>
  <c r="AO69" i="7" s="1"/>
  <c r="BR158" i="2"/>
  <c r="AN69" i="7" s="1"/>
  <c r="BQ158" i="2"/>
  <c r="AM69" i="7" s="1"/>
  <c r="BP158" i="2"/>
  <c r="AL69" i="7" s="1"/>
  <c r="BO158" i="2"/>
  <c r="AK69" i="7" s="1"/>
  <c r="BN158" i="2"/>
  <c r="AJ69" i="7" s="1"/>
  <c r="BM158" i="2"/>
  <c r="AI69" i="7" s="1"/>
  <c r="BL158" i="2"/>
  <c r="AH69" i="7" s="1"/>
  <c r="BK158" i="2"/>
  <c r="AG69" i="7" s="1"/>
  <c r="BJ158" i="2"/>
  <c r="AF69" i="7" s="1"/>
  <c r="BI158" i="2"/>
  <c r="AE69" i="7" s="1"/>
  <c r="BH158" i="2"/>
  <c r="AD69" i="7" s="1"/>
  <c r="BG158" i="2"/>
  <c r="AC69" i="7" s="1"/>
  <c r="BF158" i="2"/>
  <c r="AB69" i="7" s="1"/>
  <c r="BE158" i="2"/>
  <c r="AA69" i="7" s="1"/>
  <c r="BD158" i="2"/>
  <c r="Z69" i="7" s="1"/>
  <c r="BC158" i="2"/>
  <c r="Y69" i="7" s="1"/>
  <c r="BB158" i="2"/>
  <c r="X69" i="7" s="1"/>
  <c r="BA158" i="2"/>
  <c r="W69" i="7" s="1"/>
  <c r="AZ158" i="2"/>
  <c r="V69" i="7" s="1"/>
  <c r="AY158" i="2"/>
  <c r="U69" i="7" s="1"/>
  <c r="AX158" i="2"/>
  <c r="T69" i="7" s="1"/>
  <c r="AW158" i="2"/>
  <c r="S69" i="7" s="1"/>
  <c r="AV158" i="2"/>
  <c r="R69" i="7" s="1"/>
  <c r="AU158" i="2"/>
  <c r="Q69" i="7" s="1"/>
  <c r="AT158" i="2"/>
  <c r="P69" i="7" s="1"/>
  <c r="AS158" i="2"/>
  <c r="O69" i="7" s="1"/>
  <c r="AR158" i="2"/>
  <c r="N69" i="7" s="1"/>
  <c r="AQ158" i="2"/>
  <c r="M69" i="7" s="1"/>
  <c r="AP158" i="2"/>
  <c r="L69" i="7" s="1"/>
  <c r="AO158" i="2"/>
  <c r="K69" i="7" s="1"/>
  <c r="AN158" i="2"/>
  <c r="J69" i="7" s="1"/>
  <c r="AM158" i="2"/>
  <c r="I69" i="7" s="1"/>
  <c r="AL158" i="2"/>
  <c r="H69" i="7" s="1"/>
  <c r="AK158" i="2"/>
  <c r="G69" i="7" s="1"/>
  <c r="AJ158" i="2"/>
  <c r="F69" i="7" s="1"/>
  <c r="AI158" i="2"/>
  <c r="E69" i="7" s="1"/>
  <c r="AH158" i="2"/>
  <c r="D69" i="7" s="1"/>
  <c r="AG158" i="2"/>
  <c r="C69" i="7" s="1"/>
  <c r="AF158" i="2"/>
  <c r="AE158" i="2"/>
  <c r="AD158" i="2"/>
  <c r="AC158" i="2"/>
  <c r="AB158" i="2"/>
  <c r="AA158" i="2"/>
  <c r="Z158" i="2"/>
  <c r="Y158" i="2"/>
  <c r="X158" i="2"/>
  <c r="W158" i="2"/>
  <c r="V158" i="2"/>
  <c r="U158" i="2"/>
  <c r="T158" i="2"/>
  <c r="S158" i="2"/>
  <c r="R158" i="2"/>
  <c r="Q158" i="2"/>
  <c r="P158" i="2"/>
  <c r="O158" i="2"/>
  <c r="N158" i="2"/>
  <c r="M158" i="2"/>
  <c r="L158" i="2"/>
  <c r="K158" i="2"/>
  <c r="J158" i="2"/>
  <c r="I158" i="2"/>
  <c r="H158" i="2"/>
  <c r="G158" i="2"/>
  <c r="F158" i="2"/>
  <c r="E158" i="2"/>
  <c r="D158" i="2"/>
  <c r="C158" i="2"/>
  <c r="BI151" i="2"/>
  <c r="BK151" i="2" s="1"/>
  <c r="BL151" i="2" s="1"/>
  <c r="BM151" i="2" s="1"/>
  <c r="BN151" i="2" s="1"/>
  <c r="BP151" i="2" s="1"/>
  <c r="BQ151" i="2" s="1"/>
  <c r="BR151" i="2" s="1"/>
  <c r="BS151" i="2" s="1"/>
  <c r="BU151" i="2" s="1"/>
  <c r="AX151" i="2"/>
  <c r="AY151" i="2" s="1"/>
  <c r="AV151" i="2"/>
  <c r="AQ151" i="2"/>
  <c r="AU151" i="2" s="1"/>
  <c r="BK150" i="2"/>
  <c r="CA148" i="2"/>
  <c r="CB148" i="2" s="1"/>
  <c r="CC148" i="2" s="1"/>
  <c r="BV148" i="2"/>
  <c r="BW148" i="2" s="1"/>
  <c r="BX148" i="2" s="1"/>
  <c r="BQ148" i="2"/>
  <c r="BR148" i="2" s="1"/>
  <c r="BS148" i="2" s="1"/>
  <c r="BL148" i="2"/>
  <c r="BM148" i="2" s="1"/>
  <c r="BN148" i="2" s="1"/>
  <c r="CA147" i="2"/>
  <c r="CA146" i="2" s="1"/>
  <c r="BV147" i="2"/>
  <c r="BV196" i="2" s="1"/>
  <c r="BQ147" i="2"/>
  <c r="BQ196" i="2" s="1"/>
  <c r="BQ198" i="2" s="1"/>
  <c r="AM106" i="7" s="1"/>
  <c r="BL147" i="2"/>
  <c r="BZ146" i="2"/>
  <c r="BU146" i="2"/>
  <c r="BP146" i="2"/>
  <c r="BK146" i="2"/>
  <c r="BG145" i="2"/>
  <c r="BF145" i="2"/>
  <c r="BE143" i="2"/>
  <c r="C31" i="35" s="1"/>
  <c r="AZ143" i="2"/>
  <c r="AU143" i="2"/>
  <c r="AZ142" i="2"/>
  <c r="AU142" i="2"/>
  <c r="AU141" i="2"/>
  <c r="BE135" i="2"/>
  <c r="AZ135" i="2"/>
  <c r="AU135" i="2"/>
  <c r="AK135" i="2"/>
  <c r="AO134" i="2"/>
  <c r="AN134" i="2"/>
  <c r="AM134" i="2"/>
  <c r="AL134" i="2"/>
  <c r="AK134" i="2"/>
  <c r="AZ132" i="2"/>
  <c r="CD131" i="2"/>
  <c r="BY131" i="2"/>
  <c r="BT131" i="2"/>
  <c r="BO131" i="2"/>
  <c r="BJ131" i="2"/>
  <c r="BE131" i="2"/>
  <c r="AZ131" i="2"/>
  <c r="AU131" i="2"/>
  <c r="CD130" i="2"/>
  <c r="BY130" i="2"/>
  <c r="BT130" i="2"/>
  <c r="BO130" i="2"/>
  <c r="BJ130" i="2"/>
  <c r="BE130" i="2"/>
  <c r="AZ130" i="2"/>
  <c r="AU130" i="2"/>
  <c r="CD129" i="2"/>
  <c r="BY129" i="2"/>
  <c r="BT129" i="2"/>
  <c r="BO129" i="2"/>
  <c r="BJ129" i="2"/>
  <c r="BE129" i="2"/>
  <c r="AZ129" i="2"/>
  <c r="AU129" i="2"/>
  <c r="CD128" i="2"/>
  <c r="BY128" i="2"/>
  <c r="BT128" i="2"/>
  <c r="BO128" i="2"/>
  <c r="BJ128" i="2"/>
  <c r="BE128" i="2"/>
  <c r="AZ128" i="2"/>
  <c r="AU128" i="2"/>
  <c r="CD127" i="2"/>
  <c r="BY127" i="2"/>
  <c r="BT127" i="2"/>
  <c r="BO127" i="2"/>
  <c r="BJ127" i="2"/>
  <c r="BE127" i="2"/>
  <c r="AW127" i="2"/>
  <c r="AV127" i="2"/>
  <c r="AT127" i="2"/>
  <c r="AS127" i="2"/>
  <c r="AR127" i="2"/>
  <c r="AQ127" i="2"/>
  <c r="CD126" i="2"/>
  <c r="BY126" i="2"/>
  <c r="BT126" i="2"/>
  <c r="BO126" i="2"/>
  <c r="BJ126" i="2"/>
  <c r="BE126" i="2"/>
  <c r="AZ126" i="2"/>
  <c r="AU126" i="2"/>
  <c r="CD125" i="2"/>
  <c r="BY125" i="2"/>
  <c r="BT125" i="2"/>
  <c r="BO125" i="2"/>
  <c r="BJ125" i="2"/>
  <c r="BE125" i="2"/>
  <c r="AX125" i="2"/>
  <c r="AV125" i="2"/>
  <c r="AU125" i="2"/>
  <c r="CD124" i="2"/>
  <c r="BY124" i="2"/>
  <c r="BT124" i="2"/>
  <c r="BO124" i="2"/>
  <c r="BJ124" i="2"/>
  <c r="BE124" i="2"/>
  <c r="AZ124" i="2"/>
  <c r="AU124" i="2"/>
  <c r="CD123" i="2"/>
  <c r="BY123" i="2"/>
  <c r="BT123" i="2"/>
  <c r="BO123" i="2"/>
  <c r="AK62" i="7" s="1"/>
  <c r="BD123" i="2"/>
  <c r="AZ123" i="2"/>
  <c r="AU123" i="2"/>
  <c r="CD122" i="2"/>
  <c r="BY122" i="2"/>
  <c r="BT122" i="2"/>
  <c r="BO122" i="2"/>
  <c r="BJ122" i="2"/>
  <c r="BE122" i="2"/>
  <c r="AX122" i="2"/>
  <c r="AS122" i="2"/>
  <c r="AU122" i="2" s="1"/>
  <c r="AP122" i="2"/>
  <c r="AK118" i="2"/>
  <c r="CA102" i="2"/>
  <c r="AW51" i="7" s="1"/>
  <c r="BV102" i="2"/>
  <c r="BQ102" i="2"/>
  <c r="AM51" i="7" s="1"/>
  <c r="BH101" i="2"/>
  <c r="BG101" i="2"/>
  <c r="AC50" i="7" s="1"/>
  <c r="BF101" i="2"/>
  <c r="BD101" i="2"/>
  <c r="Z50" i="7" s="1"/>
  <c r="BC101" i="2"/>
  <c r="BB101" i="2"/>
  <c r="X50" i="7" s="1"/>
  <c r="BA101" i="2"/>
  <c r="AY101" i="2"/>
  <c r="AX101" i="2"/>
  <c r="AP101" i="2"/>
  <c r="L50" i="7" s="1"/>
  <c r="AK101" i="2"/>
  <c r="CD96" i="2"/>
  <c r="BY96" i="2"/>
  <c r="BT96" i="2"/>
  <c r="BO96" i="2"/>
  <c r="BJ96" i="2"/>
  <c r="H46" i="5" s="1"/>
  <c r="BE96" i="2"/>
  <c r="C28" i="35" s="1"/>
  <c r="AX96" i="2"/>
  <c r="T48" i="7" s="1"/>
  <c r="AU96" i="2"/>
  <c r="E46" i="5" s="1"/>
  <c r="AP96" i="2"/>
  <c r="AO92" i="2"/>
  <c r="AN92" i="2"/>
  <c r="AM92" i="2"/>
  <c r="AL92" i="2"/>
  <c r="CA82" i="2"/>
  <c r="CB82" i="2" s="1"/>
  <c r="BV82" i="2"/>
  <c r="BW82" i="2" s="1"/>
  <c r="BQ82" i="2"/>
  <c r="BR82" i="2" s="1"/>
  <c r="BS82" i="2" s="1"/>
  <c r="BH81" i="2"/>
  <c r="BG81" i="2"/>
  <c r="BF81" i="2"/>
  <c r="BD81" i="2"/>
  <c r="BB81" i="2"/>
  <c r="AP81" i="2"/>
  <c r="BE80" i="2"/>
  <c r="AX80" i="2"/>
  <c r="AV80" i="2"/>
  <c r="BA81" i="2" s="1"/>
  <c r="AT80" i="2"/>
  <c r="AY81" i="2" s="1"/>
  <c r="AS80" i="2"/>
  <c r="O57" i="7" s="1"/>
  <c r="AR80" i="2"/>
  <c r="AR81" i="2" s="1"/>
  <c r="AQ80" i="2"/>
  <c r="AQ81" i="2" s="1"/>
  <c r="AQ73" i="2"/>
  <c r="BH72" i="2"/>
  <c r="BG72" i="2"/>
  <c r="BF72" i="2"/>
  <c r="BD72" i="2"/>
  <c r="BC72" i="2"/>
  <c r="BB72" i="2"/>
  <c r="BA72" i="2"/>
  <c r="AY72" i="2"/>
  <c r="AX72" i="2"/>
  <c r="AW72" i="2"/>
  <c r="AV72" i="2"/>
  <c r="AV73" i="2" s="1"/>
  <c r="AT72" i="2"/>
  <c r="P37" i="7" s="1"/>
  <c r="AS72" i="2"/>
  <c r="AS73" i="2" s="1"/>
  <c r="AR72" i="2"/>
  <c r="N37" i="7" s="1"/>
  <c r="AP72" i="2"/>
  <c r="AK72" i="2"/>
  <c r="BH58" i="2"/>
  <c r="BG58" i="2"/>
  <c r="BF58" i="2"/>
  <c r="BD58" i="2"/>
  <c r="BI59" i="2" s="1"/>
  <c r="BC58" i="2"/>
  <c r="BB58" i="2"/>
  <c r="BA58" i="2"/>
  <c r="AY58" i="2"/>
  <c r="AX58" i="2"/>
  <c r="AW58" i="2"/>
  <c r="AV58" i="2"/>
  <c r="AT58" i="2"/>
  <c r="P35" i="7" s="1"/>
  <c r="AS58" i="2"/>
  <c r="O35" i="7" s="1"/>
  <c r="AR58" i="2"/>
  <c r="N35" i="7" s="1"/>
  <c r="AQ58" i="2"/>
  <c r="AP58" i="2"/>
  <c r="D22" i="5" s="1"/>
  <c r="AK58" i="2"/>
  <c r="C22" i="5" s="1"/>
  <c r="BH51" i="2"/>
  <c r="BG51" i="2"/>
  <c r="BF51" i="2"/>
  <c r="AB33" i="7" s="1"/>
  <c r="BD51" i="2"/>
  <c r="BC51" i="2"/>
  <c r="BB51" i="2"/>
  <c r="BA51" i="2"/>
  <c r="AY51" i="2"/>
  <c r="AX51" i="2"/>
  <c r="T33" i="7" s="1"/>
  <c r="AW51" i="2"/>
  <c r="AV51" i="2"/>
  <c r="AT51" i="2"/>
  <c r="P33" i="7" s="1"/>
  <c r="AS51" i="2"/>
  <c r="O33" i="7" s="1"/>
  <c r="AR51" i="2"/>
  <c r="N33" i="7" s="1"/>
  <c r="AQ51" i="2"/>
  <c r="AP51" i="2"/>
  <c r="AK51" i="2"/>
  <c r="G33" i="7" s="1"/>
  <c r="BH44" i="2"/>
  <c r="BG44" i="2"/>
  <c r="BF44" i="2"/>
  <c r="BD44" i="2"/>
  <c r="BI45" i="2" s="1"/>
  <c r="BC44" i="2"/>
  <c r="BB44" i="2"/>
  <c r="BA44" i="2"/>
  <c r="AY44" i="2"/>
  <c r="AX44" i="2"/>
  <c r="AW44" i="2"/>
  <c r="AV44" i="2"/>
  <c r="AT44" i="2"/>
  <c r="P31" i="7" s="1"/>
  <c r="AS44" i="2"/>
  <c r="O31" i="7" s="1"/>
  <c r="AR44" i="2"/>
  <c r="AQ44" i="2"/>
  <c r="AQ45" i="2" s="1"/>
  <c r="AP44" i="2"/>
  <c r="AK44" i="2"/>
  <c r="BH37" i="2"/>
  <c r="BG37" i="2"/>
  <c r="BF37" i="2"/>
  <c r="BD37" i="2"/>
  <c r="BC37" i="2"/>
  <c r="Y29" i="7" s="1"/>
  <c r="BB37" i="2"/>
  <c r="BA37" i="2"/>
  <c r="AY37" i="2"/>
  <c r="AX37" i="2"/>
  <c r="AW37" i="2"/>
  <c r="AV37" i="2"/>
  <c r="AT37" i="2"/>
  <c r="P29" i="7" s="1"/>
  <c r="AS37" i="2"/>
  <c r="O29" i="7" s="1"/>
  <c r="AR37" i="2"/>
  <c r="AQ37" i="2"/>
  <c r="AQ38" i="2" s="1"/>
  <c r="AP37" i="2"/>
  <c r="AK37" i="2"/>
  <c r="BH27" i="2"/>
  <c r="BG27" i="2"/>
  <c r="BF27" i="2"/>
  <c r="BD27" i="2"/>
  <c r="BC27" i="2"/>
  <c r="BB27" i="2"/>
  <c r="BA27" i="2"/>
  <c r="AY27" i="2"/>
  <c r="AX27" i="2"/>
  <c r="AP27" i="2"/>
  <c r="L23" i="7" s="1"/>
  <c r="AK27" i="2"/>
  <c r="G23" i="7" s="1"/>
  <c r="BH26" i="2"/>
  <c r="BG26" i="2"/>
  <c r="BF26" i="2"/>
  <c r="BD26" i="2"/>
  <c r="BC26" i="2"/>
  <c r="AP26" i="2"/>
  <c r="BE25" i="2"/>
  <c r="AA22" i="7" s="1"/>
  <c r="AW25" i="2"/>
  <c r="BB26" i="2" s="1"/>
  <c r="AV25" i="2"/>
  <c r="AT25" i="2"/>
  <c r="AT26" i="2" s="1"/>
  <c r="AS25" i="2"/>
  <c r="O22" i="7" s="1"/>
  <c r="AR25" i="2"/>
  <c r="N22" i="7" s="1"/>
  <c r="AQ25" i="2"/>
  <c r="M22" i="7" s="1"/>
  <c r="BH20" i="2"/>
  <c r="BG20" i="2"/>
  <c r="BF20" i="2"/>
  <c r="BD20" i="2"/>
  <c r="BC20" i="2"/>
  <c r="BB20" i="2"/>
  <c r="BA20" i="2"/>
  <c r="AY20" i="2"/>
  <c r="AX20" i="2"/>
  <c r="AW20" i="2"/>
  <c r="AV20" i="2"/>
  <c r="AT20" i="2"/>
  <c r="P21" i="7" s="1"/>
  <c r="AS20" i="2"/>
  <c r="O21" i="7" s="1"/>
  <c r="AR20" i="2"/>
  <c r="N21" i="7" s="1"/>
  <c r="AQ20" i="2"/>
  <c r="M21" i="7" s="1"/>
  <c r="AP20" i="2"/>
  <c r="AK20" i="2"/>
  <c r="BH19" i="2"/>
  <c r="BG19" i="2"/>
  <c r="BF19" i="2"/>
  <c r="BD19" i="2"/>
  <c r="BC19" i="2"/>
  <c r="BB19" i="2"/>
  <c r="BA19" i="2"/>
  <c r="AY19" i="2"/>
  <c r="AX19" i="2"/>
  <c r="AW19" i="2"/>
  <c r="AV19" i="2"/>
  <c r="AT19" i="2"/>
  <c r="AS19" i="2"/>
  <c r="AR19" i="2"/>
  <c r="AQ19" i="2"/>
  <c r="AP19" i="2"/>
  <c r="BE18" i="2"/>
  <c r="AZ18" i="2"/>
  <c r="AU18" i="2"/>
  <c r="AO14" i="2"/>
  <c r="K17" i="7" s="1"/>
  <c r="AN14" i="2"/>
  <c r="AM14" i="2"/>
  <c r="AM33" i="2" s="1"/>
  <c r="AM76" i="2" s="1"/>
  <c r="AL14" i="2"/>
  <c r="H17" i="7" s="1"/>
  <c r="BH11" i="2"/>
  <c r="BG11" i="2"/>
  <c r="BF11" i="2"/>
  <c r="BD11" i="2"/>
  <c r="BC11" i="2"/>
  <c r="BB11" i="2"/>
  <c r="X14" i="7" s="1"/>
  <c r="BA11" i="2"/>
  <c r="AX11" i="2"/>
  <c r="AW11" i="2"/>
  <c r="S14" i="7" s="1"/>
  <c r="AV11" i="2"/>
  <c r="AT11" i="2"/>
  <c r="P14" i="7" s="1"/>
  <c r="AS11" i="2"/>
  <c r="O14" i="7" s="1"/>
  <c r="AR11" i="2"/>
  <c r="AQ11" i="2"/>
  <c r="AQ12" i="2" s="1"/>
  <c r="M15" i="7" s="1"/>
  <c r="AP11" i="2"/>
  <c r="L14" i="7" s="1"/>
  <c r="AK11" i="2"/>
  <c r="G14" i="7" s="1"/>
  <c r="BH8" i="2"/>
  <c r="BG8" i="2"/>
  <c r="BF8" i="2"/>
  <c r="BE8" i="2"/>
  <c r="BD8" i="2"/>
  <c r="BC8" i="2"/>
  <c r="BB8" i="2"/>
  <c r="BA8" i="2"/>
  <c r="W12" i="7" s="1"/>
  <c r="AY8" i="2"/>
  <c r="AX8" i="2"/>
  <c r="AV8" i="2"/>
  <c r="AU8" i="2"/>
  <c r="Q12" i="7" s="1"/>
  <c r="AR8" i="2"/>
  <c r="N12" i="7" s="1"/>
  <c r="AQ8" i="2"/>
  <c r="AP8" i="2"/>
  <c r="L12" i="7" s="1"/>
  <c r="AK8" i="2"/>
  <c r="G12" i="7" s="1"/>
  <c r="C15" i="1"/>
  <c r="B15" i="1"/>
  <c r="B14" i="1"/>
  <c r="C35" i="1" l="1"/>
  <c r="BL196" i="2"/>
  <c r="BL198" i="2" s="1"/>
  <c r="AV14" i="2"/>
  <c r="AF92" i="7"/>
  <c r="AF100" i="7"/>
  <c r="AF104" i="7"/>
  <c r="AF83" i="7"/>
  <c r="AF91" i="7"/>
  <c r="AF99" i="7"/>
  <c r="AF103" i="7"/>
  <c r="AF77" i="7"/>
  <c r="AF94" i="7"/>
  <c r="AF102" i="7"/>
  <c r="AF80" i="7"/>
  <c r="AF93" i="7"/>
  <c r="AF98" i="7"/>
  <c r="AF101" i="7"/>
  <c r="BD72" i="3"/>
  <c r="N28" i="35"/>
  <c r="K28" i="35"/>
  <c r="E28" i="35"/>
  <c r="AT230" i="3"/>
  <c r="V212" i="3"/>
  <c r="BL74" i="3"/>
  <c r="AX38" i="2"/>
  <c r="BG45" i="2"/>
  <c r="AN214" i="3"/>
  <c r="AN181" i="3" s="1"/>
  <c r="AN183" i="3" s="1"/>
  <c r="AN187" i="3" s="1"/>
  <c r="BC45" i="2"/>
  <c r="J46" i="5"/>
  <c r="H28" i="35"/>
  <c r="BC27" i="4"/>
  <c r="AS8" i="2"/>
  <c r="O12" i="7" s="1"/>
  <c r="AW8" i="2"/>
  <c r="AW14" i="2" s="1"/>
  <c r="AY11" i="2"/>
  <c r="AY12" i="2" s="1"/>
  <c r="BA38" i="2"/>
  <c r="AP45" i="2"/>
  <c r="AP73" i="2"/>
  <c r="BF73" i="2"/>
  <c r="BE179" i="2"/>
  <c r="C3" i="35"/>
  <c r="C10" i="35" s="1"/>
  <c r="AB214" i="3"/>
  <c r="AV214" i="3"/>
  <c r="AT8" i="2"/>
  <c r="P12" i="7" s="1"/>
  <c r="BE11" i="2"/>
  <c r="BG38" i="2"/>
  <c r="BF45" i="2"/>
  <c r="BC59" i="2"/>
  <c r="AT25" i="3"/>
  <c r="P9" i="7" s="1"/>
  <c r="AR55" i="4"/>
  <c r="AR17" i="4" s="1"/>
  <c r="AZ8" i="2"/>
  <c r="AZ9" i="2" s="1"/>
  <c r="AF212" i="3"/>
  <c r="AS28" i="4"/>
  <c r="BA179" i="3"/>
  <c r="AM228" i="3"/>
  <c r="V233" i="3"/>
  <c r="AN228" i="3"/>
  <c r="AX78" i="3"/>
  <c r="P214" i="3"/>
  <c r="AJ214" i="3"/>
  <c r="AJ181" i="3" s="1"/>
  <c r="AJ183" i="3" s="1"/>
  <c r="AS233" i="3"/>
  <c r="AS177" i="3" s="1"/>
  <c r="AS179" i="3" s="1"/>
  <c r="AS187" i="3" s="1"/>
  <c r="AS42" i="3" s="1"/>
  <c r="BC7" i="4"/>
  <c r="AG179" i="3"/>
  <c r="AW141" i="2"/>
  <c r="AZ195" i="2"/>
  <c r="V104" i="7" s="1"/>
  <c r="AW190" i="2"/>
  <c r="BQ146" i="2"/>
  <c r="AZ181" i="2"/>
  <c r="V90" i="7" s="1"/>
  <c r="AV134" i="3"/>
  <c r="BJ42" i="4"/>
  <c r="AP38" i="2"/>
  <c r="AY38" i="2"/>
  <c r="AX45" i="2"/>
  <c r="BD284" i="2"/>
  <c r="BT41" i="3"/>
  <c r="BE77" i="3"/>
  <c r="BJ77" i="3" s="1"/>
  <c r="AV233" i="3"/>
  <c r="BI52" i="2"/>
  <c r="AK137" i="2"/>
  <c r="BA45" i="2"/>
  <c r="AP52" i="2"/>
  <c r="AX59" i="2"/>
  <c r="BH72" i="3"/>
  <c r="AI228" i="3"/>
  <c r="AU14" i="4"/>
  <c r="AU25" i="3"/>
  <c r="AX73" i="2"/>
  <c r="X179" i="3"/>
  <c r="BE194" i="3"/>
  <c r="AA212" i="3"/>
  <c r="AU127" i="2"/>
  <c r="BL146" i="2"/>
  <c r="AZ254" i="2"/>
  <c r="V156" i="7" s="1"/>
  <c r="AN233" i="3"/>
  <c r="AN177" i="3" s="1"/>
  <c r="AN179" i="3" s="1"/>
  <c r="BG11" i="4"/>
  <c r="AZ75" i="3"/>
  <c r="AZ77" i="3"/>
  <c r="AZ37" i="2"/>
  <c r="BF38" i="2"/>
  <c r="BC52" i="2"/>
  <c r="BA73" i="2"/>
  <c r="AZ189" i="2"/>
  <c r="V98" i="7" s="1"/>
  <c r="BF58" i="3"/>
  <c r="AU78" i="3"/>
  <c r="Z179" i="3"/>
  <c r="BZ51" i="3"/>
  <c r="BR102" i="2"/>
  <c r="BS102" i="2" s="1"/>
  <c r="AO51" i="7" s="1"/>
  <c r="BW147" i="2"/>
  <c r="BW196" i="2" s="1"/>
  <c r="G69" i="5"/>
  <c r="AU229" i="3"/>
  <c r="AX179" i="3"/>
  <c r="AV166" i="3"/>
  <c r="AV169" i="3" s="1"/>
  <c r="AV171" i="3" s="1"/>
  <c r="AV172" i="3" s="1"/>
  <c r="X214" i="3"/>
  <c r="BE20" i="2"/>
  <c r="BE43" i="3"/>
  <c r="AQ137" i="3"/>
  <c r="AQ143" i="3" s="1"/>
  <c r="AD179" i="3"/>
  <c r="AF209" i="3"/>
  <c r="AK212" i="3"/>
  <c r="T214" i="3"/>
  <c r="AA233" i="3"/>
  <c r="AQ233" i="3"/>
  <c r="AQ177" i="3" s="1"/>
  <c r="AQ179" i="3" s="1"/>
  <c r="AW7" i="4"/>
  <c r="BH27" i="3"/>
  <c r="BH28" i="3" s="1"/>
  <c r="AS231" i="3"/>
  <c r="BA62" i="3"/>
  <c r="W10" i="7" s="1"/>
  <c r="AW78" i="3"/>
  <c r="AS228" i="3"/>
  <c r="AV231" i="3"/>
  <c r="AI179" i="3"/>
  <c r="AP209" i="3"/>
  <c r="AX35" i="3"/>
  <c r="AU11" i="2"/>
  <c r="Q14" i="7" s="1"/>
  <c r="BF179" i="3"/>
  <c r="BA15" i="3"/>
  <c r="BY41" i="3"/>
  <c r="BC78" i="3"/>
  <c r="AQ113" i="3"/>
  <c r="AV115" i="3" s="1"/>
  <c r="BB199" i="3"/>
  <c r="H212" i="3"/>
  <c r="AO227" i="3"/>
  <c r="AV228" i="3"/>
  <c r="AL233" i="3"/>
  <c r="AL177" i="3" s="1"/>
  <c r="AL179" i="3" s="1"/>
  <c r="AV46" i="2"/>
  <c r="R32" i="7" s="1"/>
  <c r="BD26" i="3"/>
  <c r="BB72" i="3"/>
  <c r="AB179" i="3"/>
  <c r="AT232" i="3"/>
  <c r="AT231" i="3" s="1"/>
  <c r="AG228" i="3"/>
  <c r="Q233" i="3"/>
  <c r="BJ253" i="2"/>
  <c r="AF155" i="7" s="1"/>
  <c r="BJ250" i="2"/>
  <c r="AG152" i="7" s="1"/>
  <c r="BV11" i="3"/>
  <c r="BV9" i="3"/>
  <c r="BD21" i="3"/>
  <c r="BD15" i="3"/>
  <c r="BG27" i="4"/>
  <c r="BL25" i="4"/>
  <c r="BQ25" i="4" s="1"/>
  <c r="AY39" i="4"/>
  <c r="AZ39" i="4" s="1"/>
  <c r="AY38" i="4"/>
  <c r="AZ38" i="4" s="1"/>
  <c r="AV22" i="3"/>
  <c r="C17" i="1"/>
  <c r="C36" i="1" s="1"/>
  <c r="AP9" i="2"/>
  <c r="L13" i="7" s="1"/>
  <c r="AT27" i="2"/>
  <c r="P23" i="7" s="1"/>
  <c r="BE44" i="2"/>
  <c r="AX52" i="2"/>
  <c r="BC73" i="2"/>
  <c r="AK208" i="2"/>
  <c r="BG261" i="2"/>
  <c r="CA9" i="3"/>
  <c r="BX11" i="3"/>
  <c r="BE14" i="3"/>
  <c r="BE16" i="3" s="1"/>
  <c r="AV15" i="3"/>
  <c r="BF15" i="3"/>
  <c r="AY26" i="3"/>
  <c r="BF35" i="3"/>
  <c r="BB46" i="3"/>
  <c r="AU57" i="3"/>
  <c r="AU58" i="3" s="1"/>
  <c r="AU140" i="3"/>
  <c r="AU141" i="3" s="1"/>
  <c r="AP142" i="3"/>
  <c r="AU143" i="3"/>
  <c r="AQ169" i="3"/>
  <c r="AQ171" i="3" s="1"/>
  <c r="AQ172" i="3" s="1"/>
  <c r="AW177" i="3"/>
  <c r="AW179" i="3" s="1"/>
  <c r="R214" i="3"/>
  <c r="W214" i="3"/>
  <c r="AG214" i="3"/>
  <c r="AG181" i="3" s="1"/>
  <c r="AG183" i="3" s="1"/>
  <c r="AL214" i="3"/>
  <c r="AL181" i="3" s="1"/>
  <c r="AL183" i="3" s="1"/>
  <c r="AL187" i="3" s="1"/>
  <c r="AQ214" i="3"/>
  <c r="AQ181" i="3" s="1"/>
  <c r="AQ183" i="3" s="1"/>
  <c r="AX7" i="4"/>
  <c r="AS11" i="4"/>
  <c r="BG14" i="4"/>
  <c r="BH25" i="4"/>
  <c r="BG43" i="4"/>
  <c r="AV50" i="4"/>
  <c r="AV52" i="4" s="1"/>
  <c r="D7" i="5"/>
  <c r="D28" i="5"/>
  <c r="L35" i="7"/>
  <c r="S77" i="7"/>
  <c r="Y86" i="7"/>
  <c r="AE134" i="7"/>
  <c r="AC153" i="7"/>
  <c r="R155" i="7"/>
  <c r="AZ19" i="2"/>
  <c r="AZ20" i="2"/>
  <c r="AU25" i="2"/>
  <c r="AU26" i="2" s="1"/>
  <c r="BA52" i="2"/>
  <c r="BA59" i="2"/>
  <c r="AZ96" i="2"/>
  <c r="F46" i="5" s="1"/>
  <c r="BR147" i="2"/>
  <c r="BR146" i="2" s="1"/>
  <c r="AW228" i="2"/>
  <c r="AW235" i="2" s="1"/>
  <c r="S137" i="7" s="1"/>
  <c r="AU247" i="2"/>
  <c r="Q149" i="7" s="1"/>
  <c r="AP261" i="2"/>
  <c r="BD287" i="2"/>
  <c r="AX15" i="3"/>
  <c r="BA21" i="3"/>
  <c r="BA23" i="3" s="1"/>
  <c r="BA35" i="3" s="1"/>
  <c r="AW57" i="3"/>
  <c r="AW62" i="3" s="1"/>
  <c r="S10" i="7" s="1"/>
  <c r="BG58" i="3"/>
  <c r="BB62" i="3"/>
  <c r="X10" i="7" s="1"/>
  <c r="AV72" i="3"/>
  <c r="BF78" i="3"/>
  <c r="AY100" i="3"/>
  <c r="AW137" i="3"/>
  <c r="AW143" i="3" s="1"/>
  <c r="AX140" i="3"/>
  <c r="AX142" i="3"/>
  <c r="AX149" i="3" s="1"/>
  <c r="AX167" i="3" s="1"/>
  <c r="BC177" i="3"/>
  <c r="BC179" i="3" s="1"/>
  <c r="L209" i="3"/>
  <c r="AA209" i="3"/>
  <c r="AU209" i="3"/>
  <c r="J212" i="3"/>
  <c r="K212" i="3"/>
  <c r="S214" i="3"/>
  <c r="AM214" i="3"/>
  <c r="AM181" i="3" s="1"/>
  <c r="AM183" i="3" s="1"/>
  <c r="AP226" i="3"/>
  <c r="AJ232" i="3"/>
  <c r="AJ233" i="3" s="1"/>
  <c r="AJ177" i="3" s="1"/>
  <c r="AJ179" i="3" s="1"/>
  <c r="AO232" i="3"/>
  <c r="AO231" i="3" s="1"/>
  <c r="AY11" i="4"/>
  <c r="BL9" i="4"/>
  <c r="BL14" i="4" s="1"/>
  <c r="AV11" i="4"/>
  <c r="AS13" i="4"/>
  <c r="AX50" i="4"/>
  <c r="AX52" i="4" s="1"/>
  <c r="AP60" i="4"/>
  <c r="C14" i="5"/>
  <c r="W33" i="7"/>
  <c r="W35" i="7"/>
  <c r="Q48" i="7"/>
  <c r="BC9" i="2"/>
  <c r="Y13" i="7" s="1"/>
  <c r="AX12" i="2"/>
  <c r="AY26" i="2"/>
  <c r="AQ27" i="2"/>
  <c r="M23" i="7" s="1"/>
  <c r="AL33" i="2"/>
  <c r="H25" i="7" s="1"/>
  <c r="BE37" i="2"/>
  <c r="AS45" i="2"/>
  <c r="BE51" i="2"/>
  <c r="G25" i="5" s="1"/>
  <c r="BE58" i="2"/>
  <c r="AP59" i="2"/>
  <c r="BE72" i="2"/>
  <c r="AW81" i="2"/>
  <c r="AZ127" i="2"/>
  <c r="AZ165" i="2"/>
  <c r="AZ166" i="2"/>
  <c r="V77" i="7" s="1"/>
  <c r="AY198" i="2"/>
  <c r="U106" i="7" s="1"/>
  <c r="AV243" i="2"/>
  <c r="R145" i="7" s="1"/>
  <c r="BB254" i="2"/>
  <c r="X156" i="7" s="1"/>
  <c r="BU11" i="3"/>
  <c r="BG35" i="3"/>
  <c r="BF26" i="3"/>
  <c r="AU50" i="3"/>
  <c r="AU51" i="3" s="1"/>
  <c r="BF72" i="3"/>
  <c r="BB78" i="3"/>
  <c r="BG78" i="3"/>
  <c r="AZ98" i="3"/>
  <c r="AY115" i="3"/>
  <c r="AV136" i="3"/>
  <c r="BA140" i="3"/>
  <c r="AP143" i="3"/>
  <c r="H213" i="3"/>
  <c r="M214" i="3" s="1"/>
  <c r="AI214" i="3"/>
  <c r="AI181" i="3" s="1"/>
  <c r="AI183" i="3" s="1"/>
  <c r="AS214" i="3"/>
  <c r="AS181" i="3" s="1"/>
  <c r="AS183" i="3" s="1"/>
  <c r="AT227" i="3"/>
  <c r="BF7" i="4"/>
  <c r="BA50" i="4"/>
  <c r="BA52" i="4" s="1"/>
  <c r="AX11" i="4"/>
  <c r="AY14" i="4"/>
  <c r="AR27" i="4"/>
  <c r="BC35" i="4"/>
  <c r="AQ50" i="4"/>
  <c r="AQ52" i="4" s="1"/>
  <c r="D14" i="5"/>
  <c r="T8" i="7"/>
  <c r="P22" i="7"/>
  <c r="S31" i="7"/>
  <c r="AD35" i="7"/>
  <c r="V152" i="7"/>
  <c r="AS27" i="2"/>
  <c r="O23" i="7" s="1"/>
  <c r="AS38" i="2"/>
  <c r="BC38" i="2"/>
  <c r="AY45" i="2"/>
  <c r="BB52" i="2"/>
  <c r="AS52" i="2"/>
  <c r="BF52" i="2"/>
  <c r="BB59" i="2"/>
  <c r="AS59" i="2"/>
  <c r="BF59" i="2"/>
  <c r="BE196" i="2"/>
  <c r="AA105" i="7" s="1"/>
  <c r="BA198" i="2"/>
  <c r="W106" i="7" s="1"/>
  <c r="AV259" i="2"/>
  <c r="AY261" i="2"/>
  <c r="AZ179" i="2"/>
  <c r="BC26" i="3"/>
  <c r="BC27" i="3"/>
  <c r="BC28" i="3" s="1"/>
  <c r="CD41" i="3"/>
  <c r="AW46" i="3"/>
  <c r="AY57" i="3"/>
  <c r="AY62" i="3" s="1"/>
  <c r="U10" i="7" s="1"/>
  <c r="AR57" i="3"/>
  <c r="AR62" i="3" s="1"/>
  <c r="N10" i="7" s="1"/>
  <c r="BE57" i="3"/>
  <c r="BG62" i="3"/>
  <c r="AX72" i="3"/>
  <c r="AW72" i="3"/>
  <c r="BG72" i="3"/>
  <c r="AP78" i="3"/>
  <c r="BH78" i="3"/>
  <c r="AW129" i="3"/>
  <c r="AR137" i="3"/>
  <c r="AR143" i="3" s="1"/>
  <c r="BB140" i="3"/>
  <c r="Q209" i="3"/>
  <c r="AK209" i="3"/>
  <c r="AP212" i="3"/>
  <c r="K214" i="3"/>
  <c r="U214" i="3"/>
  <c r="AE214" i="3"/>
  <c r="AO214" i="3"/>
  <c r="AO181" i="3" s="1"/>
  <c r="AO183" i="3" s="1"/>
  <c r="AU226" i="3"/>
  <c r="AU227" i="3" s="1"/>
  <c r="AZ6" i="4"/>
  <c r="AZ27" i="4" s="1"/>
  <c r="AK17" i="4"/>
  <c r="AP58" i="4"/>
  <c r="S89" i="7"/>
  <c r="BU8" i="3"/>
  <c r="BU170" i="3" s="1"/>
  <c r="BH145" i="2"/>
  <c r="BZ8" i="3"/>
  <c r="BZ170" i="3" s="1"/>
  <c r="BQ8" i="3"/>
  <c r="BQ152" i="3" s="1"/>
  <c r="BU145" i="2"/>
  <c r="BM51" i="3"/>
  <c r="BK145" i="2"/>
  <c r="BK149" i="2" s="1"/>
  <c r="BV145" i="2"/>
  <c r="BV8" i="3"/>
  <c r="BV170" i="3" s="1"/>
  <c r="C16" i="6"/>
  <c r="BP145" i="2"/>
  <c r="BZ145" i="2"/>
  <c r="BP8" i="3"/>
  <c r="BP161" i="3" s="1"/>
  <c r="BW8" i="3"/>
  <c r="BW152" i="3" s="1"/>
  <c r="BQ145" i="2"/>
  <c r="BR8" i="3"/>
  <c r="BR170" i="3" s="1"/>
  <c r="BX8" i="3"/>
  <c r="BX152" i="3" s="1"/>
  <c r="BU51" i="3"/>
  <c r="BV51" i="3"/>
  <c r="AY141" i="2"/>
  <c r="AZ141" i="2" s="1"/>
  <c r="AZ151" i="2"/>
  <c r="AZ228" i="2"/>
  <c r="V130" i="7" s="1"/>
  <c r="AW186" i="2"/>
  <c r="AY208" i="2"/>
  <c r="U113" i="7" s="1"/>
  <c r="AO33" i="2"/>
  <c r="K25" i="7" s="1"/>
  <c r="BJ123" i="2"/>
  <c r="AZ169" i="2"/>
  <c r="V79" i="7" s="1"/>
  <c r="BJ197" i="2"/>
  <c r="BA208" i="2"/>
  <c r="AW247" i="2"/>
  <c r="S149" i="7" s="1"/>
  <c r="S104" i="7"/>
  <c r="CB147" i="2"/>
  <c r="CC147" i="2" s="1"/>
  <c r="Z62" i="7"/>
  <c r="BM147" i="2"/>
  <c r="AP260" i="2"/>
  <c r="CA145" i="2"/>
  <c r="BD208" i="2"/>
  <c r="Z113" i="7" s="1"/>
  <c r="AX235" i="2"/>
  <c r="T137" i="7" s="1"/>
  <c r="BB283" i="2"/>
  <c r="BB282" i="2" s="1"/>
  <c r="S90" i="7"/>
  <c r="U130" i="7"/>
  <c r="AA77" i="7"/>
  <c r="BJ226" i="2"/>
  <c r="AF128" i="7" s="1"/>
  <c r="BE123" i="2"/>
  <c r="G113" i="7"/>
  <c r="CB102" i="2"/>
  <c r="CC102" i="2" s="1"/>
  <c r="AY51" i="7" s="1"/>
  <c r="AP200" i="2"/>
  <c r="L108" i="7" s="1"/>
  <c r="AC113" i="7"/>
  <c r="BA235" i="2"/>
  <c r="W137" i="7" s="1"/>
  <c r="BG260" i="2"/>
  <c r="AP62" i="7"/>
  <c r="Z130" i="7"/>
  <c r="CA196" i="2"/>
  <c r="CA198" i="2" s="1"/>
  <c r="AW106" i="7" s="1"/>
  <c r="AR208" i="2"/>
  <c r="N113" i="7" s="1"/>
  <c r="AC156" i="7"/>
  <c r="BL145" i="2"/>
  <c r="AK211" i="2"/>
  <c r="G116" i="7" s="1"/>
  <c r="BL232" i="2"/>
  <c r="BV52" i="3"/>
  <c r="BW53" i="3"/>
  <c r="BW51" i="3" s="1"/>
  <c r="CC10" i="3"/>
  <c r="CB11" i="3"/>
  <c r="CA8" i="3"/>
  <c r="CA170" i="3" s="1"/>
  <c r="BS9" i="3"/>
  <c r="CA11" i="3"/>
  <c r="BS8" i="3"/>
  <c r="BS152" i="3" s="1"/>
  <c r="AG141" i="7"/>
  <c r="D4" i="5"/>
  <c r="D76" i="5" s="1"/>
  <c r="C76" i="5"/>
  <c r="BF9" i="2"/>
  <c r="BF12" i="2"/>
  <c r="R21" i="7"/>
  <c r="Z14" i="7"/>
  <c r="BC14" i="2"/>
  <c r="AU9" i="2"/>
  <c r="Q13" i="7" s="1"/>
  <c r="AV39" i="2"/>
  <c r="AX9" i="2"/>
  <c r="AP12" i="2"/>
  <c r="L15" i="7" s="1"/>
  <c r="AX14" i="2"/>
  <c r="BC12" i="2"/>
  <c r="BA9" i="2"/>
  <c r="BA14" i="2"/>
  <c r="AP18" i="4"/>
  <c r="BD14" i="2"/>
  <c r="BA12" i="2"/>
  <c r="AP14" i="2"/>
  <c r="D9" i="5" s="1"/>
  <c r="BF14" i="2"/>
  <c r="BB12" i="2"/>
  <c r="AS14" i="2"/>
  <c r="D68" i="5"/>
  <c r="C68" i="5" s="1"/>
  <c r="C67" i="5" s="1"/>
  <c r="C75" i="5"/>
  <c r="BL51" i="3"/>
  <c r="BL52" i="3"/>
  <c r="M12" i="7"/>
  <c r="AV9" i="2"/>
  <c r="Y130" i="7"/>
  <c r="BC235" i="2"/>
  <c r="AD12" i="7"/>
  <c r="BH9" i="2"/>
  <c r="AV82" i="2"/>
  <c r="BX82" i="2"/>
  <c r="AU98" i="7"/>
  <c r="AA152" i="7"/>
  <c r="AQ153" i="3"/>
  <c r="AQ154" i="3" s="1"/>
  <c r="D59" i="5"/>
  <c r="J17" i="7"/>
  <c r="AN33" i="2"/>
  <c r="G21" i="7"/>
  <c r="AK54" i="4"/>
  <c r="T21" i="7"/>
  <c r="AB21" i="7"/>
  <c r="AV271" i="2"/>
  <c r="AV27" i="2"/>
  <c r="AZ25" i="2"/>
  <c r="F13" i="5" s="1"/>
  <c r="R22" i="7"/>
  <c r="BA26" i="2"/>
  <c r="X23" i="7"/>
  <c r="AU44" i="2"/>
  <c r="M31" i="7"/>
  <c r="AV45" i="2"/>
  <c r="AZ44" i="2"/>
  <c r="BE45" i="2" s="1"/>
  <c r="AD31" i="7"/>
  <c r="BH45" i="2"/>
  <c r="BT151" i="2"/>
  <c r="L145" i="7"/>
  <c r="AP247" i="2"/>
  <c r="AR157" i="3"/>
  <c r="AW159" i="3" s="1"/>
  <c r="AS158" i="3"/>
  <c r="BG35" i="4"/>
  <c r="BL33" i="4"/>
  <c r="BG50" i="4"/>
  <c r="AF132" i="7"/>
  <c r="AC12" i="7"/>
  <c r="BG9" i="2"/>
  <c r="F16" i="5"/>
  <c r="V29" i="7"/>
  <c r="AD29" i="7"/>
  <c r="BH38" i="2"/>
  <c r="V48" i="7"/>
  <c r="CB196" i="2"/>
  <c r="CB146" i="2"/>
  <c r="CB145" i="2"/>
  <c r="BA260" i="2"/>
  <c r="BC140" i="3"/>
  <c r="BC62" i="3"/>
  <c r="Y10" i="7" s="1"/>
  <c r="BC141" i="3"/>
  <c r="BC58" i="3"/>
  <c r="AP232" i="3"/>
  <c r="AP231" i="3" s="1"/>
  <c r="R17" i="7"/>
  <c r="AV269" i="2"/>
  <c r="AV270" i="2"/>
  <c r="AV268" i="2"/>
  <c r="AV267" i="2"/>
  <c r="AV33" i="2"/>
  <c r="N29" i="7"/>
  <c r="AR38" i="2"/>
  <c r="AA90" i="7"/>
  <c r="AE147" i="7"/>
  <c r="BJ245" i="2"/>
  <c r="AP62" i="3"/>
  <c r="L10" i="7" s="1"/>
  <c r="AP58" i="3"/>
  <c r="AS167" i="3"/>
  <c r="AR166" i="3"/>
  <c r="AV53" i="2"/>
  <c r="AV60" i="2"/>
  <c r="S75" i="7"/>
  <c r="AZ164" i="2"/>
  <c r="V75" i="7" s="1"/>
  <c r="AZ101" i="7"/>
  <c r="AZ104" i="7"/>
  <c r="AW26" i="3"/>
  <c r="S9" i="7"/>
  <c r="AW27" i="3"/>
  <c r="AW28" i="3" s="1"/>
  <c r="AV150" i="3"/>
  <c r="AV151" i="3"/>
  <c r="I40" i="7"/>
  <c r="AM84" i="2"/>
  <c r="W23" i="7"/>
  <c r="AC31" i="7"/>
  <c r="BL150" i="2"/>
  <c r="BM150" i="2" s="1"/>
  <c r="BN150" i="2" s="1"/>
  <c r="BP150" i="2" s="1"/>
  <c r="BQ150" i="2" s="1"/>
  <c r="BR150" i="2" s="1"/>
  <c r="Y153" i="7"/>
  <c r="BC254" i="2"/>
  <c r="Y156" i="7" s="1"/>
  <c r="L21" i="7"/>
  <c r="AP54" i="4"/>
  <c r="N31" i="7"/>
  <c r="AR45" i="2"/>
  <c r="BG52" i="2"/>
  <c r="AC35" i="7"/>
  <c r="BG59" i="2"/>
  <c r="AC37" i="7"/>
  <c r="BG73" i="2"/>
  <c r="G63" i="7"/>
  <c r="AK138" i="2"/>
  <c r="G64" i="7" s="1"/>
  <c r="AK209" i="2"/>
  <c r="G114" i="7" s="1"/>
  <c r="BV151" i="2"/>
  <c r="BW151" i="2" s="1"/>
  <c r="BX151" i="2" s="1"/>
  <c r="BZ151" i="2" s="1"/>
  <c r="S84" i="7"/>
  <c r="AZ175" i="2"/>
  <c r="V84" i="7" s="1"/>
  <c r="AE127" i="7"/>
  <c r="BJ225" i="2"/>
  <c r="S156" i="7"/>
  <c r="AW261" i="2"/>
  <c r="BB27" i="3"/>
  <c r="BB28" i="3" s="1"/>
  <c r="AY78" i="3"/>
  <c r="BD78" i="3"/>
  <c r="I17" i="7"/>
  <c r="AC33" i="7"/>
  <c r="M14" i="7"/>
  <c r="AV12" i="2"/>
  <c r="AQ14" i="2"/>
  <c r="BD12" i="2"/>
  <c r="AC14" i="7"/>
  <c r="BG14" i="2"/>
  <c r="BG12" i="2"/>
  <c r="U33" i="7"/>
  <c r="AY52" i="2"/>
  <c r="BD52" i="2"/>
  <c r="AZ51" i="2"/>
  <c r="U35" i="7"/>
  <c r="AY59" i="2"/>
  <c r="BD59" i="2"/>
  <c r="AZ58" i="2"/>
  <c r="U37" i="7"/>
  <c r="AZ72" i="2"/>
  <c r="AY73" i="2"/>
  <c r="BD73" i="2"/>
  <c r="AZ125" i="2"/>
  <c r="S71" i="7"/>
  <c r="AZ160" i="2"/>
  <c r="AW177" i="2"/>
  <c r="BC197" i="2"/>
  <c r="BD197" i="2" s="1"/>
  <c r="BD198" i="2" s="1"/>
  <c r="Z106" i="7" s="1"/>
  <c r="BB198" i="2"/>
  <c r="X106" i="7" s="1"/>
  <c r="AG132" i="7"/>
  <c r="BL230" i="2"/>
  <c r="I25" i="7"/>
  <c r="BD9" i="2"/>
  <c r="U12" i="7"/>
  <c r="M29" i="7"/>
  <c r="AU37" i="2"/>
  <c r="AZ38" i="2" s="1"/>
  <c r="AV38" i="2"/>
  <c r="G13" i="5"/>
  <c r="AA20" i="7"/>
  <c r="BE19" i="2"/>
  <c r="X142" i="7"/>
  <c r="BB259" i="2"/>
  <c r="BC240" i="2"/>
  <c r="BB243" i="2"/>
  <c r="S21" i="7"/>
  <c r="AU27" i="2"/>
  <c r="Q23" i="7" s="1"/>
  <c r="U31" i="7"/>
  <c r="BD45" i="2"/>
  <c r="G31" i="5"/>
  <c r="AA57" i="7"/>
  <c r="BE186" i="2"/>
  <c r="AA95" i="7" s="1"/>
  <c r="AQ9" i="2"/>
  <c r="M13" i="7" s="1"/>
  <c r="N14" i="7"/>
  <c r="AR14" i="2"/>
  <c r="AR53" i="2" s="1"/>
  <c r="N34" i="7" s="1"/>
  <c r="AD14" i="7"/>
  <c r="BH14" i="2"/>
  <c r="BH12" i="2"/>
  <c r="AV26" i="2"/>
  <c r="U29" i="7"/>
  <c r="BD38" i="2"/>
  <c r="AC29" i="7"/>
  <c r="M33" i="7"/>
  <c r="AU51" i="2"/>
  <c r="AV52" i="2"/>
  <c r="AQ52" i="2"/>
  <c r="M35" i="7"/>
  <c r="AU58" i="2"/>
  <c r="AQ59" i="2"/>
  <c r="AV59" i="2"/>
  <c r="L37" i="7"/>
  <c r="S80" i="7"/>
  <c r="S12" i="7"/>
  <c r="AA12" i="7"/>
  <c r="AA14" i="7"/>
  <c r="AK14" i="2"/>
  <c r="Q20" i="7"/>
  <c r="AU20" i="2"/>
  <c r="Q21" i="7" s="1"/>
  <c r="Y21" i="7"/>
  <c r="AS26" i="2"/>
  <c r="U23" i="7"/>
  <c r="C16" i="5"/>
  <c r="G29" i="7"/>
  <c r="S29" i="7"/>
  <c r="G16" i="5"/>
  <c r="G31" i="7"/>
  <c r="C19" i="5"/>
  <c r="G19" i="5"/>
  <c r="AA31" i="7"/>
  <c r="S33" i="7"/>
  <c r="S35" i="7"/>
  <c r="AA35" i="7"/>
  <c r="T57" i="7"/>
  <c r="BC81" i="2"/>
  <c r="BX147" i="2"/>
  <c r="V73" i="7"/>
  <c r="F65" i="5"/>
  <c r="F68" i="5" s="1"/>
  <c r="V76" i="7"/>
  <c r="S81" i="7"/>
  <c r="AZ172" i="2"/>
  <c r="V81" i="7" s="1"/>
  <c r="X86" i="7"/>
  <c r="CC197" i="2"/>
  <c r="CD197" i="2" s="1"/>
  <c r="R107" i="7"/>
  <c r="AW199" i="2"/>
  <c r="AZ199" i="2" s="1"/>
  <c r="V107" i="7" s="1"/>
  <c r="AE124" i="7"/>
  <c r="BJ221" i="2"/>
  <c r="W145" i="7"/>
  <c r="W153" i="7"/>
  <c r="BA254" i="2"/>
  <c r="W156" i="7" s="1"/>
  <c r="AX260" i="2"/>
  <c r="AX261" i="2"/>
  <c r="AA7" i="7"/>
  <c r="BB15" i="3"/>
  <c r="BG15" i="3"/>
  <c r="BW52" i="3"/>
  <c r="BW54" i="3"/>
  <c r="BX53" i="3"/>
  <c r="AU119" i="3"/>
  <c r="AW131" i="3"/>
  <c r="AT137" i="3"/>
  <c r="AW160" i="3"/>
  <c r="BA196" i="3"/>
  <c r="BD14" i="4"/>
  <c r="BD11" i="4"/>
  <c r="BD27" i="4"/>
  <c r="BI25" i="4"/>
  <c r="G35" i="7"/>
  <c r="T12" i="7"/>
  <c r="AB12" i="7"/>
  <c r="T14" i="7"/>
  <c r="BB14" i="2"/>
  <c r="Z21" i="7"/>
  <c r="AR27" i="2"/>
  <c r="N23" i="7" s="1"/>
  <c r="AD23" i="7"/>
  <c r="D16" i="5"/>
  <c r="L29" i="7"/>
  <c r="T29" i="7"/>
  <c r="AB29" i="7"/>
  <c r="AW38" i="2"/>
  <c r="BE38" i="2"/>
  <c r="L31" i="7"/>
  <c r="D19" i="5"/>
  <c r="T31" i="7"/>
  <c r="AB31" i="7"/>
  <c r="AW45" i="2"/>
  <c r="D25" i="5"/>
  <c r="L33" i="7"/>
  <c r="AW52" i="2"/>
  <c r="T35" i="7"/>
  <c r="AW59" i="2"/>
  <c r="C28" i="5"/>
  <c r="G37" i="7"/>
  <c r="T37" i="7"/>
  <c r="AB37" i="7"/>
  <c r="AW73" i="2"/>
  <c r="AZ80" i="2"/>
  <c r="BE81" i="2" s="1"/>
  <c r="AX81" i="2"/>
  <c r="W50" i="7"/>
  <c r="BE101" i="2"/>
  <c r="AR51" i="7"/>
  <c r="BW102" i="2"/>
  <c r="AA73" i="7"/>
  <c r="BE271" i="2"/>
  <c r="G65" i="5"/>
  <c r="R80" i="7"/>
  <c r="AV177" i="2"/>
  <c r="AZ170" i="2"/>
  <c r="V80" i="7" s="1"/>
  <c r="AZ171" i="2"/>
  <c r="O86" i="7"/>
  <c r="AS200" i="2"/>
  <c r="Y113" i="7"/>
  <c r="BC211" i="2"/>
  <c r="T98" i="7"/>
  <c r="AX198" i="2"/>
  <c r="T106" i="7" s="1"/>
  <c r="AL105" i="7"/>
  <c r="BP198" i="2"/>
  <c r="AL106" i="7" s="1"/>
  <c r="BO197" i="2"/>
  <c r="AR200" i="2"/>
  <c r="AS211" i="2"/>
  <c r="O116" i="7" s="1"/>
  <c r="AU235" i="2"/>
  <c r="AB156" i="7"/>
  <c r="C102" i="5"/>
  <c r="U8" i="7"/>
  <c r="AY177" i="3"/>
  <c r="AY179" i="3" s="1"/>
  <c r="BP9" i="3"/>
  <c r="AU15" i="3"/>
  <c r="AU21" i="3"/>
  <c r="BC15" i="3"/>
  <c r="BC21" i="3"/>
  <c r="AY22" i="3"/>
  <c r="AY23" i="3"/>
  <c r="G9" i="7"/>
  <c r="AD9" i="7"/>
  <c r="BH26" i="3"/>
  <c r="BD43" i="3"/>
  <c r="AQ25" i="3"/>
  <c r="AQ57" i="3"/>
  <c r="AQ62" i="3" s="1"/>
  <c r="M10" i="7" s="1"/>
  <c r="AY46" i="3"/>
  <c r="BR51" i="3"/>
  <c r="CA54" i="3"/>
  <c r="CB53" i="3"/>
  <c r="CA51" i="3"/>
  <c r="CA52" i="3"/>
  <c r="BH58" i="3"/>
  <c r="AW100" i="3"/>
  <c r="AU114" i="3"/>
  <c r="AW115" i="3"/>
  <c r="AW119" i="3"/>
  <c r="AV129" i="3"/>
  <c r="AV137" i="3"/>
  <c r="AV143" i="3" s="1"/>
  <c r="AK143" i="3"/>
  <c r="BA169" i="3"/>
  <c r="AR11" i="4"/>
  <c r="AR58" i="4"/>
  <c r="AR50" i="4"/>
  <c r="BH44" i="4"/>
  <c r="BP9" i="4"/>
  <c r="BK14" i="4"/>
  <c r="BH27" i="4"/>
  <c r="BA35" i="4"/>
  <c r="BF33" i="4"/>
  <c r="BA39" i="4"/>
  <c r="BA38" i="4"/>
  <c r="L69" i="5"/>
  <c r="AB14" i="7"/>
  <c r="R31" i="7"/>
  <c r="Z33" i="7"/>
  <c r="AB35" i="7"/>
  <c r="Y37" i="7"/>
  <c r="AA89" i="7"/>
  <c r="O113" i="7"/>
  <c r="AD33" i="7"/>
  <c r="AD37" i="7"/>
  <c r="Y50" i="7"/>
  <c r="BS197" i="2"/>
  <c r="BT197" i="2" s="1"/>
  <c r="Z153" i="7"/>
  <c r="BE251" i="2"/>
  <c r="AA153" i="7" s="1"/>
  <c r="BD254" i="2"/>
  <c r="Z156" i="7" s="1"/>
  <c r="BA284" i="2"/>
  <c r="BC284" i="2"/>
  <c r="BC282" i="2" s="1"/>
  <c r="X8" i="7"/>
  <c r="BB177" i="3"/>
  <c r="BB179" i="3" s="1"/>
  <c r="AW21" i="3"/>
  <c r="AW15" i="3"/>
  <c r="N9" i="7"/>
  <c r="AR35" i="3"/>
  <c r="BB26" i="3"/>
  <c r="X9" i="7"/>
  <c r="BB35" i="3"/>
  <c r="BG26" i="3"/>
  <c r="BN32" i="3"/>
  <c r="BP32" i="3" s="1"/>
  <c r="BQ32" i="3" s="1"/>
  <c r="BR32" i="3" s="1"/>
  <c r="BS32" i="3" s="1"/>
  <c r="BF42" i="3"/>
  <c r="AT50" i="4"/>
  <c r="AT52" i="4" s="1"/>
  <c r="AT11" i="4"/>
  <c r="BB7" i="4"/>
  <c r="BB50" i="4"/>
  <c r="BB27" i="4"/>
  <c r="AZ12" i="4"/>
  <c r="AZ9" i="4"/>
  <c r="AW11" i="4"/>
  <c r="BI14" i="4"/>
  <c r="BI43" i="4"/>
  <c r="C25" i="5"/>
  <c r="X31" i="7"/>
  <c r="S92" i="7"/>
  <c r="AA104" i="7"/>
  <c r="AE142" i="7"/>
  <c r="AC145" i="7"/>
  <c r="BE14" i="2"/>
  <c r="AC21" i="7"/>
  <c r="S22" i="7"/>
  <c r="AW26" i="2"/>
  <c r="Y23" i="7"/>
  <c r="BA33" i="2"/>
  <c r="W29" i="7"/>
  <c r="W31" i="7"/>
  <c r="AR52" i="2"/>
  <c r="BH52" i="2"/>
  <c r="AR59" i="2"/>
  <c r="BH59" i="2"/>
  <c r="O37" i="7"/>
  <c r="W37" i="7"/>
  <c r="AR73" i="2"/>
  <c r="BH73" i="2"/>
  <c r="AF48" i="7"/>
  <c r="AM105" i="7"/>
  <c r="S74" i="7"/>
  <c r="AX208" i="2"/>
  <c r="BU198" i="2"/>
  <c r="AQ106" i="7" s="1"/>
  <c r="BE282" i="2"/>
  <c r="BD283" i="2"/>
  <c r="BD282" i="2" s="1"/>
  <c r="BA283" i="2"/>
  <c r="AY15" i="3"/>
  <c r="AX22" i="3"/>
  <c r="AT35" i="3"/>
  <c r="BD50" i="3"/>
  <c r="AU62" i="3"/>
  <c r="Q10" i="7" s="1"/>
  <c r="AX58" i="3"/>
  <c r="AC10" i="7"/>
  <c r="BA72" i="3"/>
  <c r="AY72" i="3"/>
  <c r="AK142" i="3"/>
  <c r="AW196" i="3"/>
  <c r="AS149" i="3"/>
  <c r="AR148" i="3"/>
  <c r="I212" i="3"/>
  <c r="I213" i="3"/>
  <c r="Y214" i="3"/>
  <c r="AD214" i="3"/>
  <c r="AU50" i="4"/>
  <c r="AU27" i="4"/>
  <c r="AU7" i="4"/>
  <c r="BC50" i="4"/>
  <c r="BC43" i="4"/>
  <c r="BH7" i="4"/>
  <c r="BL41" i="4"/>
  <c r="AU11" i="4"/>
  <c r="AS31" i="4"/>
  <c r="AT29" i="4"/>
  <c r="BB48" i="4"/>
  <c r="BC46" i="4"/>
  <c r="AK53" i="4"/>
  <c r="AQ55" i="4"/>
  <c r="V20" i="7"/>
  <c r="U21" i="7"/>
  <c r="AX51" i="7"/>
  <c r="AD86" i="7"/>
  <c r="S83" i="7"/>
  <c r="AZ174" i="2"/>
  <c r="V83" i="7" s="1"/>
  <c r="BE177" i="2"/>
  <c r="AX186" i="2"/>
  <c r="AD21" i="7"/>
  <c r="X37" i="7"/>
  <c r="CC82" i="2"/>
  <c r="AK48" i="7"/>
  <c r="I46" i="5"/>
  <c r="AU76" i="7"/>
  <c r="K69" i="5"/>
  <c r="S94" i="7"/>
  <c r="BB208" i="2"/>
  <c r="AF142" i="7"/>
  <c r="BJ259" i="2"/>
  <c r="S148" i="7"/>
  <c r="AX246" i="2"/>
  <c r="AV41" i="3"/>
  <c r="AZ41" i="3" s="1"/>
  <c r="AZ42" i="3" s="1"/>
  <c r="AZ194" i="3"/>
  <c r="AX160" i="3"/>
  <c r="BA14" i="4"/>
  <c r="BE9" i="4"/>
  <c r="BE12" i="4"/>
  <c r="BN9" i="4"/>
  <c r="BF25" i="4"/>
  <c r="BE25" i="4"/>
  <c r="BA27" i="4"/>
  <c r="X29" i="7"/>
  <c r="Y12" i="7"/>
  <c r="AW9" i="2"/>
  <c r="Y14" i="7"/>
  <c r="AW12" i="2"/>
  <c r="AU19" i="2"/>
  <c r="W21" i="7"/>
  <c r="AQ26" i="2"/>
  <c r="AW27" i="2"/>
  <c r="BE27" i="2"/>
  <c r="AT38" i="2"/>
  <c r="BB38" i="2"/>
  <c r="Y31" i="7"/>
  <c r="AT45" i="2"/>
  <c r="BB45" i="2"/>
  <c r="Y33" i="7"/>
  <c r="AT52" i="2"/>
  <c r="Y35" i="7"/>
  <c r="AT59" i="2"/>
  <c r="AU72" i="2"/>
  <c r="AT73" i="2"/>
  <c r="BB73" i="2"/>
  <c r="P57" i="7"/>
  <c r="AT81" i="2"/>
  <c r="T50" i="7"/>
  <c r="G63" i="5"/>
  <c r="AA79" i="7"/>
  <c r="AZ182" i="2"/>
  <c r="V91" i="7" s="1"/>
  <c r="AZ183" i="2"/>
  <c r="V92" i="7" s="1"/>
  <c r="AZ185" i="2"/>
  <c r="V94" i="7" s="1"/>
  <c r="Y98" i="7"/>
  <c r="AV105" i="7"/>
  <c r="BY197" i="2"/>
  <c r="R106" i="7"/>
  <c r="BZ198" i="2"/>
  <c r="AV106" i="7" s="1"/>
  <c r="U137" i="7"/>
  <c r="AE136" i="7"/>
  <c r="BJ234" i="2"/>
  <c r="BH261" i="2"/>
  <c r="BJ283" i="2"/>
  <c r="AV177" i="3"/>
  <c r="AV179" i="3" s="1"/>
  <c r="R8" i="7"/>
  <c r="BE7" i="3"/>
  <c r="CB9" i="3"/>
  <c r="CB8" i="3"/>
  <c r="AZ14" i="3"/>
  <c r="BH15" i="3"/>
  <c r="BH21" i="3"/>
  <c r="BG22" i="3"/>
  <c r="BE25" i="3"/>
  <c r="AY40" i="3"/>
  <c r="AZ40" i="3" s="1"/>
  <c r="AZ43" i="3" s="1"/>
  <c r="BI41" i="3"/>
  <c r="BJ41" i="3" s="1"/>
  <c r="AQ43" i="3"/>
  <c r="AV46" i="3"/>
  <c r="BA46" i="3"/>
  <c r="AV25" i="3"/>
  <c r="BA27" i="3" s="1"/>
  <c r="AV57" i="3"/>
  <c r="AX62" i="3"/>
  <c r="T10" i="7" s="1"/>
  <c r="BC72" i="3"/>
  <c r="L211" i="3"/>
  <c r="Q212" i="3" s="1"/>
  <c r="AR214" i="3"/>
  <c r="AR181" i="3" s="1"/>
  <c r="AR183" i="3" s="1"/>
  <c r="AT279" i="3"/>
  <c r="AW50" i="4"/>
  <c r="BE6" i="4"/>
  <c r="BB11" i="4"/>
  <c r="AT27" i="4"/>
  <c r="BB38" i="4"/>
  <c r="BB35" i="4"/>
  <c r="BK42" i="4"/>
  <c r="BB43" i="4"/>
  <c r="G6" i="5"/>
  <c r="Z12" i="7"/>
  <c r="AB23" i="7"/>
  <c r="L86" i="7"/>
  <c r="S98" i="7"/>
  <c r="AD113" i="7"/>
  <c r="M57" i="7"/>
  <c r="AU80" i="2"/>
  <c r="G50" i="7"/>
  <c r="I69" i="5"/>
  <c r="AK76" i="7"/>
  <c r="AX26" i="2"/>
  <c r="Z23" i="7"/>
  <c r="X33" i="7"/>
  <c r="X35" i="7"/>
  <c r="AS81" i="2"/>
  <c r="AB50" i="7"/>
  <c r="S93" i="7"/>
  <c r="BJ284" i="2"/>
  <c r="Z8" i="7"/>
  <c r="BD177" i="3"/>
  <c r="BD179" i="3" s="1"/>
  <c r="AU26" i="3"/>
  <c r="Q9" i="7"/>
  <c r="BD58" i="3"/>
  <c r="AY58" i="3"/>
  <c r="BF62" i="3"/>
  <c r="AB10" i="7" s="1"/>
  <c r="L87" i="5"/>
  <c r="L88" i="5" s="1"/>
  <c r="L85" i="5"/>
  <c r="L84" i="5" s="1"/>
  <c r="X12" i="7"/>
  <c r="R12" i="7"/>
  <c r="R14" i="7"/>
  <c r="X21" i="7"/>
  <c r="AR26" i="2"/>
  <c r="T23" i="7"/>
  <c r="R29" i="7"/>
  <c r="Z29" i="7"/>
  <c r="Z31" i="7"/>
  <c r="R33" i="7"/>
  <c r="R35" i="7"/>
  <c r="Z35" i="7"/>
  <c r="R37" i="7"/>
  <c r="AV74" i="2"/>
  <c r="Z37" i="7"/>
  <c r="R57" i="7"/>
  <c r="AV81" i="2"/>
  <c r="L48" i="7"/>
  <c r="D46" i="5"/>
  <c r="AU48" i="7"/>
  <c r="K46" i="5"/>
  <c r="AD50" i="7"/>
  <c r="Q62" i="7"/>
  <c r="E39" i="5"/>
  <c r="K39" i="5"/>
  <c r="AU62" i="7"/>
  <c r="AR105" i="7"/>
  <c r="BV198" i="2"/>
  <c r="AR106" i="7" s="1"/>
  <c r="BO151" i="2"/>
  <c r="AP211" i="2"/>
  <c r="BK198" i="2"/>
  <c r="AG106" i="7" s="1"/>
  <c r="AB108" i="7"/>
  <c r="R123" i="7"/>
  <c r="AV228" i="2"/>
  <c r="AD130" i="7"/>
  <c r="AE144" i="7"/>
  <c r="BJ242" i="2"/>
  <c r="U145" i="7"/>
  <c r="BI259" i="2"/>
  <c r="AZ271" i="2"/>
  <c r="AV23" i="3"/>
  <c r="AU27" i="3"/>
  <c r="BA41" i="3"/>
  <c r="BO41" i="3"/>
  <c r="BH62" i="3"/>
  <c r="AV78" i="3"/>
  <c r="BA78" i="3"/>
  <c r="AS137" i="3"/>
  <c r="AV161" i="3"/>
  <c r="BA160" i="3"/>
  <c r="AV162" i="3"/>
  <c r="AV163" i="3" s="1"/>
  <c r="C213" i="3"/>
  <c r="G211" i="3"/>
  <c r="AC214" i="3"/>
  <c r="AH214" i="3"/>
  <c r="AH181" i="3" s="1"/>
  <c r="AH183" i="3" s="1"/>
  <c r="AH233" i="3"/>
  <c r="AH177" i="3" s="1"/>
  <c r="AH179" i="3" s="1"/>
  <c r="AH228" i="3"/>
  <c r="AW233" i="3"/>
  <c r="AR233" i="3"/>
  <c r="AR177" i="3" s="1"/>
  <c r="AR179" i="3" s="1"/>
  <c r="AR231" i="3"/>
  <c r="AR228" i="3"/>
  <c r="AU279" i="3"/>
  <c r="BA11" i="4"/>
  <c r="BC38" i="4"/>
  <c r="BH33" i="4"/>
  <c r="W14" i="7"/>
  <c r="AC23" i="7"/>
  <c r="S37" i="7"/>
  <c r="L113" i="7"/>
  <c r="AE141" i="7"/>
  <c r="G46" i="5"/>
  <c r="V62" i="7"/>
  <c r="F39" i="5"/>
  <c r="AZ62" i="7"/>
  <c r="L39" i="5"/>
  <c r="BA151" i="2"/>
  <c r="S73" i="7"/>
  <c r="AZ180" i="2"/>
  <c r="BE189" i="2"/>
  <c r="AK200" i="2"/>
  <c r="AP235" i="2"/>
  <c r="BB235" i="2"/>
  <c r="AZ243" i="2"/>
  <c r="BH260" i="2"/>
  <c r="AU261" i="2"/>
  <c r="BL8" i="3"/>
  <c r="AS25" i="3"/>
  <c r="AX27" i="3" s="1"/>
  <c r="AX28" i="3" s="1"/>
  <c r="AX46" i="3"/>
  <c r="AX129" i="3"/>
  <c r="Y179" i="3"/>
  <c r="AU212" i="3"/>
  <c r="AF233" i="3"/>
  <c r="AZ14" i="4"/>
  <c r="BB37" i="4"/>
  <c r="BC37" i="4" s="1"/>
  <c r="BD37" i="4" s="1"/>
  <c r="BF37" i="4" s="1"/>
  <c r="J39" i="5"/>
  <c r="N57" i="7"/>
  <c r="AP48" i="7"/>
  <c r="S82" i="7"/>
  <c r="AZ259" i="2"/>
  <c r="BD27" i="3"/>
  <c r="AV159" i="3"/>
  <c r="BA199" i="3"/>
  <c r="V209" i="3"/>
  <c r="Z214" i="3"/>
  <c r="AT214" i="3"/>
  <c r="AT181" i="3" s="1"/>
  <c r="AT183" i="3" s="1"/>
  <c r="BJ9" i="4"/>
  <c r="BC14" i="4"/>
  <c r="BC11" i="4"/>
  <c r="AZ33" i="4"/>
  <c r="AY35" i="4"/>
  <c r="BB47" i="4"/>
  <c r="BC45" i="4"/>
  <c r="AY50" i="4"/>
  <c r="AP51" i="4"/>
  <c r="AK18" i="4"/>
  <c r="F6" i="5"/>
  <c r="F7" i="5" s="1"/>
  <c r="V7" i="7"/>
  <c r="W8" i="7"/>
  <c r="AA48" i="7"/>
  <c r="S76" i="7"/>
  <c r="AA76" i="7"/>
  <c r="AZ48" i="7"/>
  <c r="L46" i="5"/>
  <c r="I39" i="5"/>
  <c r="BV146" i="2"/>
  <c r="S85" i="7"/>
  <c r="S102" i="7"/>
  <c r="S103" i="7"/>
  <c r="AW260" i="2"/>
  <c r="AZ7" i="3"/>
  <c r="L9" i="7"/>
  <c r="BF27" i="3"/>
  <c r="BM193" i="3"/>
  <c r="AK232" i="3"/>
  <c r="AK233" i="3" s="1"/>
  <c r="AM233" i="3"/>
  <c r="AM177" i="3" s="1"/>
  <c r="AM179" i="3" s="1"/>
  <c r="AP7" i="4"/>
  <c r="BF43" i="4"/>
  <c r="BF14" i="4"/>
  <c r="BF11" i="4"/>
  <c r="BD33" i="4"/>
  <c r="BD50" i="4" s="1"/>
  <c r="AQ56" i="4"/>
  <c r="AB8" i="7"/>
  <c r="U50" i="7"/>
  <c r="R95" i="7"/>
  <c r="AF76" i="7"/>
  <c r="H69" i="5"/>
  <c r="S100" i="7"/>
  <c r="AR211" i="2"/>
  <c r="AW271" i="2"/>
  <c r="AC9" i="7"/>
  <c r="AY27" i="3"/>
  <c r="AY28" i="3" s="1"/>
  <c r="BG27" i="3"/>
  <c r="BG28" i="3" s="1"/>
  <c r="AS30" i="4"/>
  <c r="AS55" i="4" s="1"/>
  <c r="AT28" i="4"/>
  <c r="J69" i="5"/>
  <c r="AE62" i="7"/>
  <c r="S79" i="7"/>
  <c r="AZ193" i="3"/>
  <c r="BE195" i="3"/>
  <c r="AV7" i="4"/>
  <c r="BD7" i="4"/>
  <c r="AS27" i="4"/>
  <c r="O212" i="3"/>
  <c r="J213" i="3"/>
  <c r="J214" i="3" s="1"/>
  <c r="AY7" i="4"/>
  <c r="BG7" i="4"/>
  <c r="C3" i="5"/>
  <c r="BA7" i="4"/>
  <c r="AQ11" i="4"/>
  <c r="AP17" i="4"/>
  <c r="BM25" i="4"/>
  <c r="AR31" i="4"/>
  <c r="BS147" i="2" l="1"/>
  <c r="BR145" i="2"/>
  <c r="AB13" i="7"/>
  <c r="AT14" i="2"/>
  <c r="BW146" i="2"/>
  <c r="AH105" i="7"/>
  <c r="BW145" i="2"/>
  <c r="AY9" i="2"/>
  <c r="AH106" i="7"/>
  <c r="AZ25" i="3"/>
  <c r="AS39" i="2"/>
  <c r="O30" i="7" s="1"/>
  <c r="AY14" i="2"/>
  <c r="AU271" i="2"/>
  <c r="Q22" i="7"/>
  <c r="AW105" i="7"/>
  <c r="AV247" i="2"/>
  <c r="AV255" i="2" s="1"/>
  <c r="R157" i="7" s="1"/>
  <c r="BD211" i="2"/>
  <c r="G22" i="5"/>
  <c r="E13" i="5"/>
  <c r="E14" i="5" s="1"/>
  <c r="BE59" i="2"/>
  <c r="D75" i="5"/>
  <c r="AP33" i="2"/>
  <c r="L25" i="7" s="1"/>
  <c r="N10" i="35"/>
  <c r="H10" i="35"/>
  <c r="E10" i="35"/>
  <c r="K10" i="35"/>
  <c r="C20" i="35"/>
  <c r="U14" i="7"/>
  <c r="W15" i="7"/>
  <c r="AQ142" i="3"/>
  <c r="AI187" i="3"/>
  <c r="AJ228" i="3"/>
  <c r="BB9" i="2"/>
  <c r="AP268" i="2"/>
  <c r="AQ140" i="3"/>
  <c r="AQ141" i="3" s="1"/>
  <c r="BF53" i="2"/>
  <c r="AP61" i="3"/>
  <c r="BM74" i="3"/>
  <c r="S99" i="7"/>
  <c r="BB58" i="3"/>
  <c r="V12" i="7"/>
  <c r="AZ46" i="3"/>
  <c r="AA21" i="7"/>
  <c r="C5" i="35"/>
  <c r="C18" i="35" s="1"/>
  <c r="C19" i="35" s="1"/>
  <c r="AX51" i="4"/>
  <c r="AW141" i="3"/>
  <c r="AA33" i="7"/>
  <c r="BE46" i="3"/>
  <c r="AX148" i="3"/>
  <c r="BE73" i="2"/>
  <c r="C4" i="35"/>
  <c r="C17" i="35" s="1"/>
  <c r="V21" i="7"/>
  <c r="BE9" i="2"/>
  <c r="AA13" i="7" s="1"/>
  <c r="AX33" i="2"/>
  <c r="T25" i="7" s="1"/>
  <c r="AW198" i="2"/>
  <c r="S106" i="7" s="1"/>
  <c r="AU14" i="2"/>
  <c r="C7" i="35"/>
  <c r="BE21" i="3"/>
  <c r="L17" i="7"/>
  <c r="BQ9" i="4"/>
  <c r="BQ41" i="4" s="1"/>
  <c r="AU230" i="3"/>
  <c r="AW142" i="3"/>
  <c r="AW149" i="3" s="1"/>
  <c r="AW148" i="3" s="1"/>
  <c r="BA22" i="3"/>
  <c r="AG187" i="3"/>
  <c r="BE62" i="3"/>
  <c r="AA10" i="7" s="1"/>
  <c r="AR140" i="3"/>
  <c r="AR141" i="3" s="1"/>
  <c r="T15" i="7"/>
  <c r="AJ187" i="3"/>
  <c r="BF22" i="3"/>
  <c r="BZ152" i="3"/>
  <c r="AR142" i="3"/>
  <c r="AW58" i="3"/>
  <c r="AP39" i="2"/>
  <c r="L30" i="7" s="1"/>
  <c r="AP74" i="2"/>
  <c r="L38" i="7" s="1"/>
  <c r="AU12" i="2"/>
  <c r="Q15" i="7" s="1"/>
  <c r="BE15" i="3"/>
  <c r="AU232" i="3"/>
  <c r="AQ185" i="3"/>
  <c r="BA61" i="3"/>
  <c r="AA29" i="7"/>
  <c r="BL253" i="2"/>
  <c r="AX269" i="2"/>
  <c r="AX46" i="2"/>
  <c r="G28" i="5"/>
  <c r="S130" i="7"/>
  <c r="AA37" i="7"/>
  <c r="AA62" i="7"/>
  <c r="AZ190" i="2"/>
  <c r="BA141" i="2"/>
  <c r="D3" i="5"/>
  <c r="AC116" i="7"/>
  <c r="E4" i="5"/>
  <c r="E3" i="5" s="1"/>
  <c r="AF152" i="7"/>
  <c r="BH269" i="2"/>
  <c r="BH270" i="2"/>
  <c r="BH267" i="2"/>
  <c r="BH268" i="2"/>
  <c r="AN51" i="7"/>
  <c r="BA200" i="2"/>
  <c r="W108" i="7" s="1"/>
  <c r="S95" i="7"/>
  <c r="AV51" i="4"/>
  <c r="AD156" i="7"/>
  <c r="H214" i="3"/>
  <c r="AZ235" i="2"/>
  <c r="AZ7" i="4"/>
  <c r="BE52" i="2"/>
  <c r="BA51" i="4"/>
  <c r="AU255" i="2"/>
  <c r="Q157" i="7" s="1"/>
  <c r="X15" i="7"/>
  <c r="BE78" i="3"/>
  <c r="AW255" i="2"/>
  <c r="S157" i="7" s="1"/>
  <c r="F69" i="5"/>
  <c r="AQ187" i="3"/>
  <c r="AQ42" i="3" s="1"/>
  <c r="AS53" i="2"/>
  <c r="O34" i="7" s="1"/>
  <c r="BR196" i="2"/>
  <c r="BR198" i="2" s="1"/>
  <c r="AN106" i="7" s="1"/>
  <c r="AT228" i="3"/>
  <c r="AY200" i="2"/>
  <c r="U108" i="7" s="1"/>
  <c r="BG269" i="2"/>
  <c r="BG268" i="2"/>
  <c r="BG267" i="2"/>
  <c r="BG270" i="2"/>
  <c r="CA161" i="3"/>
  <c r="BU161" i="3"/>
  <c r="BU152" i="3"/>
  <c r="AF62" i="7"/>
  <c r="AX166" i="3"/>
  <c r="AX169" i="3" s="1"/>
  <c r="AX190" i="3"/>
  <c r="BC196" i="3"/>
  <c r="AT74" i="2"/>
  <c r="P38" i="7" s="1"/>
  <c r="AK228" i="3"/>
  <c r="AZ21" i="3"/>
  <c r="AZ23" i="3" s="1"/>
  <c r="AY141" i="3"/>
  <c r="BE269" i="2"/>
  <c r="AW140" i="3"/>
  <c r="AY60" i="2"/>
  <c r="U36" i="7" s="1"/>
  <c r="BC268" i="2"/>
  <c r="AO233" i="3"/>
  <c r="AO177" i="3" s="1"/>
  <c r="AO179" i="3" s="1"/>
  <c r="AO187" i="3" s="1"/>
  <c r="AS60" i="2"/>
  <c r="O36" i="7" s="1"/>
  <c r="AP46" i="2"/>
  <c r="L32" i="7" s="1"/>
  <c r="BC270" i="2"/>
  <c r="BD61" i="3"/>
  <c r="BA15" i="2"/>
  <c r="BF28" i="3"/>
  <c r="AP267" i="2"/>
  <c r="AX196" i="3"/>
  <c r="AM187" i="3"/>
  <c r="AZ35" i="4"/>
  <c r="AY140" i="3"/>
  <c r="AZ179" i="3"/>
  <c r="AZ8" i="3" s="1"/>
  <c r="AP270" i="2"/>
  <c r="AP53" i="2"/>
  <c r="L34" i="7" s="1"/>
  <c r="BF268" i="2"/>
  <c r="AX53" i="2"/>
  <c r="AV168" i="3"/>
  <c r="BL239" i="2"/>
  <c r="AG21" i="7"/>
  <c r="BI170" i="3"/>
  <c r="BE179" i="3"/>
  <c r="AP233" i="3"/>
  <c r="BC15" i="2"/>
  <c r="F14" i="5"/>
  <c r="AS15" i="4"/>
  <c r="AS56" i="4" s="1"/>
  <c r="AT13" i="4"/>
  <c r="AT233" i="3"/>
  <c r="AT177" i="3" s="1"/>
  <c r="AT179" i="3" s="1"/>
  <c r="BD22" i="3"/>
  <c r="BD23" i="3"/>
  <c r="BD35" i="3" s="1"/>
  <c r="AK231" i="3"/>
  <c r="BC39" i="4"/>
  <c r="D60" i="5"/>
  <c r="R30" i="7"/>
  <c r="BW161" i="3"/>
  <c r="BE287" i="2"/>
  <c r="BE33" i="4"/>
  <c r="BE35" i="4" s="1"/>
  <c r="AL76" i="2"/>
  <c r="AV260" i="2"/>
  <c r="AV261" i="2"/>
  <c r="BL11" i="3"/>
  <c r="BL9" i="3"/>
  <c r="AO228" i="3"/>
  <c r="AV170" i="3"/>
  <c r="BP170" i="3"/>
  <c r="BX161" i="3"/>
  <c r="BX170" i="3"/>
  <c r="CA152" i="3"/>
  <c r="BZ161" i="3"/>
  <c r="BW170" i="3"/>
  <c r="BS161" i="3"/>
  <c r="BQ161" i="3"/>
  <c r="BS170" i="3"/>
  <c r="BV161" i="3"/>
  <c r="AE21" i="7"/>
  <c r="BR161" i="3"/>
  <c r="BR152" i="3"/>
  <c r="BV152" i="3"/>
  <c r="BQ170" i="3"/>
  <c r="BJ145" i="2"/>
  <c r="BP152" i="3"/>
  <c r="BA267" i="2"/>
  <c r="BD33" i="2"/>
  <c r="BD35" i="2" s="1"/>
  <c r="BD270" i="2"/>
  <c r="BM145" i="2"/>
  <c r="BM149" i="2" s="1"/>
  <c r="BM196" i="2"/>
  <c r="BN147" i="2"/>
  <c r="BM146" i="2"/>
  <c r="BD74" i="2"/>
  <c r="Z38" i="7" s="1"/>
  <c r="BF33" i="2"/>
  <c r="BF35" i="2" s="1"/>
  <c r="BA269" i="2"/>
  <c r="G39" i="5"/>
  <c r="G40" i="5" s="1"/>
  <c r="Z17" i="7"/>
  <c r="BC61" i="3"/>
  <c r="BC33" i="2"/>
  <c r="BC35" i="2" s="1"/>
  <c r="BA39" i="2"/>
  <c r="W30" i="7" s="1"/>
  <c r="AG134" i="7"/>
  <c r="BA82" i="2"/>
  <c r="BA53" i="2"/>
  <c r="BA268" i="2"/>
  <c r="BD39" i="2"/>
  <c r="Z30" i="7" s="1"/>
  <c r="BD267" i="2"/>
  <c r="AT82" i="2"/>
  <c r="BA270" i="2"/>
  <c r="BD268" i="2"/>
  <c r="BC53" i="2"/>
  <c r="BA211" i="2"/>
  <c r="W116" i="7" s="1"/>
  <c r="W113" i="7"/>
  <c r="BF15" i="2"/>
  <c r="BA60" i="2"/>
  <c r="W17" i="7"/>
  <c r="BC46" i="2"/>
  <c r="BD269" i="2"/>
  <c r="BC82" i="2"/>
  <c r="BC60" i="2"/>
  <c r="AB15" i="7"/>
  <c r="AO76" i="2"/>
  <c r="K40" i="7" s="1"/>
  <c r="BD200" i="2"/>
  <c r="Z108" i="7" s="1"/>
  <c r="BF74" i="2"/>
  <c r="AB38" i="7" s="1"/>
  <c r="BA46" i="2"/>
  <c r="BC198" i="2"/>
  <c r="Y106" i="7" s="1"/>
  <c r="BF269" i="2"/>
  <c r="AY211" i="2"/>
  <c r="AY212" i="2" s="1"/>
  <c r="U117" i="7" s="1"/>
  <c r="BA74" i="2"/>
  <c r="BE254" i="2"/>
  <c r="AA156" i="7" s="1"/>
  <c r="H39" i="5"/>
  <c r="CC11" i="3"/>
  <c r="CC9" i="3"/>
  <c r="CC8" i="3"/>
  <c r="O17" i="7"/>
  <c r="BD15" i="2"/>
  <c r="Y17" i="7"/>
  <c r="BH61" i="3"/>
  <c r="AW74" i="2"/>
  <c r="S38" i="7" s="1"/>
  <c r="BC39" i="2"/>
  <c r="AY53" i="2"/>
  <c r="BC267" i="2"/>
  <c r="BC269" i="2"/>
  <c r="BC74" i="2"/>
  <c r="AS33" i="2"/>
  <c r="AS22" i="4" s="1"/>
  <c r="AX15" i="2"/>
  <c r="AX270" i="2"/>
  <c r="AX267" i="2"/>
  <c r="AS46" i="2"/>
  <c r="O32" i="7" s="1"/>
  <c r="AP15" i="2"/>
  <c r="L18" i="7" s="1"/>
  <c r="AX82" i="2"/>
  <c r="BF82" i="2"/>
  <c r="BF39" i="2"/>
  <c r="BU41" i="2" s="1"/>
  <c r="BZ41" i="2" s="1"/>
  <c r="AR60" i="2"/>
  <c r="N36" i="7" s="1"/>
  <c r="AP60" i="2"/>
  <c r="L36" i="7" s="1"/>
  <c r="AP82" i="2"/>
  <c r="AP269" i="2"/>
  <c r="W13" i="7"/>
  <c r="BH60" i="2"/>
  <c r="BH46" i="2"/>
  <c r="BM48" i="2" s="1"/>
  <c r="BR48" i="2" s="1"/>
  <c r="BW48" i="2" s="1"/>
  <c r="T17" i="7"/>
  <c r="AB17" i="7"/>
  <c r="AS74" i="2"/>
  <c r="O38" i="7" s="1"/>
  <c r="AX39" i="2"/>
  <c r="BB74" i="2"/>
  <c r="T13" i="7"/>
  <c r="BG74" i="2"/>
  <c r="BH74" i="2"/>
  <c r="BF60" i="2"/>
  <c r="BF61" i="3"/>
  <c r="BH53" i="2"/>
  <c r="BM55" i="2" s="1"/>
  <c r="AX268" i="2"/>
  <c r="X13" i="7"/>
  <c r="BH39" i="2"/>
  <c r="AS15" i="2"/>
  <c r="AS82" i="2"/>
  <c r="Y15" i="7"/>
  <c r="AX61" i="3"/>
  <c r="BF267" i="2"/>
  <c r="AX60" i="2"/>
  <c r="BF46" i="2"/>
  <c r="BF270" i="2"/>
  <c r="AX74" i="2"/>
  <c r="T38" i="7" s="1"/>
  <c r="AR39" i="2"/>
  <c r="N30" i="7" s="1"/>
  <c r="BD46" i="2"/>
  <c r="BD60" i="2"/>
  <c r="BD53" i="2"/>
  <c r="BM52" i="3"/>
  <c r="BS53" i="3"/>
  <c r="BR52" i="3"/>
  <c r="BR54" i="3"/>
  <c r="BD52" i="4"/>
  <c r="BD51" i="4"/>
  <c r="AQ174" i="3"/>
  <c r="AQ175" i="3" s="1"/>
  <c r="AQ54" i="4"/>
  <c r="AQ18" i="4"/>
  <c r="X137" i="7"/>
  <c r="BM33" i="4"/>
  <c r="BH35" i="4"/>
  <c r="AE85" i="7"/>
  <c r="BJ176" i="2"/>
  <c r="AT31" i="4"/>
  <c r="AU31" i="4" s="1"/>
  <c r="AV29" i="4"/>
  <c r="BP14" i="4"/>
  <c r="BU9" i="4"/>
  <c r="BP41" i="4"/>
  <c r="AF124" i="7"/>
  <c r="M17" i="7"/>
  <c r="AQ74" i="2"/>
  <c r="M38" i="7" s="1"/>
  <c r="AQ15" i="2"/>
  <c r="M18" i="7" s="1"/>
  <c r="AQ33" i="2"/>
  <c r="CA151" i="2"/>
  <c r="CB151" i="2" s="1"/>
  <c r="CC151" i="2" s="1"/>
  <c r="BG53" i="2"/>
  <c r="BL55" i="2" s="1"/>
  <c r="AC137" i="7"/>
  <c r="AZ261" i="2"/>
  <c r="AZ260" i="2"/>
  <c r="AS53" i="4"/>
  <c r="AS17" i="4"/>
  <c r="AS58" i="4"/>
  <c r="BA42" i="3"/>
  <c r="BA28" i="3" s="1"/>
  <c r="AA8" i="7"/>
  <c r="BE11" i="4"/>
  <c r="BE10" i="4"/>
  <c r="AU29" i="4"/>
  <c r="AU52" i="4"/>
  <c r="AU51" i="4"/>
  <c r="D11" i="5"/>
  <c r="D32" i="5"/>
  <c r="D70" i="5"/>
  <c r="D34" i="5"/>
  <c r="D66" i="5"/>
  <c r="D17" i="5"/>
  <c r="AH132" i="7"/>
  <c r="BM230" i="2"/>
  <c r="R15" i="7"/>
  <c r="AB113" i="7"/>
  <c r="O9" i="7"/>
  <c r="AX26" i="3"/>
  <c r="AS35" i="3"/>
  <c r="BF160" i="3"/>
  <c r="BK160" i="3" s="1"/>
  <c r="BA157" i="3"/>
  <c r="BA162" i="3"/>
  <c r="E28" i="5"/>
  <c r="Q37" i="7"/>
  <c r="AU73" i="2"/>
  <c r="BE14" i="4"/>
  <c r="T148" i="7"/>
  <c r="AY246" i="2"/>
  <c r="AW22" i="3"/>
  <c r="AW23" i="3"/>
  <c r="AW35" i="3" s="1"/>
  <c r="BH50" i="4"/>
  <c r="G14" i="5"/>
  <c r="AF127" i="7"/>
  <c r="BS150" i="2"/>
  <c r="BU150" i="2" s="1"/>
  <c r="BR149" i="2"/>
  <c r="AV153" i="3"/>
  <c r="AV154" i="3" s="1"/>
  <c r="AV174" i="3" s="1"/>
  <c r="AV175" i="3" s="1"/>
  <c r="AV152" i="3"/>
  <c r="BA151" i="3"/>
  <c r="CC146" i="2"/>
  <c r="CC145" i="2"/>
  <c r="CD145" i="2" s="1"/>
  <c r="CC196" i="2"/>
  <c r="AV28" i="4"/>
  <c r="AT30" i="4"/>
  <c r="AU28" i="4"/>
  <c r="BJ10" i="4"/>
  <c r="D64" i="5"/>
  <c r="BH11" i="4"/>
  <c r="BH14" i="4"/>
  <c r="BJ14" i="4" s="1"/>
  <c r="BM9" i="4"/>
  <c r="BH43" i="4"/>
  <c r="BE37" i="4"/>
  <c r="BG37" i="4" s="1"/>
  <c r="AD10" i="7"/>
  <c r="AB137" i="7"/>
  <c r="L116" i="7"/>
  <c r="AP212" i="2"/>
  <c r="L117" i="7" s="1"/>
  <c r="AR74" i="2"/>
  <c r="N38" i="7" s="1"/>
  <c r="AU81" i="2"/>
  <c r="Q57" i="7"/>
  <c r="E31" i="5"/>
  <c r="AZ50" i="3"/>
  <c r="AZ57" i="3"/>
  <c r="AZ11" i="2"/>
  <c r="AA23" i="7"/>
  <c r="BF27" i="4"/>
  <c r="BK25" i="4"/>
  <c r="BF50" i="4"/>
  <c r="BJ25" i="4"/>
  <c r="BV25" i="4"/>
  <c r="O214" i="3"/>
  <c r="AZ11" i="4"/>
  <c r="AZ10" i="4"/>
  <c r="BE36" i="4"/>
  <c r="BG36" i="4" s="1"/>
  <c r="AR56" i="4"/>
  <c r="CC53" i="3"/>
  <c r="CB51" i="3"/>
  <c r="CB54" i="3"/>
  <c r="CB52" i="3"/>
  <c r="Q137" i="7"/>
  <c r="AU256" i="2"/>
  <c r="AX76" i="2"/>
  <c r="AS185" i="3"/>
  <c r="BC259" i="2"/>
  <c r="Y142" i="7"/>
  <c r="BC243" i="2"/>
  <c r="BD240" i="2"/>
  <c r="AQ39" i="2"/>
  <c r="M30" i="7" s="1"/>
  <c r="U15" i="7"/>
  <c r="BG60" i="2"/>
  <c r="BL62" i="2" s="1"/>
  <c r="BQ62" i="2" s="1"/>
  <c r="BV62" i="2" s="1"/>
  <c r="AR46" i="2"/>
  <c r="N32" i="7" s="1"/>
  <c r="BG46" i="2"/>
  <c r="BL48" i="2" s="1"/>
  <c r="BQ48" i="2" s="1"/>
  <c r="BV48" i="2" s="1"/>
  <c r="R34" i="7"/>
  <c r="AR169" i="3"/>
  <c r="AR171" i="3" s="1"/>
  <c r="AR172" i="3" s="1"/>
  <c r="AZ26" i="3"/>
  <c r="V9" i="7"/>
  <c r="AZ27" i="3"/>
  <c r="AZ28" i="3" s="1"/>
  <c r="AV35" i="2"/>
  <c r="R25" i="7"/>
  <c r="AV34" i="2"/>
  <c r="AV76" i="2"/>
  <c r="AX105" i="7"/>
  <c r="CB198" i="2"/>
  <c r="AX106" i="7" s="1"/>
  <c r="AC13" i="7"/>
  <c r="D62" i="5"/>
  <c r="L149" i="7"/>
  <c r="AP255" i="2"/>
  <c r="L157" i="7" s="1"/>
  <c r="J25" i="7"/>
  <c r="AN76" i="2"/>
  <c r="BJ12" i="4"/>
  <c r="BE50" i="3"/>
  <c r="V8" i="7"/>
  <c r="BL152" i="3"/>
  <c r="BL161" i="3"/>
  <c r="BL170" i="3"/>
  <c r="G108" i="7"/>
  <c r="AK204" i="2"/>
  <c r="AH187" i="3"/>
  <c r="AD137" i="7"/>
  <c r="D47" i="5"/>
  <c r="AQ82" i="2"/>
  <c r="BB39" i="4"/>
  <c r="AV61" i="3"/>
  <c r="AV58" i="3"/>
  <c r="AV62" i="3"/>
  <c r="R10" i="7" s="1"/>
  <c r="BA58" i="3"/>
  <c r="AV141" i="3"/>
  <c r="AY43" i="3"/>
  <c r="AY35" i="3" s="1"/>
  <c r="BD41" i="3"/>
  <c r="BD42" i="3" s="1"/>
  <c r="BD28" i="3" s="1"/>
  <c r="AZ15" i="3"/>
  <c r="AZ16" i="3"/>
  <c r="BO283" i="2"/>
  <c r="BG283" i="2"/>
  <c r="BF283" i="2"/>
  <c r="BJ282" i="2"/>
  <c r="BI283" i="2"/>
  <c r="BH283" i="2"/>
  <c r="AF136" i="7"/>
  <c r="BL149" i="2"/>
  <c r="S23" i="7"/>
  <c r="AX162" i="3"/>
  <c r="AX163" i="3" s="1"/>
  <c r="BC160" i="3"/>
  <c r="D43" i="1"/>
  <c r="AA86" i="7"/>
  <c r="BE208" i="2"/>
  <c r="BC52" i="4"/>
  <c r="BC51" i="4"/>
  <c r="I214" i="3"/>
  <c r="N214" i="3"/>
  <c r="AE37" i="7"/>
  <c r="BI73" i="2"/>
  <c r="W25" i="7"/>
  <c r="BA76" i="2"/>
  <c r="BA34" i="2"/>
  <c r="BA35" i="2"/>
  <c r="BF169" i="3"/>
  <c r="BK169" i="3" s="1"/>
  <c r="BA171" i="3"/>
  <c r="BA166" i="3"/>
  <c r="D23" i="5"/>
  <c r="AP34" i="2"/>
  <c r="L26" i="7" s="1"/>
  <c r="BX52" i="3"/>
  <c r="BX51" i="3"/>
  <c r="BX54" i="3"/>
  <c r="BE23" i="3"/>
  <c r="S107" i="7"/>
  <c r="G17" i="7"/>
  <c r="C9" i="5"/>
  <c r="C17" i="5" s="1"/>
  <c r="AK61" i="3"/>
  <c r="AK269" i="2"/>
  <c r="AK33" i="2"/>
  <c r="AK60" i="2"/>
  <c r="G36" i="7" s="1"/>
  <c r="AK53" i="2"/>
  <c r="G34" i="7" s="1"/>
  <c r="AK46" i="2"/>
  <c r="G32" i="7" s="1"/>
  <c r="AK74" i="2"/>
  <c r="G38" i="7" s="1"/>
  <c r="AK39" i="2"/>
  <c r="G30" i="7" s="1"/>
  <c r="BA181" i="3"/>
  <c r="BA183" i="3" s="1"/>
  <c r="BA47" i="3" s="1"/>
  <c r="BB260" i="2"/>
  <c r="BB261" i="2"/>
  <c r="V13" i="7"/>
  <c r="AU38" i="2"/>
  <c r="E16" i="5"/>
  <c r="Q29" i="7"/>
  <c r="AV142" i="3"/>
  <c r="BE197" i="2"/>
  <c r="BE198" i="2" s="1"/>
  <c r="Z15" i="7"/>
  <c r="V31" i="7"/>
  <c r="F19" i="5"/>
  <c r="AZ45" i="2"/>
  <c r="R13" i="7"/>
  <c r="BN193" i="3"/>
  <c r="BO193" i="3" s="1"/>
  <c r="BM195" i="3"/>
  <c r="R130" i="7"/>
  <c r="AV235" i="2"/>
  <c r="Z116" i="7"/>
  <c r="AT149" i="3"/>
  <c r="AS148" i="3"/>
  <c r="BC23" i="3"/>
  <c r="BC35" i="3" s="1"/>
  <c r="BC22" i="3"/>
  <c r="D26" i="5"/>
  <c r="D40" i="5"/>
  <c r="E22" i="5"/>
  <c r="Q35" i="7"/>
  <c r="AU59" i="2"/>
  <c r="U13" i="7"/>
  <c r="AC17" i="7"/>
  <c r="BG61" i="3"/>
  <c r="BG15" i="2"/>
  <c r="BG33" i="2"/>
  <c r="AQ46" i="2"/>
  <c r="M32" i="7" s="1"/>
  <c r="AY51" i="4"/>
  <c r="AY52" i="4"/>
  <c r="BB151" i="2"/>
  <c r="BB141" i="2" s="1"/>
  <c r="AV140" i="3"/>
  <c r="O108" i="7"/>
  <c r="AF147" i="7"/>
  <c r="W36" i="7"/>
  <c r="BM232" i="2"/>
  <c r="AH134" i="7"/>
  <c r="G7" i="5"/>
  <c r="BH23" i="3"/>
  <c r="BH22" i="3"/>
  <c r="T95" i="7"/>
  <c r="AX200" i="2"/>
  <c r="AA50" i="7"/>
  <c r="Z13" i="7"/>
  <c r="R36" i="7"/>
  <c r="AV15" i="2"/>
  <c r="G68" i="5"/>
  <c r="H68" i="5" s="1"/>
  <c r="I68" i="5" s="1"/>
  <c r="J68" i="5" s="1"/>
  <c r="K68" i="5" s="1"/>
  <c r="L68" i="5" s="1"/>
  <c r="M68" i="5" s="1"/>
  <c r="N68" i="5" s="1"/>
  <c r="O68" i="5" s="1"/>
  <c r="P68" i="5" s="1"/>
  <c r="C40" i="5"/>
  <c r="BI284" i="2"/>
  <c r="BH284" i="2"/>
  <c r="BF284" i="2"/>
  <c r="BG284" i="2"/>
  <c r="BO284" i="2"/>
  <c r="AR187" i="3"/>
  <c r="AR42" i="3" s="1"/>
  <c r="AR185" i="3"/>
  <c r="R9" i="7"/>
  <c r="AV27" i="3"/>
  <c r="AV26" i="3"/>
  <c r="AV35" i="3"/>
  <c r="BA26" i="3"/>
  <c r="CB152" i="3"/>
  <c r="CB170" i="3"/>
  <c r="CB161" i="3"/>
  <c r="BS145" i="2"/>
  <c r="BS146" i="2"/>
  <c r="BS196" i="2"/>
  <c r="BL240" i="2"/>
  <c r="AG142" i="7"/>
  <c r="BC48" i="4"/>
  <c r="BD46" i="4"/>
  <c r="BE46" i="4" s="1"/>
  <c r="BG46" i="4" s="1"/>
  <c r="AA17" i="7"/>
  <c r="BE268" i="2"/>
  <c r="BE60" i="2"/>
  <c r="BE267" i="2"/>
  <c r="BE46" i="2"/>
  <c r="G9" i="5"/>
  <c r="G20" i="5" s="1"/>
  <c r="BE53" i="2"/>
  <c r="BE270" i="2"/>
  <c r="BE33" i="2"/>
  <c r="C6" i="35" s="1"/>
  <c r="BE39" i="2"/>
  <c r="N108" i="7"/>
  <c r="AW162" i="3"/>
  <c r="AW163" i="3" s="1"/>
  <c r="BB160" i="3"/>
  <c r="BP149" i="2"/>
  <c r="Q33" i="7"/>
  <c r="E25" i="5"/>
  <c r="AU52" i="2"/>
  <c r="AD15" i="7"/>
  <c r="F28" i="5"/>
  <c r="AZ73" i="2"/>
  <c r="V37" i="7"/>
  <c r="F25" i="5"/>
  <c r="F40" i="5" s="1"/>
  <c r="V33" i="7"/>
  <c r="AZ52" i="2"/>
  <c r="U17" i="7"/>
  <c r="AY82" i="2"/>
  <c r="AY270" i="2"/>
  <c r="AY268" i="2"/>
  <c r="AY267" i="2"/>
  <c r="AY269" i="2"/>
  <c r="AY15" i="2"/>
  <c r="AY33" i="2"/>
  <c r="AY74" i="2"/>
  <c r="AY61" i="3"/>
  <c r="AT167" i="3"/>
  <c r="AS166" i="3"/>
  <c r="BG52" i="4"/>
  <c r="BG51" i="4"/>
  <c r="AT158" i="3"/>
  <c r="AT157" i="3" s="1"/>
  <c r="AS157" i="3"/>
  <c r="V22" i="7"/>
  <c r="AZ26" i="2"/>
  <c r="BE26" i="2"/>
  <c r="AZ27" i="2"/>
  <c r="AX151" i="3"/>
  <c r="N116" i="7"/>
  <c r="AR212" i="2"/>
  <c r="N117" i="7" s="1"/>
  <c r="BM194" i="3"/>
  <c r="F61" i="5"/>
  <c r="AZ186" i="2"/>
  <c r="V95" i="7" s="1"/>
  <c r="V89" i="7"/>
  <c r="L212" i="3"/>
  <c r="AD106" i="7"/>
  <c r="BE74" i="2"/>
  <c r="BL23" i="2"/>
  <c r="BM22" i="2"/>
  <c r="BL21" i="2"/>
  <c r="BL20" i="2"/>
  <c r="S15" i="7"/>
  <c r="BA282" i="2"/>
  <c r="R149" i="7"/>
  <c r="AX211" i="2"/>
  <c r="T113" i="7"/>
  <c r="AW82" i="2"/>
  <c r="AW15" i="2"/>
  <c r="AW60" i="2"/>
  <c r="AW53" i="2"/>
  <c r="S17" i="7"/>
  <c r="AW270" i="2"/>
  <c r="AW269" i="2"/>
  <c r="AW268" i="2"/>
  <c r="AW267" i="2"/>
  <c r="AW61" i="3"/>
  <c r="AW33" i="2"/>
  <c r="AW39" i="2"/>
  <c r="AW46" i="2"/>
  <c r="BB52" i="4"/>
  <c r="BB51" i="4"/>
  <c r="BK33" i="4"/>
  <c r="BF35" i="4"/>
  <c r="BF39" i="4"/>
  <c r="BF38" i="4"/>
  <c r="R86" i="7"/>
  <c r="AV200" i="2"/>
  <c r="AV208" i="2"/>
  <c r="BQ149" i="2"/>
  <c r="F31" i="5"/>
  <c r="V57" i="7"/>
  <c r="AZ81" i="2"/>
  <c r="X17" i="7"/>
  <c r="BB270" i="2"/>
  <c r="BB268" i="2"/>
  <c r="BB267" i="2"/>
  <c r="BB82" i="2"/>
  <c r="BB33" i="2"/>
  <c r="BB269" i="2"/>
  <c r="BB61" i="3"/>
  <c r="BB60" i="2"/>
  <c r="BB53" i="2"/>
  <c r="BB46" i="2"/>
  <c r="BB39" i="2"/>
  <c r="BB15" i="2"/>
  <c r="BB200" i="2"/>
  <c r="AY39" i="2"/>
  <c r="AD17" i="7"/>
  <c r="BH15" i="2"/>
  <c r="BH33" i="2"/>
  <c r="BE82" i="2"/>
  <c r="AY46" i="2"/>
  <c r="S86" i="7"/>
  <c r="AW208" i="2"/>
  <c r="BJ72" i="2"/>
  <c r="AP228" i="3"/>
  <c r="R23" i="7"/>
  <c r="BD35" i="4"/>
  <c r="BI33" i="4"/>
  <c r="BJ33" i="4" s="1"/>
  <c r="BD38" i="4"/>
  <c r="BE38" i="4" s="1"/>
  <c r="BD39" i="4"/>
  <c r="L137" i="7"/>
  <c r="AP256" i="2"/>
  <c r="BJ78" i="3"/>
  <c r="BO77" i="3"/>
  <c r="BT77" i="3" s="1"/>
  <c r="AF144" i="7"/>
  <c r="BE50" i="4"/>
  <c r="BE7" i="4"/>
  <c r="AD116" i="7"/>
  <c r="AD117" i="7"/>
  <c r="AQ17" i="4"/>
  <c r="AQ53" i="4"/>
  <c r="AQ58" i="4"/>
  <c r="BL42" i="4"/>
  <c r="AR53" i="4"/>
  <c r="AR52" i="4"/>
  <c r="M9" i="7"/>
  <c r="AQ35" i="3"/>
  <c r="C103" i="5"/>
  <c r="D102" i="5" s="1"/>
  <c r="AS105" i="7"/>
  <c r="BW198" i="2"/>
  <c r="AS106" i="7" s="1"/>
  <c r="AQ60" i="2"/>
  <c r="M36" i="7" s="1"/>
  <c r="N17" i="7"/>
  <c r="AR82" i="2"/>
  <c r="AR15" i="2"/>
  <c r="N18" i="7" s="1"/>
  <c r="AR33" i="2"/>
  <c r="BR25" i="4"/>
  <c r="BC47" i="4"/>
  <c r="BD45" i="4"/>
  <c r="AC108" i="7"/>
  <c r="AW51" i="4"/>
  <c r="AW52" i="4"/>
  <c r="S13" i="7"/>
  <c r="BE27" i="4"/>
  <c r="BE26" i="4"/>
  <c r="F63" i="5"/>
  <c r="AU23" i="3"/>
  <c r="AU22" i="3"/>
  <c r="AE105" i="7"/>
  <c r="AE106" i="7"/>
  <c r="BJ196" i="2"/>
  <c r="BG39" i="2"/>
  <c r="BL41" i="2" s="1"/>
  <c r="X145" i="7"/>
  <c r="Y137" i="7"/>
  <c r="AQ60" i="4"/>
  <c r="AT185" i="3"/>
  <c r="AT187" i="3"/>
  <c r="AT42" i="3" s="1"/>
  <c r="AA98" i="7"/>
  <c r="AX247" i="2"/>
  <c r="V145" i="7"/>
  <c r="AS143" i="3"/>
  <c r="AS142" i="3"/>
  <c r="AS140" i="3"/>
  <c r="AS141" i="3" s="1"/>
  <c r="R38" i="7"/>
  <c r="AH152" i="7"/>
  <c r="BM250" i="2"/>
  <c r="AA9" i="7"/>
  <c r="BE26" i="3"/>
  <c r="BE27" i="3"/>
  <c r="BN14" i="4"/>
  <c r="BN41" i="4"/>
  <c r="BS9" i="4"/>
  <c r="X113" i="7"/>
  <c r="BB211" i="2"/>
  <c r="BE43" i="4"/>
  <c r="BQ14" i="4"/>
  <c r="AR151" i="3"/>
  <c r="BE61" i="3"/>
  <c r="BL33" i="3"/>
  <c r="BL31" i="3"/>
  <c r="BL30" i="3"/>
  <c r="BB22" i="3"/>
  <c r="AZ50" i="4"/>
  <c r="Y116" i="7"/>
  <c r="BX102" i="2"/>
  <c r="AT51" i="7" s="1"/>
  <c r="AS51" i="7"/>
  <c r="C59" i="5"/>
  <c r="D20" i="5"/>
  <c r="P17" i="7"/>
  <c r="AT33" i="2"/>
  <c r="AT60" i="2"/>
  <c r="P36" i="7" s="1"/>
  <c r="AT53" i="2"/>
  <c r="P34" i="7" s="1"/>
  <c r="AT46" i="2"/>
  <c r="P32" i="7" s="1"/>
  <c r="AT39" i="2"/>
  <c r="P30" i="7" s="1"/>
  <c r="AT15" i="2"/>
  <c r="BN25" i="4"/>
  <c r="BX145" i="2"/>
  <c r="BY145" i="2" s="1"/>
  <c r="BX196" i="2"/>
  <c r="BY196" i="2" s="1"/>
  <c r="BX146" i="2"/>
  <c r="AQ53" i="2"/>
  <c r="M34" i="7" s="1"/>
  <c r="V71" i="7"/>
  <c r="AZ177" i="2"/>
  <c r="V35" i="7"/>
  <c r="F22" i="5"/>
  <c r="AZ59" i="2"/>
  <c r="AC15" i="7"/>
  <c r="BY151" i="2"/>
  <c r="BA261" i="2"/>
  <c r="BQ33" i="4"/>
  <c r="AR160" i="3"/>
  <c r="Q31" i="7"/>
  <c r="AU45" i="2"/>
  <c r="E19" i="5"/>
  <c r="D29" i="5"/>
  <c r="AD13" i="7"/>
  <c r="AU82" i="2" l="1"/>
  <c r="AU33" i="2"/>
  <c r="Q25" i="7" s="1"/>
  <c r="AU267" i="2"/>
  <c r="AD30" i="7"/>
  <c r="BM41" i="2"/>
  <c r="BR41" i="2" s="1"/>
  <c r="BW41" i="2" s="1"/>
  <c r="CB41" i="2" s="1"/>
  <c r="BR62" i="2"/>
  <c r="BW62" i="2" s="1"/>
  <c r="BM62" i="2"/>
  <c r="AU61" i="3"/>
  <c r="AF85" i="7"/>
  <c r="BK162" i="3"/>
  <c r="BK157" i="3"/>
  <c r="BK166" i="3"/>
  <c r="BK171" i="3"/>
  <c r="AH141" i="7"/>
  <c r="BM226" i="2"/>
  <c r="AW200" i="2"/>
  <c r="AP76" i="2"/>
  <c r="L40" i="7" s="1"/>
  <c r="BM239" i="2"/>
  <c r="AN105" i="7"/>
  <c r="AP22" i="4"/>
  <c r="AB34" i="7"/>
  <c r="AU15" i="2"/>
  <c r="I10" i="35"/>
  <c r="I14" i="35"/>
  <c r="I17" i="35" s="1"/>
  <c r="AU53" i="2"/>
  <c r="Q34" i="7" s="1"/>
  <c r="E9" i="5"/>
  <c r="E47" i="5" s="1"/>
  <c r="N17" i="35"/>
  <c r="O10" i="35"/>
  <c r="AU39" i="2"/>
  <c r="Q30" i="7" s="1"/>
  <c r="AU60" i="2"/>
  <c r="Q36" i="7" s="1"/>
  <c r="BF181" i="3"/>
  <c r="BF183" i="3" s="1"/>
  <c r="BF185" i="3" s="1"/>
  <c r="BG185" i="3" s="1"/>
  <c r="BH185" i="3" s="1"/>
  <c r="BI185" i="3" s="1"/>
  <c r="L14" i="35"/>
  <c r="L17" i="35" s="1"/>
  <c r="L10" i="35"/>
  <c r="K17" i="35"/>
  <c r="E12" i="35"/>
  <c r="F14" i="35"/>
  <c r="F17" i="35" s="1"/>
  <c r="F10" i="35"/>
  <c r="K12" i="35" s="1"/>
  <c r="AU268" i="2"/>
  <c r="AU46" i="2"/>
  <c r="Q32" i="7" s="1"/>
  <c r="AU74" i="2"/>
  <c r="Q38" i="7" s="1"/>
  <c r="AU270" i="2"/>
  <c r="AU269" i="2"/>
  <c r="Q17" i="7"/>
  <c r="Z25" i="7"/>
  <c r="AW167" i="3"/>
  <c r="BP68" i="3"/>
  <c r="BN74" i="3"/>
  <c r="BV9" i="4"/>
  <c r="BV14" i="4" s="1"/>
  <c r="AX35" i="2"/>
  <c r="T27" i="7" s="1"/>
  <c r="C23" i="35"/>
  <c r="C22" i="35"/>
  <c r="C21" i="35"/>
  <c r="AX34" i="2"/>
  <c r="AG155" i="7"/>
  <c r="T30" i="7"/>
  <c r="T32" i="7"/>
  <c r="BD181" i="3"/>
  <c r="BD183" i="3" s="1"/>
  <c r="BD59" i="3" s="1"/>
  <c r="W18" i="7"/>
  <c r="AU228" i="3"/>
  <c r="AU233" i="3"/>
  <c r="AU231" i="3"/>
  <c r="G59" i="5"/>
  <c r="G60" i="5" s="1"/>
  <c r="V137" i="7"/>
  <c r="F4" i="5"/>
  <c r="F76" i="5" s="1"/>
  <c r="E32" i="5"/>
  <c r="AW256" i="2"/>
  <c r="W32" i="7"/>
  <c r="Y25" i="7"/>
  <c r="Q18" i="7"/>
  <c r="V99" i="7"/>
  <c r="AZ198" i="2"/>
  <c r="V106" i="7" s="1"/>
  <c r="BF76" i="2"/>
  <c r="AB25" i="7"/>
  <c r="AB32" i="7"/>
  <c r="AO84" i="2"/>
  <c r="BC200" i="2"/>
  <c r="Y108" i="7" s="1"/>
  <c r="BD76" i="2"/>
  <c r="AX168" i="3"/>
  <c r="BE22" i="3"/>
  <c r="AX181" i="3"/>
  <c r="AX183" i="3" s="1"/>
  <c r="AX59" i="3" s="1"/>
  <c r="AZ22" i="3"/>
  <c r="BD34" i="2"/>
  <c r="BM8" i="3"/>
  <c r="BM11" i="3"/>
  <c r="BM9" i="3"/>
  <c r="Y18" i="7"/>
  <c r="T34" i="7"/>
  <c r="AB18" i="7"/>
  <c r="T36" i="7"/>
  <c r="Y32" i="7"/>
  <c r="W34" i="7"/>
  <c r="BE35" i="3"/>
  <c r="AU35" i="3"/>
  <c r="AG128" i="7"/>
  <c r="AS54" i="4"/>
  <c r="AS60" i="4"/>
  <c r="AS18" i="4"/>
  <c r="AB30" i="7"/>
  <c r="U116" i="7"/>
  <c r="BC181" i="3"/>
  <c r="BC183" i="3" s="1"/>
  <c r="BC59" i="3" s="1"/>
  <c r="BE39" i="4"/>
  <c r="AU34" i="2"/>
  <c r="BC34" i="2"/>
  <c r="AD36" i="7"/>
  <c r="H40" i="7"/>
  <c r="AL84" i="2"/>
  <c r="BC76" i="2"/>
  <c r="BI282" i="2"/>
  <c r="BE41" i="3"/>
  <c r="BE42" i="3" s="1"/>
  <c r="BE28" i="3" s="1"/>
  <c r="CD151" i="2"/>
  <c r="AU13" i="4"/>
  <c r="AV13" i="4"/>
  <c r="AT15" i="4"/>
  <c r="AT56" i="4" s="1"/>
  <c r="AT60" i="4" s="1"/>
  <c r="AA106" i="7"/>
  <c r="BE200" i="2"/>
  <c r="AA108" i="7" s="1"/>
  <c r="AU35" i="2"/>
  <c r="Q27" i="7" s="1"/>
  <c r="AU76" i="2"/>
  <c r="W38" i="7"/>
  <c r="Y30" i="7"/>
  <c r="T18" i="7"/>
  <c r="BM198" i="2"/>
  <c r="AI106" i="7" s="1"/>
  <c r="AI105" i="7"/>
  <c r="X38" i="7"/>
  <c r="C44" i="1"/>
  <c r="BG282" i="2"/>
  <c r="Y34" i="7"/>
  <c r="BD212" i="2"/>
  <c r="Z117" i="7" s="1"/>
  <c r="BF34" i="2"/>
  <c r="AD38" i="7"/>
  <c r="U34" i="7"/>
  <c r="BN196" i="2"/>
  <c r="BO196" i="2" s="1"/>
  <c r="BN146" i="2"/>
  <c r="BN145" i="2"/>
  <c r="Y36" i="7"/>
  <c r="CC161" i="3"/>
  <c r="CC170" i="3"/>
  <c r="CC152" i="3"/>
  <c r="Y38" i="7"/>
  <c r="AS76" i="2"/>
  <c r="AS34" i="2"/>
  <c r="O26" i="7" s="1"/>
  <c r="Z18" i="7"/>
  <c r="AC38" i="7"/>
  <c r="AD34" i="7"/>
  <c r="O25" i="7"/>
  <c r="E40" i="5"/>
  <c r="G26" i="5"/>
  <c r="Z34" i="7"/>
  <c r="AD32" i="7"/>
  <c r="Z36" i="7"/>
  <c r="AB36" i="7"/>
  <c r="Z32" i="7"/>
  <c r="G29" i="5"/>
  <c r="O18" i="7"/>
  <c r="BL67" i="2"/>
  <c r="G23" i="5"/>
  <c r="BS52" i="3"/>
  <c r="BS51" i="3"/>
  <c r="BS54" i="3"/>
  <c r="T149" i="7"/>
  <c r="AX255" i="2"/>
  <c r="N25" i="7"/>
  <c r="AR22" i="4"/>
  <c r="AR76" i="2"/>
  <c r="AR34" i="2"/>
  <c r="N26" i="7" s="1"/>
  <c r="BM41" i="4"/>
  <c r="BR9" i="4"/>
  <c r="BM14" i="4"/>
  <c r="BO14" i="4" s="1"/>
  <c r="BO12" i="4"/>
  <c r="BO9" i="4"/>
  <c r="BM31" i="3"/>
  <c r="BM33" i="3"/>
  <c r="BM30" i="3"/>
  <c r="T116" i="7"/>
  <c r="AX212" i="2"/>
  <c r="T117" i="7" s="1"/>
  <c r="BC212" i="2"/>
  <c r="Y117" i="7" s="1"/>
  <c r="F59" i="5"/>
  <c r="AS151" i="3"/>
  <c r="AS153" i="3" s="1"/>
  <c r="AS154" i="3" s="1"/>
  <c r="AX150" i="3"/>
  <c r="G111" i="7"/>
  <c r="AP202" i="2"/>
  <c r="S36" i="7"/>
  <c r="AW181" i="3"/>
  <c r="AW183" i="3" s="1"/>
  <c r="S18" i="7"/>
  <c r="BF45" i="4"/>
  <c r="BD47" i="4"/>
  <c r="BE47" i="4" s="1"/>
  <c r="BE45" i="4"/>
  <c r="H28" i="5"/>
  <c r="BJ73" i="2"/>
  <c r="AF37" i="7"/>
  <c r="AA38" i="7"/>
  <c r="Q40" i="7"/>
  <c r="AU78" i="2"/>
  <c r="AU84" i="2"/>
  <c r="AU98" i="2"/>
  <c r="D35" i="5"/>
  <c r="D49" i="5"/>
  <c r="D36" i="5"/>
  <c r="D42" i="5"/>
  <c r="D43" i="5" s="1"/>
  <c r="BP42" i="4"/>
  <c r="AT166" i="3"/>
  <c r="AU167" i="3"/>
  <c r="AU166" i="3" s="1"/>
  <c r="BL17" i="3"/>
  <c r="BL16" i="3"/>
  <c r="BL19" i="3"/>
  <c r="X32" i="7"/>
  <c r="AA25" i="7"/>
  <c r="BE35" i="2"/>
  <c r="BE76" i="2"/>
  <c r="BE34" i="2"/>
  <c r="AC25" i="7"/>
  <c r="BG34" i="2"/>
  <c r="BG35" i="2"/>
  <c r="BG76" i="2"/>
  <c r="BH46" i="4"/>
  <c r="BG48" i="4"/>
  <c r="T40" i="7"/>
  <c r="AX84" i="2"/>
  <c r="AX98" i="2"/>
  <c r="AX78" i="2"/>
  <c r="BV33" i="4"/>
  <c r="AW151" i="3"/>
  <c r="AW150" i="3"/>
  <c r="AW166" i="3"/>
  <c r="BB196" i="3"/>
  <c r="AW190" i="3"/>
  <c r="X34" i="7"/>
  <c r="BR55" i="2"/>
  <c r="BW55" i="2" s="1"/>
  <c r="BM53" i="2"/>
  <c r="BM54" i="2"/>
  <c r="BM56" i="2"/>
  <c r="W26" i="7"/>
  <c r="AZ208" i="2"/>
  <c r="V86" i="7"/>
  <c r="AX159" i="3"/>
  <c r="AS160" i="3"/>
  <c r="BN194" i="3"/>
  <c r="BO194" i="3" s="1"/>
  <c r="AB116" i="7"/>
  <c r="AB117" i="7"/>
  <c r="BS25" i="4"/>
  <c r="U32" i="7"/>
  <c r="AY196" i="3"/>
  <c r="AT148" i="3"/>
  <c r="CC54" i="3"/>
  <c r="CC51" i="3"/>
  <c r="CC52" i="3"/>
  <c r="AF105" i="7"/>
  <c r="BJ198" i="2"/>
  <c r="BJ34" i="4"/>
  <c r="S32" i="7"/>
  <c r="U18" i="7"/>
  <c r="AY181" i="3"/>
  <c r="AY183" i="3" s="1"/>
  <c r="C34" i="5"/>
  <c r="C11" i="5"/>
  <c r="C64" i="5"/>
  <c r="C66" i="5"/>
  <c r="C70" i="5"/>
  <c r="C47" i="5"/>
  <c r="C23" i="5"/>
  <c r="C62" i="5"/>
  <c r="C32" i="5"/>
  <c r="R26" i="7"/>
  <c r="AW28" i="4"/>
  <c r="AV30" i="4"/>
  <c r="BH51" i="4"/>
  <c r="BH52" i="4"/>
  <c r="U148" i="7"/>
  <c r="AZ246" i="2"/>
  <c r="AY247" i="2"/>
  <c r="BM253" i="2"/>
  <c r="AH155" i="7"/>
  <c r="AI132" i="7"/>
  <c r="BN230" i="2"/>
  <c r="AG124" i="7"/>
  <c r="BL221" i="2"/>
  <c r="BR33" i="4"/>
  <c r="C29" i="5"/>
  <c r="BX9" i="4"/>
  <c r="BS14" i="4"/>
  <c r="BS41" i="4"/>
  <c r="AG144" i="7"/>
  <c r="BB181" i="3"/>
  <c r="BB183" i="3" s="1"/>
  <c r="X18" i="7"/>
  <c r="R108" i="7"/>
  <c r="BP33" i="4"/>
  <c r="S30" i="7"/>
  <c r="BG160" i="3"/>
  <c r="BB157" i="3"/>
  <c r="BB162" i="3"/>
  <c r="AA30" i="7"/>
  <c r="C82" i="5"/>
  <c r="G11" i="5"/>
  <c r="G34" i="5"/>
  <c r="G62" i="5"/>
  <c r="G70" i="5"/>
  <c r="BS149" i="2"/>
  <c r="BT145" i="2"/>
  <c r="AG147" i="7"/>
  <c r="BL245" i="2"/>
  <c r="G32" i="5"/>
  <c r="R137" i="7"/>
  <c r="AV256" i="2"/>
  <c r="BA168" i="3"/>
  <c r="BA172" i="3"/>
  <c r="AG37" i="7"/>
  <c r="BL72" i="2"/>
  <c r="AX187" i="3"/>
  <c r="AX188" i="3" s="1"/>
  <c r="Y27" i="7"/>
  <c r="Z142" i="7"/>
  <c r="BE240" i="2"/>
  <c r="BF240" i="2" s="1"/>
  <c r="BF243" i="2" s="1"/>
  <c r="BF247" i="2" s="1"/>
  <c r="BF255" i="2" s="1"/>
  <c r="BF256" i="2" s="1"/>
  <c r="BD259" i="2"/>
  <c r="BD243" i="2"/>
  <c r="BH37" i="4"/>
  <c r="BG39" i="4"/>
  <c r="BV150" i="2"/>
  <c r="BU149" i="2"/>
  <c r="AB27" i="7"/>
  <c r="AW29" i="4"/>
  <c r="AV31" i="4"/>
  <c r="BD48" i="4"/>
  <c r="BE48" i="4" s="1"/>
  <c r="BF46" i="4"/>
  <c r="AC18" i="7"/>
  <c r="BM60" i="2"/>
  <c r="BM63" i="2"/>
  <c r="BM61" i="2"/>
  <c r="P18" i="7"/>
  <c r="BC169" i="3"/>
  <c r="AX171" i="3"/>
  <c r="AX172" i="3" s="1"/>
  <c r="S108" i="7"/>
  <c r="X25" i="7"/>
  <c r="BB76" i="2"/>
  <c r="BB34" i="2"/>
  <c r="BB35" i="2"/>
  <c r="R113" i="7"/>
  <c r="AV211" i="2"/>
  <c r="AH21" i="7"/>
  <c r="BH35" i="3"/>
  <c r="BC157" i="3"/>
  <c r="BC162" i="3"/>
  <c r="BH160" i="3"/>
  <c r="AR162" i="3"/>
  <c r="AR163" i="3" s="1"/>
  <c r="C60" i="5"/>
  <c r="BN42" i="4"/>
  <c r="Z27" i="7"/>
  <c r="BN33" i="4"/>
  <c r="BO33" i="4" s="1"/>
  <c r="X108" i="7"/>
  <c r="X30" i="7"/>
  <c r="S25" i="7"/>
  <c r="AW35" i="2"/>
  <c r="AW76" i="2"/>
  <c r="AW34" i="2"/>
  <c r="S34" i="7"/>
  <c r="BM21" i="2"/>
  <c r="BM23" i="2"/>
  <c r="BN22" i="2"/>
  <c r="BM20" i="2"/>
  <c r="AS169" i="3"/>
  <c r="AS171" i="3" s="1"/>
  <c r="AS172" i="3" s="1"/>
  <c r="AW161" i="3"/>
  <c r="AA32" i="7"/>
  <c r="G66" i="5"/>
  <c r="G17" i="5"/>
  <c r="AU149" i="3"/>
  <c r="AU148" i="3" s="1"/>
  <c r="AU150" i="3" s="1"/>
  <c r="W27" i="7"/>
  <c r="BJ163" i="2"/>
  <c r="AE74" i="7"/>
  <c r="BF282" i="2"/>
  <c r="BA59" i="3"/>
  <c r="R27" i="7"/>
  <c r="AC36" i="7"/>
  <c r="Y145" i="7"/>
  <c r="AI141" i="7"/>
  <c r="BN239" i="2"/>
  <c r="BF187" i="3"/>
  <c r="BF55" i="3"/>
  <c r="BF51" i="3" s="1"/>
  <c r="BF59" i="3"/>
  <c r="AH128" i="7"/>
  <c r="BL225" i="2"/>
  <c r="AG127" i="7"/>
  <c r="G47" i="5"/>
  <c r="BM47" i="2"/>
  <c r="BM49" i="2"/>
  <c r="BM46" i="2"/>
  <c r="AP98" i="2"/>
  <c r="W40" i="7"/>
  <c r="BA84" i="2"/>
  <c r="BA98" i="2"/>
  <c r="BA77" i="2"/>
  <c r="BA78" i="2"/>
  <c r="BN283" i="2"/>
  <c r="BT283" i="2"/>
  <c r="BL283" i="2"/>
  <c r="BO282" i="2"/>
  <c r="BK283" i="2"/>
  <c r="BM283" i="2"/>
  <c r="AC34" i="7"/>
  <c r="BN250" i="2"/>
  <c r="AI152" i="7"/>
  <c r="F101" i="5"/>
  <c r="D101" i="5"/>
  <c r="D103" i="5" s="1"/>
  <c r="AH142" i="7"/>
  <c r="BM240" i="2"/>
  <c r="BL259" i="2"/>
  <c r="T108" i="7"/>
  <c r="V14" i="7"/>
  <c r="AZ14" i="2"/>
  <c r="AZ12" i="2"/>
  <c r="BE12" i="2"/>
  <c r="AY105" i="7"/>
  <c r="CC198" i="2"/>
  <c r="AY106" i="7" s="1"/>
  <c r="CD196" i="2"/>
  <c r="AU105" i="7"/>
  <c r="BY198" i="2"/>
  <c r="AU106" i="7" s="1"/>
  <c r="X116" i="7"/>
  <c r="BW25" i="4"/>
  <c r="F102" i="5"/>
  <c r="BE51" i="4"/>
  <c r="BE52" i="4"/>
  <c r="AU158" i="3"/>
  <c r="AU157" i="3" s="1"/>
  <c r="AU159" i="3" s="1"/>
  <c r="S113" i="7"/>
  <c r="AW211" i="2"/>
  <c r="BB212" i="2" s="1"/>
  <c r="X117" i="7" s="1"/>
  <c r="AD25" i="7"/>
  <c r="BH34" i="2"/>
  <c r="BH76" i="2"/>
  <c r="BH35" i="2"/>
  <c r="U30" i="7"/>
  <c r="AD108" i="7"/>
  <c r="BC151" i="3"/>
  <c r="AX153" i="3"/>
  <c r="AX154" i="3" s="1"/>
  <c r="U38" i="7"/>
  <c r="AE23" i="7"/>
  <c r="AA34" i="7"/>
  <c r="R18" i="7"/>
  <c r="AV181" i="3"/>
  <c r="AV183" i="3" s="1"/>
  <c r="AV59" i="3" s="1"/>
  <c r="AI134" i="7"/>
  <c r="BN232" i="2"/>
  <c r="BA55" i="3"/>
  <c r="BA51" i="3" s="1"/>
  <c r="BA185" i="3"/>
  <c r="BA187" i="3"/>
  <c r="BA188" i="3" s="1"/>
  <c r="AA113" i="7"/>
  <c r="BE211" i="2"/>
  <c r="J40" i="7"/>
  <c r="AN84" i="2"/>
  <c r="BH36" i="4"/>
  <c r="BG38" i="4"/>
  <c r="CA25" i="4"/>
  <c r="BF51" i="4"/>
  <c r="BF52" i="4"/>
  <c r="AC117" i="7"/>
  <c r="BF162" i="3"/>
  <c r="BF157" i="3"/>
  <c r="BU41" i="4"/>
  <c r="BZ9" i="4"/>
  <c r="BU14" i="4"/>
  <c r="BF171" i="3"/>
  <c r="BF166" i="3"/>
  <c r="BC260" i="2"/>
  <c r="BC261" i="2"/>
  <c r="BF151" i="3"/>
  <c r="BK151" i="3" s="1"/>
  <c r="BA148" i="3"/>
  <c r="BA153" i="3"/>
  <c r="AZ51" i="4"/>
  <c r="AZ52" i="4"/>
  <c r="AR153" i="3"/>
  <c r="AR154" i="3" s="1"/>
  <c r="X36" i="7"/>
  <c r="AT160" i="3"/>
  <c r="BN284" i="2"/>
  <c r="BK284" i="2"/>
  <c r="BM284" i="2"/>
  <c r="BL284" i="2"/>
  <c r="BT284" i="2"/>
  <c r="BB142" i="2"/>
  <c r="BC151" i="2"/>
  <c r="BD151" i="2" s="1"/>
  <c r="BP193" i="3"/>
  <c r="AK22" i="4"/>
  <c r="G25" i="7"/>
  <c r="AK76" i="2"/>
  <c r="AK34" i="2"/>
  <c r="G26" i="7" s="1"/>
  <c r="BL234" i="2"/>
  <c r="AG136" i="7"/>
  <c r="AC32" i="7"/>
  <c r="AR54" i="4"/>
  <c r="AR18" i="4"/>
  <c r="AR60" i="4"/>
  <c r="BJ26" i="4"/>
  <c r="BA159" i="3"/>
  <c r="BA163" i="3"/>
  <c r="P25" i="7"/>
  <c r="AT34" i="2"/>
  <c r="P26" i="7" s="1"/>
  <c r="AT76" i="2"/>
  <c r="BQ42" i="4"/>
  <c r="BX198" i="2"/>
  <c r="AT106" i="7" s="1"/>
  <c r="AT105" i="7"/>
  <c r="AC30" i="7"/>
  <c r="BQ41" i="2"/>
  <c r="BV41" i="2" s="1"/>
  <c r="CA41" i="2" s="1"/>
  <c r="AD18" i="7"/>
  <c r="C20" i="5"/>
  <c r="V23" i="7"/>
  <c r="U25" i="7"/>
  <c r="AY76" i="2"/>
  <c r="AY34" i="2"/>
  <c r="AY35" i="2"/>
  <c r="AA36" i="7"/>
  <c r="BS198" i="2"/>
  <c r="AO106" i="7" s="1"/>
  <c r="AO105" i="7"/>
  <c r="BT196" i="2"/>
  <c r="AZ35" i="3"/>
  <c r="C26" i="5"/>
  <c r="BN195" i="3"/>
  <c r="BH282" i="2"/>
  <c r="F3" i="5"/>
  <c r="AV98" i="2"/>
  <c r="AV84" i="2"/>
  <c r="R40" i="7"/>
  <c r="AV78" i="2"/>
  <c r="BP25" i="4"/>
  <c r="BO25" i="4"/>
  <c r="G64" i="5"/>
  <c r="AZ62" i="3"/>
  <c r="V10" i="7" s="1"/>
  <c r="AZ58" i="3"/>
  <c r="BE58" i="3"/>
  <c r="AT55" i="4"/>
  <c r="AU30" i="4"/>
  <c r="AU55" i="4" s="1"/>
  <c r="E59" i="5"/>
  <c r="D10" i="5"/>
  <c r="M25" i="7"/>
  <c r="AQ22" i="4"/>
  <c r="AQ76" i="2"/>
  <c r="AQ34" i="2"/>
  <c r="M26" i="7" s="1"/>
  <c r="E62" i="5" l="1"/>
  <c r="E10" i="5"/>
  <c r="AF74" i="7"/>
  <c r="AF106" i="7"/>
  <c r="BC187" i="3"/>
  <c r="BC188" i="3" s="1"/>
  <c r="BK172" i="3"/>
  <c r="BK167" i="3"/>
  <c r="BK168" i="3"/>
  <c r="BK158" i="3"/>
  <c r="BK163" i="3"/>
  <c r="BK159" i="3"/>
  <c r="BK148" i="3"/>
  <c r="BK153" i="3"/>
  <c r="AB26" i="7"/>
  <c r="F75" i="5"/>
  <c r="AP84" i="2"/>
  <c r="AP77" i="2"/>
  <c r="L41" i="7" s="1"/>
  <c r="AP78" i="2"/>
  <c r="L42" i="7" s="1"/>
  <c r="AX185" i="3"/>
  <c r="AU77" i="2"/>
  <c r="Q41" i="7" s="1"/>
  <c r="AX55" i="3"/>
  <c r="AX51" i="3" s="1"/>
  <c r="BM39" i="2"/>
  <c r="AI30" i="7" s="1"/>
  <c r="BF47" i="3"/>
  <c r="E17" i="5"/>
  <c r="E23" i="5"/>
  <c r="T26" i="7"/>
  <c r="BD84" i="2"/>
  <c r="BD88" i="2" s="1"/>
  <c r="N21" i="35"/>
  <c r="I21" i="35"/>
  <c r="H21" i="35"/>
  <c r="E21" i="35"/>
  <c r="F21" i="35"/>
  <c r="AB40" i="7"/>
  <c r="E64" i="5"/>
  <c r="N22" i="35"/>
  <c r="I22" i="35"/>
  <c r="E22" i="35"/>
  <c r="F22" i="35"/>
  <c r="H22" i="35"/>
  <c r="E29" i="5"/>
  <c r="BV41" i="4"/>
  <c r="E34" i="5"/>
  <c r="E35" i="5" s="1"/>
  <c r="E37" i="5" s="1"/>
  <c r="E70" i="5"/>
  <c r="CA9" i="4"/>
  <c r="CA14" i="4" s="1"/>
  <c r="E20" i="5"/>
  <c r="E26" i="5"/>
  <c r="BQ68" i="3"/>
  <c r="BP74" i="3"/>
  <c r="E60" i="5"/>
  <c r="E11" i="5"/>
  <c r="E66" i="5"/>
  <c r="C8" i="35"/>
  <c r="C29" i="35" s="1"/>
  <c r="C24" i="35"/>
  <c r="AZ200" i="2"/>
  <c r="BD185" i="3"/>
  <c r="BD55" i="3"/>
  <c r="BC55" i="3"/>
  <c r="BD187" i="3"/>
  <c r="BD188" i="3" s="1"/>
  <c r="BC185" i="3"/>
  <c r="G4" i="5"/>
  <c r="BD78" i="2"/>
  <c r="BE183" i="3"/>
  <c r="BE47" i="3" s="1"/>
  <c r="AS77" i="2"/>
  <c r="O41" i="7" s="1"/>
  <c r="AT18" i="4"/>
  <c r="BF77" i="2"/>
  <c r="AB41" i="7" s="1"/>
  <c r="O40" i="7"/>
  <c r="BF78" i="2"/>
  <c r="BD98" i="2"/>
  <c r="BD99" i="2" s="1"/>
  <c r="BF98" i="2"/>
  <c r="BF102" i="2" s="1"/>
  <c r="Z40" i="7"/>
  <c r="Z26" i="7"/>
  <c r="BF84" i="2"/>
  <c r="BF86" i="2" s="1"/>
  <c r="AT54" i="4"/>
  <c r="AT22" i="4"/>
  <c r="BM161" i="3"/>
  <c r="BM160" i="3" s="1"/>
  <c r="BM152" i="3"/>
  <c r="BM170" i="3"/>
  <c r="BN9" i="3"/>
  <c r="BN8" i="3"/>
  <c r="BN11" i="3"/>
  <c r="BC78" i="2"/>
  <c r="AX152" i="3"/>
  <c r="Q26" i="7"/>
  <c r="AS98" i="2"/>
  <c r="AS102" i="2" s="1"/>
  <c r="O51" i="7" s="1"/>
  <c r="AU160" i="3"/>
  <c r="AU162" i="3" s="1"/>
  <c r="Y26" i="7"/>
  <c r="BC77" i="2"/>
  <c r="Y41" i="7" s="1"/>
  <c r="AV15" i="4"/>
  <c r="AW13" i="4"/>
  <c r="BC84" i="2"/>
  <c r="BC108" i="2" s="1"/>
  <c r="AU15" i="4"/>
  <c r="BL282" i="2"/>
  <c r="BC98" i="2"/>
  <c r="BC102" i="2" s="1"/>
  <c r="Y40" i="7"/>
  <c r="BC141" i="2"/>
  <c r="BM42" i="2"/>
  <c r="BM40" i="2"/>
  <c r="AX77" i="2"/>
  <c r="BN198" i="2"/>
  <c r="AJ106" i="7" s="1"/>
  <c r="AJ105" i="7"/>
  <c r="BO145" i="2"/>
  <c r="BN149" i="2"/>
  <c r="BO198" i="2"/>
  <c r="AK106" i="7" s="1"/>
  <c r="AK105" i="7"/>
  <c r="AS78" i="2"/>
  <c r="AS84" i="2"/>
  <c r="AS108" i="2" s="1"/>
  <c r="AZ61" i="3"/>
  <c r="AX29" i="4"/>
  <c r="AW31" i="4"/>
  <c r="BM245" i="2"/>
  <c r="AH147" i="7"/>
  <c r="BC86" i="2"/>
  <c r="AW169" i="3"/>
  <c r="AW168" i="3"/>
  <c r="AA26" i="7"/>
  <c r="BL40" i="2"/>
  <c r="BL42" i="2"/>
  <c r="BL39" i="2"/>
  <c r="BD104" i="2"/>
  <c r="BF48" i="4"/>
  <c r="AY255" i="2"/>
  <c r="U149" i="7"/>
  <c r="AA40" i="7"/>
  <c r="BE98" i="2"/>
  <c r="BE78" i="2"/>
  <c r="BE84" i="2"/>
  <c r="C23" i="1"/>
  <c r="N40" i="7"/>
  <c r="AR78" i="2"/>
  <c r="N42" i="7" s="1"/>
  <c r="AR84" i="2"/>
  <c r="AR77" i="2"/>
  <c r="N41" i="7" s="1"/>
  <c r="AR98" i="2"/>
  <c r="BO26" i="4"/>
  <c r="U40" i="7"/>
  <c r="AY84" i="2"/>
  <c r="AY98" i="2"/>
  <c r="AY77" i="2"/>
  <c r="AY78" i="2"/>
  <c r="BD142" i="2"/>
  <c r="BE142" i="2" s="1"/>
  <c r="BF151" i="2"/>
  <c r="BF148" i="3"/>
  <c r="BF153" i="3"/>
  <c r="BF168" i="3"/>
  <c r="BF167" i="3"/>
  <c r="BF200" i="3" s="1"/>
  <c r="BF172" i="3"/>
  <c r="F9" i="5"/>
  <c r="V17" i="7"/>
  <c r="AZ268" i="2"/>
  <c r="AZ267" i="2"/>
  <c r="AZ15" i="2"/>
  <c r="AZ33" i="2"/>
  <c r="AZ39" i="2"/>
  <c r="AZ270" i="2"/>
  <c r="AZ46" i="2"/>
  <c r="BE15" i="2"/>
  <c r="AZ74" i="2"/>
  <c r="AZ82" i="2"/>
  <c r="AZ60" i="2"/>
  <c r="AZ269" i="2"/>
  <c r="AZ53" i="2"/>
  <c r="AH127" i="7"/>
  <c r="BM225" i="2"/>
  <c r="BN23" i="2"/>
  <c r="BP22" i="2"/>
  <c r="BN21" i="2"/>
  <c r="BN20" i="2"/>
  <c r="S27" i="7"/>
  <c r="BH162" i="3"/>
  <c r="BH157" i="3"/>
  <c r="BD260" i="2"/>
  <c r="BD261" i="2"/>
  <c r="AV55" i="4"/>
  <c r="BN33" i="3"/>
  <c r="BN31" i="3"/>
  <c r="BN30" i="3"/>
  <c r="AV88" i="2"/>
  <c r="AV86" i="2"/>
  <c r="AV108" i="2"/>
  <c r="BL30" i="2"/>
  <c r="BL27" i="2"/>
  <c r="BM29" i="2"/>
  <c r="BL28" i="2"/>
  <c r="BL47" i="2"/>
  <c r="BL49" i="2"/>
  <c r="BL46" i="2"/>
  <c r="BU42" i="4"/>
  <c r="BP160" i="3"/>
  <c r="F103" i="5"/>
  <c r="AI142" i="7"/>
  <c r="BM259" i="2"/>
  <c r="BN240" i="2"/>
  <c r="BT282" i="2"/>
  <c r="BY283" i="2"/>
  <c r="BQ283" i="2"/>
  <c r="BS283" i="2"/>
  <c r="BP283" i="2"/>
  <c r="BR283" i="2"/>
  <c r="AP86" i="2"/>
  <c r="AP108" i="2"/>
  <c r="AP88" i="2"/>
  <c r="BR49" i="2"/>
  <c r="BR47" i="2"/>
  <c r="BR46" i="2"/>
  <c r="BN226" i="2"/>
  <c r="AI128" i="7"/>
  <c r="BO239" i="2"/>
  <c r="AJ141" i="7"/>
  <c r="R116" i="7"/>
  <c r="AV212" i="2"/>
  <c r="BA212" i="2"/>
  <c r="W117" i="7" s="1"/>
  <c r="BD77" i="2"/>
  <c r="AA142" i="7"/>
  <c r="BE259" i="2"/>
  <c r="BE243" i="2"/>
  <c r="AH37" i="7"/>
  <c r="AH74" i="7"/>
  <c r="BL73" i="2"/>
  <c r="BM72" i="2"/>
  <c r="BX14" i="4"/>
  <c r="CC9" i="4"/>
  <c r="BX41" i="4"/>
  <c r="AX28" i="4"/>
  <c r="AW30" i="4"/>
  <c r="AW55" i="4" s="1"/>
  <c r="AY187" i="3"/>
  <c r="AY188" i="3" s="1"/>
  <c r="AY185" i="3"/>
  <c r="AY55" i="3"/>
  <c r="AY51" i="3" s="1"/>
  <c r="AY59" i="3"/>
  <c r="BR42" i="2"/>
  <c r="BR40" i="2"/>
  <c r="BR39" i="2"/>
  <c r="CA33" i="4"/>
  <c r="BO10" i="4"/>
  <c r="BP169" i="3"/>
  <c r="BF163" i="3"/>
  <c r="BF159" i="3"/>
  <c r="BF158" i="3"/>
  <c r="BF199" i="3" s="1"/>
  <c r="L49" i="7"/>
  <c r="AP104" i="2"/>
  <c r="AP102" i="2"/>
  <c r="L51" i="7" s="1"/>
  <c r="AP99" i="2"/>
  <c r="AI155" i="7"/>
  <c r="BN253" i="2"/>
  <c r="L110" i="7"/>
  <c r="AP204" i="2"/>
  <c r="R49" i="7"/>
  <c r="AV102" i="2"/>
  <c r="AV104" i="2"/>
  <c r="AV99" i="2"/>
  <c r="G76" i="5"/>
  <c r="G75" i="5"/>
  <c r="H4" i="5"/>
  <c r="G3" i="5"/>
  <c r="AP105" i="7"/>
  <c r="BT198" i="2"/>
  <c r="AP106" i="7" s="1"/>
  <c r="BI36" i="4"/>
  <c r="BJ36" i="4" s="1"/>
  <c r="BH38" i="4"/>
  <c r="BO34" i="4"/>
  <c r="T49" i="7"/>
  <c r="AX104" i="2"/>
  <c r="AX102" i="2"/>
  <c r="AX99" i="2"/>
  <c r="BI46" i="4"/>
  <c r="BJ46" i="4" s="1"/>
  <c r="BH48" i="4"/>
  <c r="AU169" i="3"/>
  <c r="AU171" i="3" s="1"/>
  <c r="AU168" i="3"/>
  <c r="AG23" i="7"/>
  <c r="S116" i="7"/>
  <c r="AW212" i="2"/>
  <c r="S117" i="7" s="1"/>
  <c r="AH144" i="7"/>
  <c r="BL176" i="2"/>
  <c r="BM242" i="2"/>
  <c r="BP195" i="3"/>
  <c r="BO195" i="3"/>
  <c r="BQ193" i="3"/>
  <c r="W41" i="7"/>
  <c r="AI36" i="7"/>
  <c r="BI37" i="4"/>
  <c r="BH39" i="4"/>
  <c r="AG74" i="7"/>
  <c r="BB163" i="3"/>
  <c r="BB159" i="3"/>
  <c r="BU33" i="4"/>
  <c r="AG85" i="7"/>
  <c r="BM221" i="2"/>
  <c r="AH124" i="7"/>
  <c r="V148" i="7"/>
  <c r="BA246" i="2"/>
  <c r="AZ247" i="2"/>
  <c r="V108" i="7"/>
  <c r="AW187" i="3"/>
  <c r="AW188" i="3" s="1"/>
  <c r="AW55" i="3"/>
  <c r="AW51" i="3" s="1"/>
  <c r="AW185" i="3"/>
  <c r="AW47" i="3"/>
  <c r="AW59" i="3"/>
  <c r="BP39" i="2"/>
  <c r="BP42" i="2"/>
  <c r="BP40" i="2"/>
  <c r="AD40" i="7"/>
  <c r="BH78" i="2"/>
  <c r="BH84" i="2"/>
  <c r="BH77" i="2"/>
  <c r="BH98" i="2"/>
  <c r="W49" i="7"/>
  <c r="BA104" i="2"/>
  <c r="BA99" i="2"/>
  <c r="BA102" i="2"/>
  <c r="X27" i="7"/>
  <c r="BW150" i="2"/>
  <c r="BV149" i="2"/>
  <c r="AW153" i="3"/>
  <c r="AW154" i="3" s="1"/>
  <c r="AW152" i="3"/>
  <c r="BB151" i="3"/>
  <c r="AU108" i="2"/>
  <c r="AU85" i="2"/>
  <c r="AU88" i="2"/>
  <c r="AU86" i="2"/>
  <c r="AT53" i="4"/>
  <c r="AT17" i="4"/>
  <c r="AT58" i="4"/>
  <c r="BU25" i="4"/>
  <c r="BT25" i="4"/>
  <c r="R42" i="7"/>
  <c r="AT77" i="2"/>
  <c r="P41" i="7" s="1"/>
  <c r="AT98" i="2"/>
  <c r="P40" i="7"/>
  <c r="AT78" i="2"/>
  <c r="AT84" i="2"/>
  <c r="BY284" i="2"/>
  <c r="BQ284" i="2"/>
  <c r="BP284" i="2"/>
  <c r="BS284" i="2"/>
  <c r="BR284" i="2"/>
  <c r="BZ41" i="4"/>
  <c r="BZ14" i="4"/>
  <c r="AA116" i="7"/>
  <c r="AZ183" i="3"/>
  <c r="AZ59" i="3" s="1"/>
  <c r="AV187" i="3"/>
  <c r="AV185" i="3"/>
  <c r="AV55" i="3"/>
  <c r="AV51" i="3" s="1"/>
  <c r="AV47" i="3"/>
  <c r="AD26" i="7"/>
  <c r="CB25" i="4"/>
  <c r="AA15" i="7"/>
  <c r="BK282" i="2"/>
  <c r="BA86" i="2"/>
  <c r="BA88" i="2"/>
  <c r="BA108" i="2"/>
  <c r="BA85" i="2"/>
  <c r="AI32" i="7"/>
  <c r="BJ233" i="2"/>
  <c r="AE135" i="7"/>
  <c r="S26" i="7"/>
  <c r="BS33" i="4"/>
  <c r="BT33" i="4" s="1"/>
  <c r="X26" i="7"/>
  <c r="AX174" i="3"/>
  <c r="AX175" i="3" s="1"/>
  <c r="BS42" i="4"/>
  <c r="AJ132" i="7"/>
  <c r="BO230" i="2"/>
  <c r="C35" i="5"/>
  <c r="D37" i="5" s="1"/>
  <c r="C36" i="5"/>
  <c r="C49" i="5"/>
  <c r="C42" i="5"/>
  <c r="C43" i="5" s="1"/>
  <c r="D44" i="5" s="1"/>
  <c r="BX25" i="4"/>
  <c r="AS162" i="3"/>
  <c r="AS163" i="3" s="1"/>
  <c r="AS174" i="3" s="1"/>
  <c r="AS175" i="3" s="1"/>
  <c r="AX161" i="3"/>
  <c r="AZ211" i="2"/>
  <c r="BE212" i="2" s="1"/>
  <c r="AA117" i="7" s="1"/>
  <c r="V113" i="7"/>
  <c r="AC27" i="7"/>
  <c r="BM17" i="3"/>
  <c r="BM19" i="3"/>
  <c r="BM16" i="3"/>
  <c r="Q42" i="7"/>
  <c r="H59" i="5"/>
  <c r="BE151" i="2"/>
  <c r="BG151" i="2" s="1"/>
  <c r="T157" i="7"/>
  <c r="AX256" i="2"/>
  <c r="AQ84" i="2"/>
  <c r="AV85" i="2" s="1"/>
  <c r="AQ98" i="2"/>
  <c r="AQ77" i="2"/>
  <c r="M41" i="7" s="1"/>
  <c r="AQ78" i="2"/>
  <c r="M42" i="7" s="1"/>
  <c r="M40" i="7"/>
  <c r="AZ105" i="7"/>
  <c r="CD198" i="2"/>
  <c r="AZ106" i="7" s="1"/>
  <c r="BN282" i="2"/>
  <c r="BC158" i="3"/>
  <c r="BC199" i="3" s="1"/>
  <c r="BC163" i="3"/>
  <c r="BC159" i="3"/>
  <c r="BB187" i="3"/>
  <c r="BB188" i="3" s="1"/>
  <c r="BB185" i="3"/>
  <c r="BB55" i="3"/>
  <c r="BB51" i="3" s="1"/>
  <c r="BB47" i="3"/>
  <c r="BB59" i="3"/>
  <c r="BW33" i="4"/>
  <c r="AT151" i="3"/>
  <c r="AI34" i="7"/>
  <c r="W42" i="7"/>
  <c r="G49" i="5"/>
  <c r="G36" i="5"/>
  <c r="G42" i="5"/>
  <c r="G43" i="5" s="1"/>
  <c r="G35" i="5"/>
  <c r="BR56" i="2"/>
  <c r="BR54" i="2"/>
  <c r="BR53" i="2"/>
  <c r="AX86" i="2"/>
  <c r="AX85" i="2"/>
  <c r="AX88" i="2"/>
  <c r="AX108" i="2"/>
  <c r="AT169" i="3"/>
  <c r="BO232" i="2"/>
  <c r="AJ134" i="7"/>
  <c r="BH151" i="3"/>
  <c r="BC148" i="3"/>
  <c r="BC153" i="3"/>
  <c r="AD27" i="7"/>
  <c r="BL54" i="2"/>
  <c r="BQ55" i="2"/>
  <c r="BV55" i="2" s="1"/>
  <c r="BL56" i="2"/>
  <c r="BL53" i="2"/>
  <c r="BV42" i="4"/>
  <c r="AA27" i="7"/>
  <c r="AR174" i="3"/>
  <c r="AR175" i="3" s="1"/>
  <c r="Q49" i="7"/>
  <c r="AU99" i="2"/>
  <c r="AU53" i="4"/>
  <c r="AU17" i="4"/>
  <c r="AU58" i="4"/>
  <c r="U27" i="7"/>
  <c r="AH136" i="7"/>
  <c r="BM234" i="2"/>
  <c r="AY160" i="3"/>
  <c r="AT162" i="3"/>
  <c r="AT163" i="3" s="1"/>
  <c r="AJ152" i="7"/>
  <c r="BO250" i="2"/>
  <c r="BM282" i="2"/>
  <c r="AX170" i="3"/>
  <c r="BR63" i="2"/>
  <c r="BR61" i="2"/>
  <c r="BR60" i="2"/>
  <c r="BL160" i="3"/>
  <c r="BG157" i="3"/>
  <c r="BG162" i="3"/>
  <c r="AS86" i="2"/>
  <c r="AS88" i="2"/>
  <c r="BP194" i="3"/>
  <c r="BG84" i="2"/>
  <c r="BG98" i="2"/>
  <c r="AC40" i="7"/>
  <c r="BG78" i="2"/>
  <c r="BG77" i="2"/>
  <c r="BW9" i="4"/>
  <c r="BR41" i="4"/>
  <c r="BR14" i="4"/>
  <c r="BT14" i="4" s="1"/>
  <c r="BT12" i="4"/>
  <c r="BT9" i="4"/>
  <c r="C18" i="1"/>
  <c r="AV77" i="2"/>
  <c r="R41" i="7" s="1"/>
  <c r="U26" i="7"/>
  <c r="G40" i="7"/>
  <c r="AK98" i="2"/>
  <c r="AK84" i="2"/>
  <c r="AP85" i="2" s="1"/>
  <c r="AK78" i="2"/>
  <c r="G42" i="7" s="1"/>
  <c r="BA150" i="3"/>
  <c r="BA154" i="3"/>
  <c r="BA149" i="3"/>
  <c r="V15" i="7"/>
  <c r="BL61" i="2"/>
  <c r="BL63" i="2"/>
  <c r="BL60" i="2"/>
  <c r="AI21" i="7"/>
  <c r="AW98" i="2"/>
  <c r="AW77" i="2"/>
  <c r="AW84" i="2"/>
  <c r="AW78" i="2"/>
  <c r="S40" i="7"/>
  <c r="BB77" i="2"/>
  <c r="BB98" i="2"/>
  <c r="BB78" i="2"/>
  <c r="X40" i="7"/>
  <c r="BB84" i="2"/>
  <c r="BC171" i="3"/>
  <c r="BH169" i="3"/>
  <c r="BC166" i="3"/>
  <c r="Z145" i="7"/>
  <c r="T42" i="7"/>
  <c r="AC26" i="7"/>
  <c r="BG45" i="4"/>
  <c r="BF47" i="4"/>
  <c r="BM42" i="4"/>
  <c r="BO41" i="4"/>
  <c r="E36" i="5" l="1"/>
  <c r="BL233" i="2"/>
  <c r="BC104" i="2"/>
  <c r="BC99" i="2"/>
  <c r="BK149" i="3"/>
  <c r="BK150" i="3"/>
  <c r="BK154" i="3"/>
  <c r="AH85" i="7"/>
  <c r="BD86" i="2"/>
  <c r="BE59" i="3"/>
  <c r="BD108" i="2"/>
  <c r="BD134" i="2" s="1"/>
  <c r="E42" i="5"/>
  <c r="E43" i="5" s="1"/>
  <c r="E44" i="5" s="1"/>
  <c r="E49" i="5"/>
  <c r="Y49" i="7"/>
  <c r="BC88" i="2"/>
  <c r="BC263" i="2" s="1"/>
  <c r="CA41" i="4"/>
  <c r="BC85" i="2"/>
  <c r="BE51" i="3"/>
  <c r="BR68" i="3"/>
  <c r="BQ74" i="3"/>
  <c r="K21" i="35"/>
  <c r="L21" i="35"/>
  <c r="F20" i="35"/>
  <c r="L22" i="35"/>
  <c r="K22" i="35"/>
  <c r="E20" i="35"/>
  <c r="C25" i="35"/>
  <c r="AU19" i="4"/>
  <c r="AB49" i="7"/>
  <c r="BF99" i="2"/>
  <c r="BF104" i="2"/>
  <c r="AB53" i="7" s="1"/>
  <c r="Z42" i="7"/>
  <c r="Z49" i="7"/>
  <c r="Y42" i="7"/>
  <c r="BD102" i="2"/>
  <c r="AB42" i="7"/>
  <c r="BF108" i="2"/>
  <c r="BF134" i="2" s="1"/>
  <c r="BD141" i="2"/>
  <c r="BF88" i="2"/>
  <c r="BF92" i="2" s="1"/>
  <c r="BF85" i="2"/>
  <c r="T41" i="7"/>
  <c r="BN161" i="3"/>
  <c r="BN170" i="3"/>
  <c r="BN152" i="3"/>
  <c r="O49" i="7"/>
  <c r="AS104" i="2"/>
  <c r="AS85" i="2"/>
  <c r="O42" i="7"/>
  <c r="AS99" i="2"/>
  <c r="AU22" i="4"/>
  <c r="AU23" i="4" s="1"/>
  <c r="AU56" i="4"/>
  <c r="AW15" i="4"/>
  <c r="AW22" i="4" s="1"/>
  <c r="AW23" i="4" s="1"/>
  <c r="AX13" i="4"/>
  <c r="AU163" i="3"/>
  <c r="AV22" i="4"/>
  <c r="AV23" i="4" s="1"/>
  <c r="AV56" i="4"/>
  <c r="BQ282" i="2"/>
  <c r="BT34" i="4"/>
  <c r="BA167" i="3"/>
  <c r="BA200" i="3" s="1"/>
  <c r="BA198" i="3"/>
  <c r="G49" i="7"/>
  <c r="AK99" i="2"/>
  <c r="AK104" i="2"/>
  <c r="AK102" i="2"/>
  <c r="G51" i="7" s="1"/>
  <c r="AS111" i="2"/>
  <c r="AS112" i="2" s="1"/>
  <c r="AS134" i="2"/>
  <c r="AN36" i="7"/>
  <c r="AR104" i="2"/>
  <c r="N49" i="7"/>
  <c r="AR102" i="2"/>
  <c r="N51" i="7" s="1"/>
  <c r="AR99" i="2"/>
  <c r="X41" i="7"/>
  <c r="S42" i="7"/>
  <c r="BG88" i="2"/>
  <c r="BG108" i="2"/>
  <c r="BG85" i="2"/>
  <c r="BG86" i="2"/>
  <c r="AS90" i="2"/>
  <c r="O46" i="7" s="1"/>
  <c r="O44" i="7"/>
  <c r="AS92" i="2"/>
  <c r="AS89" i="2"/>
  <c r="O45" i="7" s="1"/>
  <c r="BL157" i="3"/>
  <c r="BQ160" i="3"/>
  <c r="BL162" i="3"/>
  <c r="AK152" i="7"/>
  <c r="BP250" i="2"/>
  <c r="BD160" i="3"/>
  <c r="AY162" i="3"/>
  <c r="AY157" i="3"/>
  <c r="AZ160" i="3"/>
  <c r="AQ99" i="2"/>
  <c r="AQ101" i="2"/>
  <c r="AQ104" i="2" s="1"/>
  <c r="M49" i="7"/>
  <c r="AU134" i="2"/>
  <c r="W51" i="7"/>
  <c r="BK37" i="4"/>
  <c r="BI39" i="4"/>
  <c r="BJ39" i="4" s="1"/>
  <c r="AY28" i="4"/>
  <c r="AZ28" i="4" s="1"/>
  <c r="AX30" i="4"/>
  <c r="AX55" i="4" s="1"/>
  <c r="BM163" i="2"/>
  <c r="AI74" i="7" s="1"/>
  <c r="AI37" i="7"/>
  <c r="BM73" i="2"/>
  <c r="BN72" i="2"/>
  <c r="BO72" i="2" s="1"/>
  <c r="AB142" i="7"/>
  <c r="BF259" i="2"/>
  <c r="AP92" i="2"/>
  <c r="AP90" i="2"/>
  <c r="L46" i="7" s="1"/>
  <c r="AP263" i="2"/>
  <c r="L44" i="7"/>
  <c r="AP262" i="2"/>
  <c r="AH32" i="7"/>
  <c r="AJ21" i="7"/>
  <c r="V32" i="7"/>
  <c r="BP151" i="3"/>
  <c r="AY88" i="2"/>
  <c r="BD89" i="2" s="1"/>
  <c r="AY86" i="2"/>
  <c r="AY85" i="2"/>
  <c r="AY108" i="2"/>
  <c r="U157" i="7"/>
  <c r="AY256" i="2"/>
  <c r="BC172" i="3"/>
  <c r="BC168" i="3"/>
  <c r="BC167" i="3"/>
  <c r="BC200" i="3" s="1"/>
  <c r="AW108" i="2"/>
  <c r="AW88" i="2"/>
  <c r="AW85" i="2"/>
  <c r="AW86" i="2"/>
  <c r="AK88" i="2"/>
  <c r="AP89" i="2" s="1"/>
  <c r="L45" i="7" s="1"/>
  <c r="AK86" i="2"/>
  <c r="BW63" i="2"/>
  <c r="CB62" i="2"/>
  <c r="BW60" i="2"/>
  <c r="BW61" i="2"/>
  <c r="AI136" i="7"/>
  <c r="BN234" i="2"/>
  <c r="AT153" i="3"/>
  <c r="AT154" i="3" s="1"/>
  <c r="AU154" i="3" s="1"/>
  <c r="AY151" i="3"/>
  <c r="AU151" i="3"/>
  <c r="AQ88" i="2"/>
  <c r="AV89" i="2" s="1"/>
  <c r="AQ108" i="2"/>
  <c r="AQ86" i="2"/>
  <c r="AQ85" i="2"/>
  <c r="CC25" i="4"/>
  <c r="BA111" i="2"/>
  <c r="BA134" i="2"/>
  <c r="BA109" i="2"/>
  <c r="BZ42" i="4"/>
  <c r="BH104" i="2"/>
  <c r="AD49" i="7"/>
  <c r="BH99" i="2"/>
  <c r="BH102" i="2"/>
  <c r="BK36" i="4"/>
  <c r="BI38" i="4"/>
  <c r="BJ38" i="4" s="1"/>
  <c r="BU169" i="3"/>
  <c r="BP171" i="3"/>
  <c r="BP166" i="3"/>
  <c r="BX42" i="4"/>
  <c r="AJ128" i="7"/>
  <c r="BO226" i="2"/>
  <c r="AP111" i="2"/>
  <c r="AP114" i="2" s="1"/>
  <c r="AP134" i="2"/>
  <c r="AP137" i="2" s="1"/>
  <c r="BW283" i="2"/>
  <c r="CD283" i="2"/>
  <c r="BV283" i="2"/>
  <c r="BY282" i="2"/>
  <c r="BX283" i="2"/>
  <c r="BU283" i="2"/>
  <c r="AJ142" i="7"/>
  <c r="BN259" i="2"/>
  <c r="BO240" i="2"/>
  <c r="BP162" i="3"/>
  <c r="BU160" i="3"/>
  <c r="BP157" i="3"/>
  <c r="BM30" i="2"/>
  <c r="BM27" i="2"/>
  <c r="BN29" i="2"/>
  <c r="BP29" i="2" s="1"/>
  <c r="BM28" i="2"/>
  <c r="BJ151" i="2"/>
  <c r="BE86" i="2"/>
  <c r="BE88" i="2"/>
  <c r="BE263" i="2" s="1"/>
  <c r="Y51" i="7"/>
  <c r="AW171" i="3"/>
  <c r="AW172" i="3" s="1"/>
  <c r="AW174" i="3" s="1"/>
  <c r="AW175" i="3" s="1"/>
  <c r="AW170" i="3"/>
  <c r="BB169" i="3"/>
  <c r="AH36" i="7"/>
  <c r="BR42" i="4"/>
  <c r="BT41" i="4"/>
  <c r="BD92" i="2"/>
  <c r="BD90" i="2"/>
  <c r="Z44" i="7"/>
  <c r="BP20" i="2"/>
  <c r="BP21" i="2"/>
  <c r="BQ22" i="2"/>
  <c r="BP23" i="2"/>
  <c r="Y53" i="7"/>
  <c r="BC118" i="2"/>
  <c r="BC119" i="2" s="1"/>
  <c r="BC105" i="2"/>
  <c r="BB108" i="2"/>
  <c r="BB88" i="2"/>
  <c r="BB86" i="2"/>
  <c r="BB85" i="2"/>
  <c r="BQ60" i="2"/>
  <c r="BQ61" i="2"/>
  <c r="BQ63" i="2"/>
  <c r="AC41" i="7"/>
  <c r="AH34" i="7"/>
  <c r="C54" i="5"/>
  <c r="C52" i="5"/>
  <c r="BX150" i="2"/>
  <c r="BW149" i="2"/>
  <c r="W148" i="7"/>
  <c r="BB246" i="2"/>
  <c r="BA247" i="2"/>
  <c r="R51" i="7"/>
  <c r="BH158" i="3"/>
  <c r="BH199" i="3" s="1"/>
  <c r="BH163" i="3"/>
  <c r="BH159" i="3"/>
  <c r="V36" i="7"/>
  <c r="AR85" i="2"/>
  <c r="AR108" i="2"/>
  <c r="AR86" i="2"/>
  <c r="AR88" i="2"/>
  <c r="BT10" i="4"/>
  <c r="AC42" i="7"/>
  <c r="BM151" i="3"/>
  <c r="BH148" i="3"/>
  <c r="BH153" i="3"/>
  <c r="AF135" i="7"/>
  <c r="P42" i="7"/>
  <c r="BZ25" i="4"/>
  <c r="BY25" i="4"/>
  <c r="BF105" i="2"/>
  <c r="BW39" i="2"/>
  <c r="BW40" i="2"/>
  <c r="BW42" i="2"/>
  <c r="R117" i="7"/>
  <c r="CB48" i="2"/>
  <c r="BW46" i="2"/>
  <c r="BW47" i="2"/>
  <c r="BW49" i="2"/>
  <c r="BR282" i="2"/>
  <c r="BD262" i="2"/>
  <c r="U42" i="7"/>
  <c r="BF141" i="2"/>
  <c r="BE141" i="2"/>
  <c r="BE99" i="2"/>
  <c r="BE104" i="2"/>
  <c r="AA49" i="7"/>
  <c r="BE102" i="2"/>
  <c r="C30" i="35" s="1"/>
  <c r="C32" i="35" s="1"/>
  <c r="BD105" i="2"/>
  <c r="Z53" i="7"/>
  <c r="BQ39" i="2"/>
  <c r="BQ42" i="2"/>
  <c r="BQ40" i="2"/>
  <c r="BC134" i="2"/>
  <c r="BC109" i="2"/>
  <c r="BC111" i="2"/>
  <c r="AX31" i="4"/>
  <c r="AY29" i="4"/>
  <c r="AN34" i="7"/>
  <c r="BX284" i="2"/>
  <c r="CD284" i="2"/>
  <c r="BV284" i="2"/>
  <c r="BW284" i="2"/>
  <c r="BU284" i="2"/>
  <c r="W53" i="7"/>
  <c r="BA105" i="2"/>
  <c r="BA118" i="2"/>
  <c r="AD41" i="7"/>
  <c r="CC41" i="4"/>
  <c r="CC14" i="4"/>
  <c r="AH23" i="7"/>
  <c r="V34" i="7"/>
  <c r="F11" i="5"/>
  <c r="F10" i="5"/>
  <c r="F34" i="5"/>
  <c r="F17" i="5"/>
  <c r="F70" i="5"/>
  <c r="F47" i="5"/>
  <c r="F66" i="5"/>
  <c r="F62" i="5"/>
  <c r="F26" i="5"/>
  <c r="F29" i="5"/>
  <c r="G10" i="5"/>
  <c r="F23" i="5"/>
  <c r="F20" i="5"/>
  <c r="F32" i="5"/>
  <c r="F64" i="5"/>
  <c r="BW41" i="4"/>
  <c r="CB9" i="4"/>
  <c r="BW14" i="4"/>
  <c r="BY14" i="4" s="1"/>
  <c r="BY12" i="4"/>
  <c r="BY9" i="4"/>
  <c r="BW53" i="2"/>
  <c r="CB55" i="2"/>
  <c r="BW54" i="2"/>
  <c r="BW56" i="2"/>
  <c r="BT26" i="4"/>
  <c r="BB153" i="3"/>
  <c r="BB148" i="3"/>
  <c r="BG151" i="3"/>
  <c r="BH85" i="2"/>
  <c r="BH108" i="2"/>
  <c r="BH88" i="2"/>
  <c r="BH86" i="2"/>
  <c r="BU40" i="2"/>
  <c r="BU42" i="2"/>
  <c r="BU39" i="2"/>
  <c r="BR193" i="3"/>
  <c r="AB51" i="7"/>
  <c r="R53" i="7"/>
  <c r="AV105" i="2"/>
  <c r="AV118" i="2"/>
  <c r="Z41" i="7"/>
  <c r="AA42" i="7"/>
  <c r="C24" i="1"/>
  <c r="BN245" i="2"/>
  <c r="AI147" i="7"/>
  <c r="BC149" i="3"/>
  <c r="BC154" i="3"/>
  <c r="BC150" i="3"/>
  <c r="AT108" i="2"/>
  <c r="AT88" i="2"/>
  <c r="AT85" i="2"/>
  <c r="AT86" i="2"/>
  <c r="AD42" i="7"/>
  <c r="BK46" i="4"/>
  <c r="BI48" i="4"/>
  <c r="BJ48" i="4" s="1"/>
  <c r="AN32" i="7"/>
  <c r="V18" i="7"/>
  <c r="BO43" i="4"/>
  <c r="BO42" i="4"/>
  <c r="X42" i="7"/>
  <c r="BQ53" i="2"/>
  <c r="BQ56" i="2"/>
  <c r="BQ54" i="2"/>
  <c r="AX111" i="2"/>
  <c r="AX114" i="2" s="1"/>
  <c r="AX109" i="2"/>
  <c r="AX134" i="2"/>
  <c r="CB33" i="4"/>
  <c r="F60" i="5"/>
  <c r="BN19" i="3"/>
  <c r="BP18" i="3"/>
  <c r="BN17" i="3"/>
  <c r="BN16" i="3"/>
  <c r="AV188" i="3"/>
  <c r="AV42" i="3"/>
  <c r="AV28" i="3" s="1"/>
  <c r="AU92" i="2"/>
  <c r="AU89" i="2"/>
  <c r="Q45" i="7" s="1"/>
  <c r="AU90" i="2"/>
  <c r="Q46" i="7" s="1"/>
  <c r="Q44" i="7"/>
  <c r="AU263" i="2"/>
  <c r="AU262" i="2"/>
  <c r="BJ37" i="4"/>
  <c r="BQ195" i="3"/>
  <c r="BR195" i="3" s="1"/>
  <c r="BS195" i="3" s="1"/>
  <c r="BU195" i="3" s="1"/>
  <c r="T51" i="7"/>
  <c r="AA145" i="7"/>
  <c r="BP282" i="2"/>
  <c r="AV92" i="2"/>
  <c r="R44" i="7"/>
  <c r="AV90" i="2"/>
  <c r="AV262" i="2"/>
  <c r="AV263" i="2"/>
  <c r="AV17" i="4"/>
  <c r="AV53" i="4"/>
  <c r="AV58" i="4"/>
  <c r="BD263" i="2"/>
  <c r="V38" i="7"/>
  <c r="U41" i="7"/>
  <c r="BM169" i="3"/>
  <c r="BH171" i="3"/>
  <c r="BH166" i="3"/>
  <c r="S41" i="7"/>
  <c r="BA90" i="2"/>
  <c r="BA92" i="2"/>
  <c r="BA89" i="2"/>
  <c r="W44" i="7"/>
  <c r="BA263" i="2"/>
  <c r="BA262" i="2"/>
  <c r="AL30" i="7"/>
  <c r="AP105" i="2"/>
  <c r="L53" i="7"/>
  <c r="BQ46" i="2"/>
  <c r="BQ49" i="2"/>
  <c r="BQ47" i="2"/>
  <c r="V30" i="7"/>
  <c r="BF142" i="2"/>
  <c r="BH45" i="4"/>
  <c r="BG47" i="4"/>
  <c r="V149" i="7"/>
  <c r="AZ255" i="2"/>
  <c r="AI144" i="7"/>
  <c r="BM176" i="2"/>
  <c r="BN242" i="2"/>
  <c r="AV134" i="2"/>
  <c r="AV111" i="2"/>
  <c r="AV114" i="2" s="1"/>
  <c r="AV109" i="2"/>
  <c r="BM162" i="3"/>
  <c r="BM157" i="3"/>
  <c r="BR160" i="3"/>
  <c r="V25" i="7"/>
  <c r="AZ76" i="2"/>
  <c r="AZ34" i="2"/>
  <c r="AZ35" i="2"/>
  <c r="AH30" i="7"/>
  <c r="AW101" i="2"/>
  <c r="AW104" i="2" s="1"/>
  <c r="S49" i="7"/>
  <c r="AW99" i="2"/>
  <c r="AT171" i="3"/>
  <c r="AT172" i="3" s="1"/>
  <c r="AY169" i="3"/>
  <c r="V116" i="7"/>
  <c r="CA42" i="4"/>
  <c r="AN30" i="7"/>
  <c r="BP31" i="3"/>
  <c r="BP33" i="3"/>
  <c r="BP30" i="3"/>
  <c r="BN225" i="2"/>
  <c r="AI127" i="7"/>
  <c r="BB99" i="2"/>
  <c r="X49" i="7"/>
  <c r="BB104" i="2"/>
  <c r="BB102" i="2"/>
  <c r="BG104" i="2"/>
  <c r="BG99" i="2"/>
  <c r="AC49" i="7"/>
  <c r="BG102" i="2"/>
  <c r="BQ194" i="3"/>
  <c r="BR194" i="3" s="1"/>
  <c r="BS194" i="3" s="1"/>
  <c r="BU194" i="3" s="1"/>
  <c r="BG159" i="3"/>
  <c r="BG158" i="3"/>
  <c r="BG199" i="3" s="1"/>
  <c r="BG163" i="3"/>
  <c r="AK134" i="7"/>
  <c r="BP232" i="2"/>
  <c r="T44" i="7"/>
  <c r="AX92" i="2"/>
  <c r="AX89" i="2"/>
  <c r="AX90" i="2"/>
  <c r="AX263" i="2"/>
  <c r="AX262" i="2"/>
  <c r="AS105" i="2"/>
  <c r="O53" i="7"/>
  <c r="AS118" i="2"/>
  <c r="AS119" i="2" s="1"/>
  <c r="AK132" i="7"/>
  <c r="BP230" i="2"/>
  <c r="BX33" i="4"/>
  <c r="BY33" i="4" s="1"/>
  <c r="AZ47" i="3"/>
  <c r="AZ51" i="3"/>
  <c r="AT102" i="2"/>
  <c r="P51" i="7" s="1"/>
  <c r="AT99" i="2"/>
  <c r="P49" i="7"/>
  <c r="AT104" i="2"/>
  <c r="AI124" i="7"/>
  <c r="BN221" i="2"/>
  <c r="BZ33" i="4"/>
  <c r="T53" i="7"/>
  <c r="AX105" i="2"/>
  <c r="AX118" i="2"/>
  <c r="AX119" i="2" s="1"/>
  <c r="H75" i="5"/>
  <c r="I4" i="5"/>
  <c r="H76" i="5"/>
  <c r="H3" i="5"/>
  <c r="L111" i="7"/>
  <c r="AU202" i="2"/>
  <c r="AP206" i="2"/>
  <c r="AR202" i="2"/>
  <c r="AJ155" i="7"/>
  <c r="BO253" i="2"/>
  <c r="BD85" i="2"/>
  <c r="AW53" i="4"/>
  <c r="AW17" i="4"/>
  <c r="AW58" i="4"/>
  <c r="BA174" i="3"/>
  <c r="BA175" i="3" s="1"/>
  <c r="C43" i="1"/>
  <c r="BE261" i="2"/>
  <c r="AK141" i="7"/>
  <c r="BP239" i="2"/>
  <c r="BS282" i="2"/>
  <c r="AA18" i="7"/>
  <c r="BF150" i="3"/>
  <c r="BF154" i="3"/>
  <c r="BF174" i="3" s="1"/>
  <c r="BF175" i="3" s="1"/>
  <c r="BF149" i="3"/>
  <c r="U49" i="7"/>
  <c r="AY104" i="2"/>
  <c r="AY99" i="2"/>
  <c r="AY102" i="2"/>
  <c r="BC90" i="2" l="1"/>
  <c r="BF111" i="2"/>
  <c r="BF114" i="2" s="1"/>
  <c r="BD111" i="2"/>
  <c r="BD114" i="2" s="1"/>
  <c r="L20" i="35"/>
  <c r="K20" i="35"/>
  <c r="BC262" i="2"/>
  <c r="Y44" i="7"/>
  <c r="BC89" i="2"/>
  <c r="Y45" i="7" s="1"/>
  <c r="BC92" i="2"/>
  <c r="BC94" i="2" s="1"/>
  <c r="BE108" i="2"/>
  <c r="BD109" i="2"/>
  <c r="AB44" i="7"/>
  <c r="BS68" i="3"/>
  <c r="BR74" i="3"/>
  <c r="BF118" i="2"/>
  <c r="BF119" i="2" s="1"/>
  <c r="BF90" i="2"/>
  <c r="BF89" i="2"/>
  <c r="Z51" i="7"/>
  <c r="BD118" i="2"/>
  <c r="BD119" i="2" s="1"/>
  <c r="BF109" i="2"/>
  <c r="AW19" i="4"/>
  <c r="BA190" i="3"/>
  <c r="BX282" i="2"/>
  <c r="BC174" i="3"/>
  <c r="BC175" i="3" s="1"/>
  <c r="AV60" i="4"/>
  <c r="AV18" i="4"/>
  <c r="AV54" i="4"/>
  <c r="AY13" i="4"/>
  <c r="AX15" i="4"/>
  <c r="AU18" i="4"/>
  <c r="AU60" i="4"/>
  <c r="AU54" i="4"/>
  <c r="AZ108" i="2"/>
  <c r="BA201" i="3"/>
  <c r="AW56" i="4"/>
  <c r="AS114" i="2"/>
  <c r="O58" i="7" s="1"/>
  <c r="AV19" i="4"/>
  <c r="R58" i="7"/>
  <c r="AV115" i="2"/>
  <c r="Z45" i="7"/>
  <c r="BY34" i="4"/>
  <c r="R45" i="7"/>
  <c r="BE134" i="2"/>
  <c r="BE109" i="2"/>
  <c r="BP17" i="3"/>
  <c r="BQ18" i="3"/>
  <c r="BP19" i="3"/>
  <c r="BP16" i="3"/>
  <c r="BB149" i="3"/>
  <c r="BB154" i="3"/>
  <c r="BB150" i="3"/>
  <c r="CB56" i="2"/>
  <c r="CB54" i="2"/>
  <c r="CB53" i="2"/>
  <c r="Z54" i="7"/>
  <c r="AB54" i="7"/>
  <c r="BF106" i="2"/>
  <c r="CD25" i="4"/>
  <c r="BM153" i="3"/>
  <c r="BM148" i="3"/>
  <c r="BR151" i="3"/>
  <c r="AR111" i="2"/>
  <c r="AR112" i="2" s="1"/>
  <c r="AR134" i="2"/>
  <c r="C56" i="5"/>
  <c r="C72" i="5"/>
  <c r="BV282" i="2"/>
  <c r="BA137" i="2"/>
  <c r="BA136" i="2"/>
  <c r="AB58" i="7"/>
  <c r="BF115" i="2"/>
  <c r="AB145" i="7"/>
  <c r="AU137" i="2"/>
  <c r="AU136" i="2"/>
  <c r="N110" i="7"/>
  <c r="AR204" i="2"/>
  <c r="P53" i="7"/>
  <c r="AT118" i="2"/>
  <c r="AT119" i="2" s="1"/>
  <c r="AT105" i="2"/>
  <c r="BG105" i="2"/>
  <c r="BG118" i="2"/>
  <c r="BG119" i="2" s="1"/>
  <c r="AC53" i="7"/>
  <c r="BQ30" i="3"/>
  <c r="BQ33" i="3"/>
  <c r="BQ31" i="3"/>
  <c r="AY166" i="3"/>
  <c r="BD169" i="3"/>
  <c r="AY171" i="3"/>
  <c r="BW160" i="3"/>
  <c r="BR157" i="3"/>
  <c r="BR162" i="3"/>
  <c r="R46" i="7"/>
  <c r="AX112" i="2"/>
  <c r="BC198" i="3"/>
  <c r="BC201" i="3" s="1"/>
  <c r="BC190" i="3"/>
  <c r="BH196" i="3"/>
  <c r="AS34" i="7"/>
  <c r="BC137" i="2"/>
  <c r="BC136" i="2"/>
  <c r="AA51" i="7"/>
  <c r="CB283" i="2"/>
  <c r="CA283" i="2"/>
  <c r="BZ283" i="2"/>
  <c r="CD282" i="2"/>
  <c r="CC283" i="2"/>
  <c r="BU171" i="3"/>
  <c r="BU166" i="3"/>
  <c r="BZ169" i="3"/>
  <c r="AQ134" i="2"/>
  <c r="AX17" i="4"/>
  <c r="AX58" i="4"/>
  <c r="AX53" i="4"/>
  <c r="AU101" i="2"/>
  <c r="AQ102" i="2"/>
  <c r="M51" i="7" s="1"/>
  <c r="M50" i="7"/>
  <c r="AS94" i="2"/>
  <c r="AS93" i="2"/>
  <c r="AL134" i="7"/>
  <c r="BQ232" i="2"/>
  <c r="BM163" i="3"/>
  <c r="BM159" i="3"/>
  <c r="L54" i="7"/>
  <c r="BV195" i="3"/>
  <c r="BW195" i="3" s="1"/>
  <c r="BX195" i="3" s="1"/>
  <c r="BZ195" i="3" s="1"/>
  <c r="AD44" i="7"/>
  <c r="BH90" i="2"/>
  <c r="BH89" i="2"/>
  <c r="BH263" i="2"/>
  <c r="BH92" i="2"/>
  <c r="BH262" i="2"/>
  <c r="CC42" i="4"/>
  <c r="BQ20" i="2"/>
  <c r="BR22" i="2"/>
  <c r="BQ21" i="2"/>
  <c r="BQ23" i="2"/>
  <c r="AK142" i="7"/>
  <c r="BP240" i="2"/>
  <c r="BO259" i="2"/>
  <c r="BF137" i="2"/>
  <c r="BF209" i="2" s="1"/>
  <c r="BF136" i="2"/>
  <c r="AK37" i="7"/>
  <c r="I28" i="5"/>
  <c r="BO73" i="2"/>
  <c r="Q110" i="7"/>
  <c r="S53" i="7"/>
  <c r="AW105" i="2"/>
  <c r="V27" i="7"/>
  <c r="AI85" i="7"/>
  <c r="W45" i="7"/>
  <c r="BH172" i="3"/>
  <c r="BH168" i="3"/>
  <c r="BH167" i="3"/>
  <c r="BH200" i="3" s="1"/>
  <c r="AV94" i="2"/>
  <c r="BT195" i="3"/>
  <c r="AU93" i="2"/>
  <c r="AU94" i="2"/>
  <c r="BV54" i="2"/>
  <c r="CA55" i="2"/>
  <c r="BV53" i="2"/>
  <c r="BV56" i="2"/>
  <c r="AV119" i="2"/>
  <c r="BH109" i="2"/>
  <c r="BH111" i="2"/>
  <c r="BH134" i="2"/>
  <c r="W54" i="7"/>
  <c r="BA106" i="2"/>
  <c r="BV40" i="2"/>
  <c r="BV39" i="2"/>
  <c r="BV42" i="2"/>
  <c r="CB49" i="2"/>
  <c r="CB47" i="2"/>
  <c r="CB46" i="2"/>
  <c r="AS30" i="7"/>
  <c r="BZ150" i="2"/>
  <c r="BX149" i="2"/>
  <c r="BB134" i="2"/>
  <c r="BB109" i="2"/>
  <c r="BB111" i="2"/>
  <c r="Z46" i="7"/>
  <c r="BN30" i="2"/>
  <c r="BN27" i="2"/>
  <c r="BN28" i="2"/>
  <c r="L58" i="7"/>
  <c r="AP115" i="2"/>
  <c r="AJ37" i="7"/>
  <c r="BP72" i="2"/>
  <c r="BN163" i="2"/>
  <c r="BN73" i="2"/>
  <c r="BL37" i="4"/>
  <c r="BK39" i="4"/>
  <c r="AQ105" i="2"/>
  <c r="M53" i="7"/>
  <c r="AZ162" i="3"/>
  <c r="AZ161" i="3"/>
  <c r="G53" i="7"/>
  <c r="AK105" i="2"/>
  <c r="AP106" i="2" s="1"/>
  <c r="L55" i="7" s="1"/>
  <c r="T46" i="7"/>
  <c r="BV194" i="3"/>
  <c r="BW194" i="3" s="1"/>
  <c r="BX194" i="3" s="1"/>
  <c r="BZ194" i="3" s="1"/>
  <c r="X51" i="7"/>
  <c r="BO225" i="2"/>
  <c r="AJ127" i="7"/>
  <c r="V26" i="7"/>
  <c r="BA94" i="2"/>
  <c r="BA93" i="2"/>
  <c r="BL46" i="4"/>
  <c r="BK48" i="4"/>
  <c r="R54" i="7"/>
  <c r="CA284" i="2"/>
  <c r="CC284" i="2"/>
  <c r="CB284" i="2"/>
  <c r="BZ284" i="2"/>
  <c r="BA29" i="4"/>
  <c r="AY31" i="4"/>
  <c r="AZ29" i="4"/>
  <c r="AA53" i="7"/>
  <c r="BE105" i="2"/>
  <c r="C29" i="1"/>
  <c r="CB42" i="2"/>
  <c r="CB40" i="2"/>
  <c r="CB39" i="2"/>
  <c r="AG135" i="7"/>
  <c r="BV61" i="2"/>
  <c r="CA62" i="2"/>
  <c r="BV60" i="2"/>
  <c r="BV63" i="2"/>
  <c r="AL21" i="7"/>
  <c r="BD94" i="2"/>
  <c r="BT42" i="4"/>
  <c r="BT43" i="4"/>
  <c r="AZ169" i="3"/>
  <c r="AA44" i="7"/>
  <c r="BE90" i="2"/>
  <c r="C20" i="1"/>
  <c r="BE92" i="2"/>
  <c r="AI23" i="7"/>
  <c r="L63" i="7"/>
  <c r="AP138" i="2"/>
  <c r="AP209" i="2"/>
  <c r="L114" i="7" s="1"/>
  <c r="AD51" i="7"/>
  <c r="BF112" i="2"/>
  <c r="BF286" i="2"/>
  <c r="AY159" i="3"/>
  <c r="AY163" i="3"/>
  <c r="AZ157" i="3"/>
  <c r="BC93" i="2"/>
  <c r="U51" i="7"/>
  <c r="AL141" i="7"/>
  <c r="BQ239" i="2"/>
  <c r="O54" i="7"/>
  <c r="AS106" i="2"/>
  <c r="T45" i="7"/>
  <c r="BT194" i="3"/>
  <c r="X53" i="7"/>
  <c r="BB118" i="2"/>
  <c r="BB119" i="2" s="1"/>
  <c r="BB105" i="2"/>
  <c r="V40" i="7"/>
  <c r="AZ78" i="2"/>
  <c r="AZ98" i="2"/>
  <c r="AZ77" i="2"/>
  <c r="AZ84" i="2"/>
  <c r="BE77" i="2"/>
  <c r="BH47" i="4"/>
  <c r="BI45" i="4"/>
  <c r="BJ45" i="4" s="1"/>
  <c r="W46" i="7"/>
  <c r="BM171" i="3"/>
  <c r="BM166" i="3"/>
  <c r="BR169" i="3"/>
  <c r="P44" i="7"/>
  <c r="AT90" i="2"/>
  <c r="P46" i="7" s="1"/>
  <c r="AT92" i="2"/>
  <c r="AT89" i="2"/>
  <c r="P45" i="7" s="1"/>
  <c r="AQ30" i="7"/>
  <c r="CB41" i="4"/>
  <c r="CB14" i="4"/>
  <c r="CD14" i="4" s="1"/>
  <c r="CD12" i="4"/>
  <c r="CD9" i="4"/>
  <c r="F49" i="5"/>
  <c r="F36" i="5"/>
  <c r="F35" i="5"/>
  <c r="F42" i="5"/>
  <c r="F43" i="5" s="1"/>
  <c r="AM30" i="7"/>
  <c r="W149" i="7"/>
  <c r="BA255" i="2"/>
  <c r="BB171" i="3"/>
  <c r="BG169" i="3"/>
  <c r="BB166" i="3"/>
  <c r="BU282" i="2"/>
  <c r="AP112" i="2"/>
  <c r="D51" i="5"/>
  <c r="AP286" i="2"/>
  <c r="BL36" i="4"/>
  <c r="BK38" i="4"/>
  <c r="AU152" i="3"/>
  <c r="AU153" i="3"/>
  <c r="BK174" i="3"/>
  <c r="BK175" i="3" s="1"/>
  <c r="BD112" i="2"/>
  <c r="BD286" i="2"/>
  <c r="AJ124" i="7"/>
  <c r="BO221" i="2"/>
  <c r="CC33" i="4"/>
  <c r="AV112" i="2"/>
  <c r="AM32" i="7"/>
  <c r="BK196" i="3"/>
  <c r="BF198" i="3"/>
  <c r="BF201" i="3" s="1"/>
  <c r="T54" i="7"/>
  <c r="AX106" i="2"/>
  <c r="AT174" i="3"/>
  <c r="AT175" i="3" s="1"/>
  <c r="AU172" i="3"/>
  <c r="AU174" i="3" s="1"/>
  <c r="AU175" i="3" s="1"/>
  <c r="AV136" i="2"/>
  <c r="AV137" i="2"/>
  <c r="AJ144" i="7"/>
  <c r="BN176" i="2"/>
  <c r="AJ85" i="7" s="1"/>
  <c r="BO242" i="2"/>
  <c r="BS193" i="3"/>
  <c r="BT193" i="3" s="1"/>
  <c r="BY10" i="4"/>
  <c r="BA119" i="2"/>
  <c r="AS32" i="7"/>
  <c r="X44" i="7"/>
  <c r="BB92" i="2"/>
  <c r="BB90" i="2"/>
  <c r="BB89" i="2"/>
  <c r="BB263" i="2"/>
  <c r="BB262" i="2"/>
  <c r="BW282" i="2"/>
  <c r="BA286" i="2"/>
  <c r="BA112" i="2"/>
  <c r="M44" i="7"/>
  <c r="AQ90" i="2"/>
  <c r="M46" i="7" s="1"/>
  <c r="AQ92" i="2"/>
  <c r="AV93" i="2" s="1"/>
  <c r="AQ89" i="2"/>
  <c r="M45" i="7" s="1"/>
  <c r="G44" i="7"/>
  <c r="AK92" i="2"/>
  <c r="AK94" i="2" s="1"/>
  <c r="AK90" i="2"/>
  <c r="G46" i="7" s="1"/>
  <c r="U44" i="7"/>
  <c r="AY90" i="2"/>
  <c r="AY89" i="2"/>
  <c r="AY92" i="2"/>
  <c r="BD93" i="2" s="1"/>
  <c r="AY262" i="2"/>
  <c r="AY263" i="2"/>
  <c r="AP94" i="2"/>
  <c r="BA28" i="4"/>
  <c r="AY30" i="4"/>
  <c r="BF94" i="2"/>
  <c r="BF93" i="2"/>
  <c r="N53" i="7"/>
  <c r="AR118" i="2"/>
  <c r="AR119" i="2" s="1"/>
  <c r="AR105" i="2"/>
  <c r="AX94" i="2"/>
  <c r="AX93" i="2"/>
  <c r="AC51" i="7"/>
  <c r="V157" i="7"/>
  <c r="AZ256" i="2"/>
  <c r="BV47" i="2"/>
  <c r="CA48" i="2"/>
  <c r="BV46" i="2"/>
  <c r="BV49" i="2"/>
  <c r="T58" i="7"/>
  <c r="AX115" i="2"/>
  <c r="AM34" i="7"/>
  <c r="AT134" i="2"/>
  <c r="AT111" i="2"/>
  <c r="AT112" i="2" s="1"/>
  <c r="BZ42" i="2"/>
  <c r="BZ39" i="2"/>
  <c r="BZ40" i="2"/>
  <c r="BC112" i="2"/>
  <c r="BC286" i="2"/>
  <c r="BY26" i="4"/>
  <c r="N44" i="7"/>
  <c r="AR90" i="2"/>
  <c r="N46" i="7" s="1"/>
  <c r="AR89" i="2"/>
  <c r="N45" i="7" s="1"/>
  <c r="AR92" i="2"/>
  <c r="X148" i="7"/>
  <c r="BC246" i="2"/>
  <c r="BB247" i="2"/>
  <c r="BC106" i="2"/>
  <c r="Y54" i="7"/>
  <c r="BP163" i="3"/>
  <c r="BP159" i="3"/>
  <c r="AK128" i="7"/>
  <c r="BP226" i="2"/>
  <c r="BA114" i="2"/>
  <c r="AY153" i="3"/>
  <c r="AY148" i="3"/>
  <c r="BD151" i="3"/>
  <c r="AZ151" i="3"/>
  <c r="AS36" i="7"/>
  <c r="S44" i="7"/>
  <c r="AW89" i="2"/>
  <c r="AW92" i="2"/>
  <c r="AW263" i="2"/>
  <c r="AW90" i="2"/>
  <c r="AW262" i="2"/>
  <c r="BU151" i="3"/>
  <c r="BP148" i="3"/>
  <c r="BP153" i="3"/>
  <c r="Z58" i="7"/>
  <c r="BD115" i="2"/>
  <c r="BD157" i="3"/>
  <c r="BI160" i="3"/>
  <c r="BD162" i="3"/>
  <c r="BE160" i="3"/>
  <c r="BV160" i="3"/>
  <c r="BQ157" i="3"/>
  <c r="BQ162" i="3"/>
  <c r="BG111" i="2"/>
  <c r="BG109" i="2"/>
  <c r="BG134" i="2"/>
  <c r="AY105" i="2"/>
  <c r="AY118" i="2"/>
  <c r="AY119" i="2" s="1"/>
  <c r="U53" i="7"/>
  <c r="AK155" i="7"/>
  <c r="BP253" i="2"/>
  <c r="I5" i="5"/>
  <c r="I3" i="5"/>
  <c r="I75" i="5" s="1"/>
  <c r="J4" i="5"/>
  <c r="AL132" i="7"/>
  <c r="BQ230" i="2"/>
  <c r="AW102" i="2"/>
  <c r="AW118" i="2" s="1"/>
  <c r="S50" i="7"/>
  <c r="AZ101" i="2"/>
  <c r="AX136" i="2"/>
  <c r="AX137" i="2"/>
  <c r="AJ147" i="7"/>
  <c r="BO245" i="2"/>
  <c r="BG153" i="3"/>
  <c r="BL151" i="3"/>
  <c r="BG148" i="3"/>
  <c r="BW42" i="4"/>
  <c r="BY41" i="4"/>
  <c r="BC114" i="2"/>
  <c r="BG141" i="2"/>
  <c r="BH149" i="3"/>
  <c r="BH154" i="3"/>
  <c r="BH150" i="3"/>
  <c r="AM36" i="7"/>
  <c r="BU162" i="3"/>
  <c r="BU157" i="3"/>
  <c r="BZ160" i="3"/>
  <c r="BP172" i="3"/>
  <c r="BP168" i="3"/>
  <c r="AD53" i="7"/>
  <c r="BH118" i="2"/>
  <c r="BH119" i="2" s="1"/>
  <c r="BH105" i="2"/>
  <c r="BO234" i="2"/>
  <c r="AJ136" i="7"/>
  <c r="CB63" i="2"/>
  <c r="CB61" i="2"/>
  <c r="CB60" i="2"/>
  <c r="AW134" i="2"/>
  <c r="AW109" i="2"/>
  <c r="AY111" i="2"/>
  <c r="AY109" i="2"/>
  <c r="AY134" i="2"/>
  <c r="BF260" i="2"/>
  <c r="BF262" i="2" s="1"/>
  <c r="BF263" i="2"/>
  <c r="BF261" i="2"/>
  <c r="BD137" i="2"/>
  <c r="BD136" i="2"/>
  <c r="AB46" i="7"/>
  <c r="AL152" i="7"/>
  <c r="BQ250" i="2"/>
  <c r="BL159" i="3"/>
  <c r="BL163" i="3"/>
  <c r="AC44" i="7"/>
  <c r="BG90" i="2"/>
  <c r="BG89" i="2"/>
  <c r="BG92" i="2"/>
  <c r="BG263" i="2"/>
  <c r="BG262" i="2"/>
  <c r="AS136" i="2"/>
  <c r="AS137" i="2"/>
  <c r="BF196" i="3"/>
  <c r="Y46" i="7" l="1"/>
  <c r="AB45" i="7"/>
  <c r="BT68" i="3"/>
  <c r="BS74" i="3"/>
  <c r="C9" i="35"/>
  <c r="AZ134" i="2"/>
  <c r="AZ109" i="2"/>
  <c r="BY194" i="3"/>
  <c r="BK179" i="3"/>
  <c r="BK183" i="3" s="1"/>
  <c r="AX19" i="4"/>
  <c r="BD106" i="2"/>
  <c r="AU20" i="4"/>
  <c r="AV20" i="4"/>
  <c r="AZ31" i="4"/>
  <c r="CB282" i="2"/>
  <c r="AZ13" i="4"/>
  <c r="BA13" i="4"/>
  <c r="AY15" i="4"/>
  <c r="AS115" i="2"/>
  <c r="O59" i="7" s="1"/>
  <c r="AW18" i="4"/>
  <c r="AW54" i="4"/>
  <c r="AW60" i="4"/>
  <c r="AX22" i="4"/>
  <c r="AX23" i="4" s="1"/>
  <c r="AX56" i="4"/>
  <c r="CC282" i="2"/>
  <c r="BO176" i="2"/>
  <c r="AK85" i="7" s="1"/>
  <c r="AW119" i="2"/>
  <c r="AZ118" i="2"/>
  <c r="AZ119" i="2" s="1"/>
  <c r="AW111" i="2"/>
  <c r="AQ118" i="2"/>
  <c r="AQ119" i="2" s="1"/>
  <c r="BE118" i="2"/>
  <c r="BE119" i="2" s="1"/>
  <c r="AP118" i="2"/>
  <c r="AQ111" i="2"/>
  <c r="AQ114" i="2" s="1"/>
  <c r="BG93" i="2"/>
  <c r="BG94" i="2"/>
  <c r="BQ159" i="3"/>
  <c r="BQ163" i="3"/>
  <c r="BD265" i="2"/>
  <c r="Z63" i="7"/>
  <c r="BD264" i="2"/>
  <c r="BD138" i="2"/>
  <c r="BD209" i="2"/>
  <c r="Z114" i="7" s="1"/>
  <c r="AY112" i="2"/>
  <c r="AW137" i="2"/>
  <c r="AW136" i="2"/>
  <c r="BU163" i="3"/>
  <c r="BU159" i="3"/>
  <c r="BP245" i="2"/>
  <c r="AK147" i="7"/>
  <c r="AX265" i="2"/>
  <c r="AX138" i="2"/>
  <c r="AX264" i="2"/>
  <c r="T63" i="7"/>
  <c r="AX209" i="2"/>
  <c r="T114" i="7" s="1"/>
  <c r="BG286" i="2"/>
  <c r="BG112" i="2"/>
  <c r="N54" i="7"/>
  <c r="AR106" i="2"/>
  <c r="N55" i="7" s="1"/>
  <c r="BB172" i="3"/>
  <c r="BB174" i="3" s="1"/>
  <c r="BB175" i="3" s="1"/>
  <c r="BB168" i="3"/>
  <c r="BM168" i="3"/>
  <c r="BM172" i="3"/>
  <c r="X54" i="7"/>
  <c r="BB106" i="2"/>
  <c r="AZ158" i="3"/>
  <c r="AZ163" i="3"/>
  <c r="AZ159" i="3"/>
  <c r="AZ171" i="3"/>
  <c r="AZ170" i="3"/>
  <c r="AX30" i="7"/>
  <c r="AK127" i="7"/>
  <c r="BP225" i="2"/>
  <c r="M54" i="7"/>
  <c r="AQ106" i="2"/>
  <c r="M55" i="7" s="1"/>
  <c r="AJ74" i="7"/>
  <c r="BO163" i="2"/>
  <c r="AK74" i="7" s="1"/>
  <c r="BZ282" i="2"/>
  <c r="Y63" i="7"/>
  <c r="BC264" i="2"/>
  <c r="BC138" i="2"/>
  <c r="BC265" i="2"/>
  <c r="BC209" i="2"/>
  <c r="Y114" i="7" s="1"/>
  <c r="BC115" i="2"/>
  <c r="Y58" i="7"/>
  <c r="S51" i="7"/>
  <c r="BP154" i="3"/>
  <c r="BP174" i="3" s="1"/>
  <c r="BP150" i="3"/>
  <c r="X149" i="7"/>
  <c r="BB255" i="2"/>
  <c r="BG171" i="3"/>
  <c r="BL169" i="3"/>
  <c r="BG166" i="3"/>
  <c r="CD10" i="4"/>
  <c r="AT93" i="2"/>
  <c r="AT94" i="2"/>
  <c r="AZ85" i="2"/>
  <c r="AZ88" i="2"/>
  <c r="AZ86" i="2"/>
  <c r="BE85" i="2"/>
  <c r="BB29" i="4"/>
  <c r="BA31" i="4"/>
  <c r="BP163" i="2"/>
  <c r="AL37" i="7"/>
  <c r="BP73" i="2"/>
  <c r="BQ72" i="2"/>
  <c r="CA150" i="2"/>
  <c r="BZ149" i="2"/>
  <c r="BH94" i="2"/>
  <c r="BH93" i="2"/>
  <c r="BY195" i="3"/>
  <c r="CA282" i="2"/>
  <c r="AC54" i="7"/>
  <c r="BG106" i="2"/>
  <c r="AR137" i="2"/>
  <c r="AR136" i="2"/>
  <c r="AM152" i="7"/>
  <c r="BR250" i="2"/>
  <c r="AX36" i="7"/>
  <c r="BY42" i="4"/>
  <c r="BY43" i="4"/>
  <c r="BR230" i="2"/>
  <c r="AM132" i="7"/>
  <c r="BU153" i="3"/>
  <c r="BZ151" i="3"/>
  <c r="Y148" i="7"/>
  <c r="BD246" i="2"/>
  <c r="BC247" i="2"/>
  <c r="AV265" i="2"/>
  <c r="R63" i="7"/>
  <c r="AV138" i="2"/>
  <c r="AV264" i="2"/>
  <c r="AV209" i="2"/>
  <c r="BM36" i="4"/>
  <c r="BL38" i="4"/>
  <c r="O55" i="7"/>
  <c r="BE94" i="2"/>
  <c r="S54" i="7"/>
  <c r="AW106" i="2"/>
  <c r="AB63" i="7"/>
  <c r="BF265" i="2"/>
  <c r="BF138" i="2"/>
  <c r="AB114" i="7"/>
  <c r="CD26" i="4"/>
  <c r="AC45" i="7"/>
  <c r="K4" i="5"/>
  <c r="J3" i="5"/>
  <c r="J75" i="5" s="1"/>
  <c r="J5" i="5"/>
  <c r="BV162" i="3"/>
  <c r="BV157" i="3"/>
  <c r="CA160" i="3"/>
  <c r="AZ153" i="3"/>
  <c r="AZ152" i="3"/>
  <c r="CD33" i="4"/>
  <c r="BB112" i="2"/>
  <c r="BB286" i="2"/>
  <c r="BR163" i="3"/>
  <c r="BR159" i="3"/>
  <c r="AB59" i="7"/>
  <c r="AR114" i="2"/>
  <c r="AB55" i="7"/>
  <c r="BB167" i="3"/>
  <c r="BB200" i="3" s="1"/>
  <c r="BB198" i="3"/>
  <c r="AS138" i="2"/>
  <c r="O64" i="7" s="1"/>
  <c r="O63" i="7"/>
  <c r="AS209" i="2"/>
  <c r="O114" i="7" s="1"/>
  <c r="AC46" i="7"/>
  <c r="BH198" i="3"/>
  <c r="BH201" i="3" s="1"/>
  <c r="BM196" i="3"/>
  <c r="BG150" i="3"/>
  <c r="BG154" i="3"/>
  <c r="BG149" i="3"/>
  <c r="BE162" i="3"/>
  <c r="BE161" i="3"/>
  <c r="S46" i="7"/>
  <c r="BD153" i="3"/>
  <c r="BD148" i="3"/>
  <c r="BI151" i="3"/>
  <c r="BE151" i="3"/>
  <c r="AL128" i="7"/>
  <c r="BQ226" i="2"/>
  <c r="AR94" i="2"/>
  <c r="AR93" i="2"/>
  <c r="AT114" i="2"/>
  <c r="AR32" i="7"/>
  <c r="U45" i="7"/>
  <c r="D52" i="5"/>
  <c r="D54" i="5"/>
  <c r="CA194" i="3"/>
  <c r="CB194" i="3" s="1"/>
  <c r="CC194" i="3" s="1"/>
  <c r="AJ23" i="7"/>
  <c r="BH174" i="3"/>
  <c r="BH175" i="3" s="1"/>
  <c r="BH179" i="3" s="1"/>
  <c r="BH183" i="3" s="1"/>
  <c r="E43" i="1"/>
  <c r="BR20" i="2"/>
  <c r="BR23" i="2"/>
  <c r="BS22" i="2"/>
  <c r="BR21" i="2"/>
  <c r="AD45" i="7"/>
  <c r="AM134" i="7"/>
  <c r="BR232" i="2"/>
  <c r="BU168" i="3"/>
  <c r="BU172" i="3"/>
  <c r="CB160" i="3"/>
  <c r="BW157" i="3"/>
  <c r="BW162" i="3"/>
  <c r="Q63" i="7"/>
  <c r="AU264" i="2"/>
  <c r="AU160" i="2"/>
  <c r="AU138" i="2"/>
  <c r="AU265" i="2"/>
  <c r="BR153" i="3"/>
  <c r="BR148" i="3"/>
  <c r="BW151" i="3"/>
  <c r="R59" i="7"/>
  <c r="T59" i="7"/>
  <c r="V41" i="7"/>
  <c r="AR36" i="7"/>
  <c r="BM46" i="4"/>
  <c r="BL48" i="4"/>
  <c r="W55" i="7"/>
  <c r="CA195" i="3"/>
  <c r="CB195" i="3" s="1"/>
  <c r="CC195" i="3" s="1"/>
  <c r="BR30" i="3"/>
  <c r="BR33" i="3"/>
  <c r="BR31" i="3"/>
  <c r="P54" i="7"/>
  <c r="AT106" i="2"/>
  <c r="Z59" i="7"/>
  <c r="AY94" i="2"/>
  <c r="AY93" i="2"/>
  <c r="AK124" i="7"/>
  <c r="BP221" i="2"/>
  <c r="AZ104" i="2"/>
  <c r="AZ99" i="2"/>
  <c r="V49" i="7"/>
  <c r="CA63" i="2"/>
  <c r="CA61" i="2"/>
  <c r="CA60" i="2"/>
  <c r="BQ29" i="2"/>
  <c r="BP28" i="2"/>
  <c r="BP27" i="2"/>
  <c r="BP30" i="2"/>
  <c r="BZ171" i="3"/>
  <c r="BZ166" i="3"/>
  <c r="AY114" i="2"/>
  <c r="BL153" i="3"/>
  <c r="BQ151" i="3"/>
  <c r="BL148" i="3"/>
  <c r="U54" i="7"/>
  <c r="AY106" i="2"/>
  <c r="BG114" i="2"/>
  <c r="AY150" i="3"/>
  <c r="AY154" i="3"/>
  <c r="AZ154" i="3" s="1"/>
  <c r="AY149" i="3"/>
  <c r="AZ148" i="3"/>
  <c r="AT137" i="2"/>
  <c r="AT136" i="2"/>
  <c r="CA49" i="2"/>
  <c r="CA47" i="2"/>
  <c r="CA46" i="2"/>
  <c r="AY55" i="4"/>
  <c r="AZ30" i="4"/>
  <c r="AZ55" i="4" s="1"/>
  <c r="U46" i="7"/>
  <c r="BE111" i="2"/>
  <c r="X45" i="7"/>
  <c r="BU193" i="3"/>
  <c r="BU148" i="3" s="1"/>
  <c r="F44" i="5"/>
  <c r="G44" i="5"/>
  <c r="V42" i="7"/>
  <c r="AM141" i="7"/>
  <c r="BR239" i="2"/>
  <c r="AA46" i="7"/>
  <c r="AA54" i="7"/>
  <c r="C32" i="1"/>
  <c r="AV106" i="2"/>
  <c r="G54" i="7"/>
  <c r="BM37" i="4"/>
  <c r="BL39" i="4"/>
  <c r="L59" i="7"/>
  <c r="BB114" i="2"/>
  <c r="BH137" i="2"/>
  <c r="BH209" i="2" s="1"/>
  <c r="BH136" i="2"/>
  <c r="AR34" i="7"/>
  <c r="BP259" i="2"/>
  <c r="AL142" i="7"/>
  <c r="BQ240" i="2"/>
  <c r="AM21" i="7"/>
  <c r="AD46" i="7"/>
  <c r="Q50" i="7"/>
  <c r="AU102" i="2"/>
  <c r="Q51" i="7" s="1"/>
  <c r="AU104" i="2"/>
  <c r="N111" i="7"/>
  <c r="AS202" i="2"/>
  <c r="BM154" i="3"/>
  <c r="BM150" i="3"/>
  <c r="AX34" i="7"/>
  <c r="AY136" i="2"/>
  <c r="AY137" i="2"/>
  <c r="AK136" i="7"/>
  <c r="BP234" i="2"/>
  <c r="AL155" i="7"/>
  <c r="BQ253" i="2"/>
  <c r="BG137" i="2"/>
  <c r="BG209" i="2" s="1"/>
  <c r="BN160" i="3"/>
  <c r="BI157" i="3"/>
  <c r="BI162" i="3"/>
  <c r="BJ160" i="3"/>
  <c r="AW93" i="2"/>
  <c r="AW94" i="2"/>
  <c r="Y55" i="7"/>
  <c r="BB28" i="4"/>
  <c r="BA30" i="4"/>
  <c r="X46" i="7"/>
  <c r="AK144" i="7"/>
  <c r="BP242" i="2"/>
  <c r="F37" i="5"/>
  <c r="G37" i="5"/>
  <c r="CB42" i="4"/>
  <c r="CD41" i="4"/>
  <c r="L64" i="7"/>
  <c r="AP139" i="2"/>
  <c r="L65" i="7" s="1"/>
  <c r="AH135" i="7"/>
  <c r="BM233" i="2"/>
  <c r="BB137" i="2"/>
  <c r="BB136" i="2"/>
  <c r="AR30" i="7"/>
  <c r="BH286" i="2"/>
  <c r="BH112" i="2"/>
  <c r="CA56" i="2"/>
  <c r="CA54" i="2"/>
  <c r="CA53" i="2"/>
  <c r="I59" i="5"/>
  <c r="BI169" i="3"/>
  <c r="BD166" i="3"/>
  <c r="BE166" i="3" s="1"/>
  <c r="BD171" i="3"/>
  <c r="BQ16" i="3"/>
  <c r="BQ19" i="3"/>
  <c r="BR18" i="3"/>
  <c r="BQ17" i="3"/>
  <c r="AD54" i="7"/>
  <c r="BH106" i="2"/>
  <c r="BZ162" i="3"/>
  <c r="BZ157" i="3"/>
  <c r="BH141" i="2"/>
  <c r="V50" i="7"/>
  <c r="AZ102" i="2"/>
  <c r="BD159" i="3"/>
  <c r="BD163" i="3"/>
  <c r="BD158" i="3"/>
  <c r="BD199" i="3" s="1"/>
  <c r="BE157" i="3"/>
  <c r="S45" i="7"/>
  <c r="W58" i="7"/>
  <c r="BA115" i="2"/>
  <c r="BF116" i="2" s="1"/>
  <c r="AV30" i="7"/>
  <c r="AP93" i="2"/>
  <c r="AQ93" i="2"/>
  <c r="AQ94" i="2"/>
  <c r="BB93" i="2"/>
  <c r="BB94" i="2"/>
  <c r="T55" i="7"/>
  <c r="BE169" i="3"/>
  <c r="W157" i="7"/>
  <c r="BA256" i="2"/>
  <c r="BR171" i="3"/>
  <c r="BW169" i="3"/>
  <c r="BR166" i="3"/>
  <c r="BK45" i="4"/>
  <c r="BI47" i="4"/>
  <c r="BJ47" i="4" s="1"/>
  <c r="AA41" i="7"/>
  <c r="AX32" i="7"/>
  <c r="CA42" i="2"/>
  <c r="CA39" i="2"/>
  <c r="CA40" i="2"/>
  <c r="BH114" i="2"/>
  <c r="AQ137" i="2"/>
  <c r="AQ136" i="2"/>
  <c r="AY172" i="3"/>
  <c r="AY168" i="3"/>
  <c r="AZ166" i="3"/>
  <c r="BA138" i="2"/>
  <c r="W63" i="7"/>
  <c r="BA265" i="2"/>
  <c r="BA264" i="2"/>
  <c r="BA209" i="2"/>
  <c r="W114" i="7" s="1"/>
  <c r="BE137" i="2"/>
  <c r="BE136" i="2"/>
  <c r="AZ136" i="2" l="1"/>
  <c r="AZ137" i="2"/>
  <c r="AZ138" i="2" s="1"/>
  <c r="AZ111" i="2"/>
  <c r="AZ112" i="2" s="1"/>
  <c r="AW114" i="2"/>
  <c r="S58" i="7" s="1"/>
  <c r="AW112" i="2"/>
  <c r="AY174" i="3"/>
  <c r="AY175" i="3" s="1"/>
  <c r="Z55" i="7"/>
  <c r="AX116" i="2"/>
  <c r="T60" i="7" s="1"/>
  <c r="AS116" i="2"/>
  <c r="O60" i="7" s="1"/>
  <c r="AU118" i="2"/>
  <c r="AU119" i="2" s="1"/>
  <c r="AW20" i="4"/>
  <c r="AZ15" i="4"/>
  <c r="AY22" i="4"/>
  <c r="AY23" i="4" s="1"/>
  <c r="BB201" i="3"/>
  <c r="AX60" i="4"/>
  <c r="AX54" i="4"/>
  <c r="AX18" i="4"/>
  <c r="BB13" i="4"/>
  <c r="BA15" i="4"/>
  <c r="BA22" i="4" s="1"/>
  <c r="BA23" i="4" s="1"/>
  <c r="BB190" i="3"/>
  <c r="BG196" i="3"/>
  <c r="AY56" i="4"/>
  <c r="AQ112" i="2"/>
  <c r="AU111" i="2"/>
  <c r="AU112" i="2" s="1"/>
  <c r="BU154" i="3"/>
  <c r="BU174" i="3" s="1"/>
  <c r="BU150" i="3"/>
  <c r="AB60" i="7"/>
  <c r="M63" i="7"/>
  <c r="AQ138" i="2"/>
  <c r="M64" i="7" s="1"/>
  <c r="AW30" i="7"/>
  <c r="BR172" i="3"/>
  <c r="BR168" i="3"/>
  <c r="V51" i="7"/>
  <c r="BI159" i="3"/>
  <c r="BI163" i="3"/>
  <c r="BJ157" i="3"/>
  <c r="R55" i="7"/>
  <c r="AY167" i="3"/>
  <c r="AY190" i="3" s="1"/>
  <c r="BN46" i="4"/>
  <c r="BM48" i="4"/>
  <c r="BW159" i="3"/>
  <c r="BW163" i="3"/>
  <c r="AZ265" i="2"/>
  <c r="BG198" i="3"/>
  <c r="S55" i="7"/>
  <c r="Z148" i="7"/>
  <c r="BE246" i="2"/>
  <c r="BD247" i="2"/>
  <c r="AM37" i="7"/>
  <c r="BQ73" i="2"/>
  <c r="BR72" i="2"/>
  <c r="BQ163" i="2"/>
  <c r="AM74" i="7" s="1"/>
  <c r="BG167" i="3"/>
  <c r="BG200" i="3" s="1"/>
  <c r="BG168" i="3"/>
  <c r="BG172" i="3"/>
  <c r="BG174" i="3" s="1"/>
  <c r="BG175" i="3" s="1"/>
  <c r="BG179" i="3" s="1"/>
  <c r="X157" i="7"/>
  <c r="BB256" i="2"/>
  <c r="X55" i="7"/>
  <c r="BW171" i="3"/>
  <c r="CB169" i="3"/>
  <c r="BW166" i="3"/>
  <c r="M58" i="7"/>
  <c r="AQ115" i="2"/>
  <c r="BN162" i="3"/>
  <c r="BN157" i="3"/>
  <c r="BS160" i="3"/>
  <c r="BO160" i="3"/>
  <c r="AY265" i="2"/>
  <c r="AY264" i="2"/>
  <c r="AY138" i="2"/>
  <c r="BD139" i="2" s="1"/>
  <c r="U63" i="7"/>
  <c r="AY209" i="2"/>
  <c r="U114" i="7" s="1"/>
  <c r="AM142" i="7"/>
  <c r="BR240" i="2"/>
  <c r="BQ259" i="2"/>
  <c r="X58" i="7"/>
  <c r="BB115" i="2"/>
  <c r="U58" i="7"/>
  <c r="AY115" i="2"/>
  <c r="AL124" i="7"/>
  <c r="BQ221" i="2"/>
  <c r="CD195" i="3"/>
  <c r="CB157" i="3"/>
  <c r="CB162" i="3"/>
  <c r="CD194" i="3"/>
  <c r="AN152" i="7"/>
  <c r="BS250" i="2"/>
  <c r="BL166" i="3"/>
  <c r="BL171" i="3"/>
  <c r="BQ169" i="3"/>
  <c r="BQ225" i="2"/>
  <c r="AL127" i="7"/>
  <c r="G51" i="5"/>
  <c r="BE112" i="2"/>
  <c r="BE286" i="2"/>
  <c r="BE114" i="2"/>
  <c r="P55" i="7"/>
  <c r="AC55" i="7"/>
  <c r="AC58" i="7"/>
  <c r="BG115" i="2"/>
  <c r="Q71" i="7"/>
  <c r="AU177" i="2"/>
  <c r="AM128" i="7"/>
  <c r="BR226" i="2"/>
  <c r="N58" i="7"/>
  <c r="AR115" i="2"/>
  <c r="BF139" i="2"/>
  <c r="AB64" i="7"/>
  <c r="R114" i="7"/>
  <c r="BZ153" i="3"/>
  <c r="BC29" i="4"/>
  <c r="BB31" i="4"/>
  <c r="V44" i="7"/>
  <c r="AZ92" i="2"/>
  <c r="AZ89" i="2"/>
  <c r="AZ90" i="2"/>
  <c r="AZ263" i="2"/>
  <c r="AZ262" i="2"/>
  <c r="BE89" i="2"/>
  <c r="BE168" i="3"/>
  <c r="BE167" i="3"/>
  <c r="AZ172" i="3"/>
  <c r="AZ174" i="3" s="1"/>
  <c r="AZ175" i="3" s="1"/>
  <c r="AZ168" i="3"/>
  <c r="AZ167" i="3"/>
  <c r="BE171" i="3"/>
  <c r="BE172" i="3" s="1"/>
  <c r="BE170" i="3"/>
  <c r="BZ159" i="3"/>
  <c r="BZ163" i="3"/>
  <c r="BD167" i="3"/>
  <c r="BD200" i="3" s="1"/>
  <c r="BD172" i="3"/>
  <c r="BD168" i="3"/>
  <c r="X63" i="7"/>
  <c r="BB264" i="2"/>
  <c r="BB265" i="2"/>
  <c r="BB138" i="2"/>
  <c r="BB209" i="2"/>
  <c r="X114" i="7" s="1"/>
  <c r="AI135" i="7"/>
  <c r="BN233" i="2"/>
  <c r="AM155" i="7"/>
  <c r="BR253" i="2"/>
  <c r="U55" i="7"/>
  <c r="BL154" i="3"/>
  <c r="BL150" i="3"/>
  <c r="V53" i="7"/>
  <c r="AZ105" i="2"/>
  <c r="BS23" i="2"/>
  <c r="BU22" i="2"/>
  <c r="BS21" i="2"/>
  <c r="BS20" i="2"/>
  <c r="P58" i="7"/>
  <c r="AT115" i="2"/>
  <c r="L4" i="5"/>
  <c r="K3" i="5"/>
  <c r="K75" i="5" s="1"/>
  <c r="K5" i="5"/>
  <c r="BE163" i="3"/>
  <c r="BE158" i="3"/>
  <c r="BE159" i="3"/>
  <c r="AL144" i="7"/>
  <c r="BP176" i="2"/>
  <c r="BQ242" i="2"/>
  <c r="AC63" i="7"/>
  <c r="BG265" i="2"/>
  <c r="BG138" i="2"/>
  <c r="BG264" i="2"/>
  <c r="AC114" i="7"/>
  <c r="AW32" i="7"/>
  <c r="BZ172" i="3"/>
  <c r="BZ168" i="3"/>
  <c r="Q64" i="7"/>
  <c r="AU139" i="2"/>
  <c r="Q65" i="7" s="1"/>
  <c r="CD34" i="4"/>
  <c r="BN36" i="4"/>
  <c r="BO36" i="4" s="1"/>
  <c r="BM38" i="4"/>
  <c r="AZ114" i="2"/>
  <c r="AW34" i="7"/>
  <c r="O110" i="7"/>
  <c r="AS204" i="2"/>
  <c r="O111" i="7" s="1"/>
  <c r="AL23" i="7"/>
  <c r="T64" i="7"/>
  <c r="AX139" i="2"/>
  <c r="BA139" i="2"/>
  <c r="W64" i="7"/>
  <c r="BN169" i="3"/>
  <c r="BI171" i="3"/>
  <c r="BI166" i="3"/>
  <c r="BN37" i="4"/>
  <c r="BM39" i="4"/>
  <c r="AN141" i="7"/>
  <c r="BS239" i="2"/>
  <c r="BV151" i="3"/>
  <c r="BQ148" i="3"/>
  <c r="BQ153" i="3"/>
  <c r="BQ28" i="2"/>
  <c r="BQ30" i="2"/>
  <c r="BR29" i="2"/>
  <c r="BQ27" i="2"/>
  <c r="BS31" i="3"/>
  <c r="BS33" i="3"/>
  <c r="BU32" i="3"/>
  <c r="BS30" i="3"/>
  <c r="BH55" i="3"/>
  <c r="BH51" i="3" s="1"/>
  <c r="BH187" i="3"/>
  <c r="BH47" i="3"/>
  <c r="BH59" i="3"/>
  <c r="BE153" i="3"/>
  <c r="BE152" i="3"/>
  <c r="R64" i="7"/>
  <c r="AL74" i="7"/>
  <c r="Y59" i="7"/>
  <c r="BC116" i="2"/>
  <c r="S63" i="7"/>
  <c r="AW264" i="2"/>
  <c r="AW265" i="2"/>
  <c r="AW138" i="2"/>
  <c r="AW209" i="2"/>
  <c r="S114" i="7" s="1"/>
  <c r="BO46" i="4"/>
  <c r="CD43" i="4"/>
  <c r="CD42" i="4"/>
  <c r="Z64" i="7"/>
  <c r="AA63" i="7"/>
  <c r="C26" i="1"/>
  <c r="BE265" i="2"/>
  <c r="BE138" i="2"/>
  <c r="BE209" i="2"/>
  <c r="AA114" i="7" s="1"/>
  <c r="AD58" i="7"/>
  <c r="BH115" i="2"/>
  <c r="W59" i="7"/>
  <c r="BA116" i="2"/>
  <c r="BR16" i="3"/>
  <c r="BR19" i="3"/>
  <c r="BS18" i="3"/>
  <c r="BR17" i="3"/>
  <c r="BA55" i="4"/>
  <c r="BJ162" i="3"/>
  <c r="BJ161" i="3"/>
  <c r="Q53" i="7"/>
  <c r="AU105" i="2"/>
  <c r="BV193" i="3"/>
  <c r="AZ53" i="4"/>
  <c r="AZ17" i="4"/>
  <c r="AZ58" i="4"/>
  <c r="P63" i="7"/>
  <c r="AT138" i="2"/>
  <c r="P64" i="7" s="1"/>
  <c r="BW153" i="3"/>
  <c r="CB151" i="3"/>
  <c r="AN134" i="7"/>
  <c r="BS232" i="2"/>
  <c r="AN21" i="7"/>
  <c r="BN151" i="3"/>
  <c r="BI148" i="3"/>
  <c r="BI153" i="3"/>
  <c r="BJ151" i="3"/>
  <c r="CA157" i="3"/>
  <c r="CA162" i="3"/>
  <c r="BM174" i="3"/>
  <c r="BM175" i="3" s="1"/>
  <c r="BM179" i="3" s="1"/>
  <c r="BL45" i="4"/>
  <c r="BK47" i="4"/>
  <c r="AD55" i="7"/>
  <c r="BK55" i="3"/>
  <c r="BK51" i="3" s="1"/>
  <c r="BK187" i="3"/>
  <c r="BB30" i="4"/>
  <c r="BB55" i="4" s="1"/>
  <c r="BC28" i="4"/>
  <c r="AL136" i="7"/>
  <c r="BQ234" i="2"/>
  <c r="AD63" i="7"/>
  <c r="BH138" i="2"/>
  <c r="BH264" i="2"/>
  <c r="BH265" i="2"/>
  <c r="AD114" i="7"/>
  <c r="AY17" i="4"/>
  <c r="AY53" i="4"/>
  <c r="AY58" i="4"/>
  <c r="AZ149" i="3"/>
  <c r="AZ150" i="3"/>
  <c r="AW36" i="7"/>
  <c r="BR154" i="3"/>
  <c r="BR150" i="3"/>
  <c r="D72" i="5"/>
  <c r="D73" i="5" s="1"/>
  <c r="D56" i="5"/>
  <c r="BD154" i="3"/>
  <c r="BE154" i="3" s="1"/>
  <c r="BD150" i="3"/>
  <c r="BD149" i="3"/>
  <c r="BE148" i="3"/>
  <c r="BV163" i="3"/>
  <c r="BV159" i="3"/>
  <c r="Y149" i="7"/>
  <c r="BC255" i="2"/>
  <c r="BS230" i="2"/>
  <c r="AN132" i="7"/>
  <c r="N63" i="7"/>
  <c r="AR138" i="2"/>
  <c r="N64" i="7" s="1"/>
  <c r="AR209" i="2"/>
  <c r="N114" i="7" s="1"/>
  <c r="CB150" i="2"/>
  <c r="CA149" i="2"/>
  <c r="BC139" i="2"/>
  <c r="Y64" i="7"/>
  <c r="AL147" i="7"/>
  <c r="BQ245" i="2"/>
  <c r="AZ264" i="2" l="1"/>
  <c r="V63" i="7"/>
  <c r="AZ209" i="2"/>
  <c r="V114" i="7" s="1"/>
  <c r="F51" i="5"/>
  <c r="F54" i="5" s="1"/>
  <c r="BD196" i="3"/>
  <c r="AG8" i="7"/>
  <c r="AW115" i="2"/>
  <c r="AU114" i="2"/>
  <c r="Q58" i="7" s="1"/>
  <c r="E51" i="5"/>
  <c r="BA56" i="4"/>
  <c r="BA18" i="4" s="1"/>
  <c r="AY19" i="4"/>
  <c r="BE174" i="3"/>
  <c r="BE175" i="3" s="1"/>
  <c r="AY54" i="4"/>
  <c r="AY18" i="4"/>
  <c r="AY60" i="4"/>
  <c r="BD174" i="3"/>
  <c r="BD175" i="3" s="1"/>
  <c r="BL196" i="3"/>
  <c r="AX20" i="4"/>
  <c r="BG201" i="3"/>
  <c r="BC13" i="4"/>
  <c r="BB15" i="4"/>
  <c r="AZ22" i="4"/>
  <c r="AZ23" i="4" s="1"/>
  <c r="AZ56" i="4"/>
  <c r="AU286" i="2"/>
  <c r="BP175" i="3"/>
  <c r="BP179" i="3" s="1"/>
  <c r="BP183" i="3" s="1"/>
  <c r="AV139" i="2"/>
  <c r="CA163" i="3"/>
  <c r="CA159" i="3"/>
  <c r="BR28" i="2"/>
  <c r="BS29" i="2"/>
  <c r="BR27" i="2"/>
  <c r="BR30" i="2"/>
  <c r="W65" i="7"/>
  <c r="AA45" i="7"/>
  <c r="C21" i="1"/>
  <c r="Q86" i="7"/>
  <c r="AU208" i="2"/>
  <c r="AU200" i="2"/>
  <c r="BE115" i="2"/>
  <c r="AA58" i="7"/>
  <c r="BT250" i="2"/>
  <c r="AO152" i="7"/>
  <c r="CB159" i="3"/>
  <c r="CB163" i="3"/>
  <c r="Z149" i="7"/>
  <c r="BD255" i="2"/>
  <c r="V64" i="7"/>
  <c r="AZ139" i="2"/>
  <c r="AO132" i="7"/>
  <c r="BT230" i="2"/>
  <c r="BE149" i="3"/>
  <c r="BE150" i="3"/>
  <c r="BD28" i="4"/>
  <c r="BC30" i="4"/>
  <c r="BC55" i="4" s="1"/>
  <c r="BE28" i="4"/>
  <c r="BG28" i="4" s="1"/>
  <c r="BP37" i="4"/>
  <c r="BN39" i="4"/>
  <c r="BO39" i="4" s="1"/>
  <c r="AT116" i="2"/>
  <c r="P60" i="7" s="1"/>
  <c r="P59" i="7"/>
  <c r="X64" i="7"/>
  <c r="BB139" i="2"/>
  <c r="AQ116" i="2"/>
  <c r="M60" i="7" s="1"/>
  <c r="M59" i="7"/>
  <c r="AV116" i="2"/>
  <c r="AA148" i="7"/>
  <c r="BE247" i="2"/>
  <c r="BP46" i="4"/>
  <c r="BN48" i="4"/>
  <c r="BO48" i="4" s="1"/>
  <c r="BJ159" i="3"/>
  <c r="BJ163" i="3"/>
  <c r="AD64" i="7"/>
  <c r="BH139" i="2"/>
  <c r="BJ153" i="3"/>
  <c r="BJ152" i="3"/>
  <c r="BT232" i="2"/>
  <c r="AO134" i="7"/>
  <c r="BK43" i="3"/>
  <c r="AG7" i="7"/>
  <c r="BK14" i="3"/>
  <c r="BK6" i="4"/>
  <c r="BK42" i="3"/>
  <c r="AO141" i="7"/>
  <c r="BT239" i="2"/>
  <c r="L5" i="5"/>
  <c r="M4" i="5"/>
  <c r="L3" i="5"/>
  <c r="L75" i="5" s="1"/>
  <c r="CB166" i="3"/>
  <c r="CB171" i="3"/>
  <c r="BA53" i="4"/>
  <c r="BA17" i="4"/>
  <c r="BA58" i="4"/>
  <c r="BI172" i="3"/>
  <c r="BI168" i="3"/>
  <c r="AZ115" i="2"/>
  <c r="V58" i="7"/>
  <c r="AC64" i="7"/>
  <c r="BG139" i="2"/>
  <c r="AL85" i="7"/>
  <c r="V54" i="7"/>
  <c r="AZ106" i="2"/>
  <c r="BE106" i="2"/>
  <c r="BS226" i="2"/>
  <c r="AN128" i="7"/>
  <c r="AM127" i="7"/>
  <c r="BR225" i="2"/>
  <c r="BS157" i="3"/>
  <c r="BS162" i="3"/>
  <c r="BX160" i="3"/>
  <c r="BT160" i="3"/>
  <c r="BJ166" i="3"/>
  <c r="Y65" i="7"/>
  <c r="CC150" i="2"/>
  <c r="CC149" i="2" s="1"/>
  <c r="CB149" i="2"/>
  <c r="Y157" i="7"/>
  <c r="BC256" i="2"/>
  <c r="BD190" i="3"/>
  <c r="BI196" i="3"/>
  <c r="BD198" i="3"/>
  <c r="BD201" i="3" s="1"/>
  <c r="BM183" i="3"/>
  <c r="BM12" i="3"/>
  <c r="BM7" i="3" s="1"/>
  <c r="Z65" i="7"/>
  <c r="BD29" i="4"/>
  <c r="BC31" i="4"/>
  <c r="AR116" i="2"/>
  <c r="N60" i="7" s="1"/>
  <c r="N59" i="7"/>
  <c r="AC59" i="7"/>
  <c r="BG116" i="2"/>
  <c r="AN142" i="7"/>
  <c r="BS240" i="2"/>
  <c r="BR259" i="2"/>
  <c r="BW168" i="3"/>
  <c r="BW172" i="3"/>
  <c r="BR163" i="2"/>
  <c r="AN37" i="7"/>
  <c r="BR73" i="2"/>
  <c r="BS72" i="2"/>
  <c r="BW193" i="3"/>
  <c r="CB153" i="3" s="1"/>
  <c r="BS19" i="3"/>
  <c r="BU18" i="3"/>
  <c r="BS17" i="3"/>
  <c r="BS16" i="3"/>
  <c r="AA64" i="7"/>
  <c r="BE139" i="2"/>
  <c r="BU33" i="3"/>
  <c r="BV32" i="3"/>
  <c r="BU31" i="3"/>
  <c r="BU30" i="3"/>
  <c r="T65" i="7"/>
  <c r="AM144" i="7"/>
  <c r="BR242" i="2"/>
  <c r="BQ176" i="2"/>
  <c r="AM85" i="7" s="1"/>
  <c r="V46" i="7"/>
  <c r="G52" i="5"/>
  <c r="G54" i="5"/>
  <c r="BO161" i="3"/>
  <c r="BO162" i="3"/>
  <c r="BM45" i="4"/>
  <c r="BL47" i="4"/>
  <c r="E52" i="5"/>
  <c r="E54" i="5"/>
  <c r="BI150" i="3"/>
  <c r="BI154" i="3"/>
  <c r="BJ154" i="3" s="1"/>
  <c r="BJ148" i="3"/>
  <c r="S64" i="7"/>
  <c r="AW139" i="2"/>
  <c r="BQ150" i="3"/>
  <c r="BQ154" i="3"/>
  <c r="AO21" i="7"/>
  <c r="V45" i="7"/>
  <c r="AB65" i="7"/>
  <c r="BV169" i="3"/>
  <c r="BQ171" i="3"/>
  <c r="BQ166" i="3"/>
  <c r="BR221" i="2"/>
  <c r="AM124" i="7"/>
  <c r="BN163" i="3"/>
  <c r="BN159" i="3"/>
  <c r="BO157" i="3"/>
  <c r="BG183" i="3"/>
  <c r="BR174" i="3"/>
  <c r="BB53" i="4"/>
  <c r="BB17" i="4"/>
  <c r="BB58" i="4"/>
  <c r="BS151" i="3"/>
  <c r="BN148" i="3"/>
  <c r="BN153" i="3"/>
  <c r="BO151" i="3"/>
  <c r="W60" i="7"/>
  <c r="CA151" i="3"/>
  <c r="BV148" i="3"/>
  <c r="BV153" i="3"/>
  <c r="BS169" i="3"/>
  <c r="BN171" i="3"/>
  <c r="BN166" i="3"/>
  <c r="BO166" i="3" s="1"/>
  <c r="F52" i="5"/>
  <c r="BP36" i="4"/>
  <c r="BN38" i="4"/>
  <c r="BO38" i="4" s="1"/>
  <c r="BO233" i="2"/>
  <c r="AJ135" i="7"/>
  <c r="AZ94" i="2"/>
  <c r="AZ93" i="2"/>
  <c r="BE93" i="2"/>
  <c r="AM147" i="7"/>
  <c r="BR245" i="2"/>
  <c r="AM136" i="7"/>
  <c r="BR234" i="2"/>
  <c r="AZ19" i="4"/>
  <c r="Q54" i="7"/>
  <c r="AU106" i="2"/>
  <c r="BH116" i="2"/>
  <c r="AD59" i="7"/>
  <c r="Y60" i="7"/>
  <c r="AM23" i="7"/>
  <c r="BO37" i="4"/>
  <c r="BU23" i="2"/>
  <c r="BV22" i="2"/>
  <c r="BU21" i="2"/>
  <c r="BU20" i="2"/>
  <c r="AN155" i="7"/>
  <c r="BS253" i="2"/>
  <c r="BL172" i="3"/>
  <c r="BL174" i="3" s="1"/>
  <c r="BL175" i="3" s="1"/>
  <c r="BL179" i="3" s="1"/>
  <c r="BL183" i="3" s="1"/>
  <c r="BL168" i="3"/>
  <c r="U59" i="7"/>
  <c r="AY116" i="2"/>
  <c r="BD116" i="2"/>
  <c r="BB116" i="2"/>
  <c r="X59" i="7"/>
  <c r="U64" i="7"/>
  <c r="AY139" i="2"/>
  <c r="S59" i="7" l="1"/>
  <c r="BA54" i="4"/>
  <c r="AW116" i="2"/>
  <c r="AU115" i="2"/>
  <c r="AY20" i="4"/>
  <c r="BA60" i="4"/>
  <c r="BA20" i="4" s="1"/>
  <c r="BK11" i="2"/>
  <c r="AG14" i="7" s="1"/>
  <c r="BK21" i="3"/>
  <c r="AZ54" i="4"/>
  <c r="AZ18" i="4"/>
  <c r="AZ60" i="4"/>
  <c r="BB56" i="4"/>
  <c r="BB22" i="4"/>
  <c r="BB23" i="4" s="1"/>
  <c r="BI174" i="3"/>
  <c r="BD13" i="4"/>
  <c r="BC15" i="4"/>
  <c r="BE13" i="4"/>
  <c r="BG13" i="4" s="1"/>
  <c r="BP12" i="3"/>
  <c r="BP7" i="3" s="1"/>
  <c r="AL8" i="7" s="1"/>
  <c r="R65" i="7"/>
  <c r="BA19" i="4"/>
  <c r="BB19" i="4"/>
  <c r="BN150" i="3"/>
  <c r="BN154" i="3"/>
  <c r="BO154" i="3" s="1"/>
  <c r="BO148" i="3"/>
  <c r="CA153" i="3"/>
  <c r="BX151" i="3"/>
  <c r="BS148" i="3"/>
  <c r="BS153" i="3"/>
  <c r="BT151" i="3"/>
  <c r="BJ150" i="3"/>
  <c r="BS163" i="2"/>
  <c r="AO74" i="7" s="1"/>
  <c r="BS73" i="2"/>
  <c r="AO37" i="7"/>
  <c r="BU72" i="2"/>
  <c r="AO142" i="7"/>
  <c r="BS259" i="2"/>
  <c r="BT240" i="2"/>
  <c r="AA55" i="7"/>
  <c r="AD65" i="7"/>
  <c r="X65" i="7"/>
  <c r="Z157" i="7"/>
  <c r="BD256" i="2"/>
  <c r="X60" i="7"/>
  <c r="BL12" i="3"/>
  <c r="BL7" i="3" s="1"/>
  <c r="Q55" i="7"/>
  <c r="BN168" i="3"/>
  <c r="BN172" i="3"/>
  <c r="BG55" i="3"/>
  <c r="BG51" i="3" s="1"/>
  <c r="BG187" i="3"/>
  <c r="BG59" i="3"/>
  <c r="BG47" i="3"/>
  <c r="BQ168" i="3"/>
  <c r="BQ172" i="3"/>
  <c r="BQ174" i="3" s="1"/>
  <c r="BJ168" i="3"/>
  <c r="BJ169" i="3"/>
  <c r="AN127" i="7"/>
  <c r="BS225" i="2"/>
  <c r="S60" i="7"/>
  <c r="BQ46" i="4"/>
  <c r="BP48" i="4"/>
  <c r="BU230" i="2"/>
  <c r="AP132" i="7"/>
  <c r="F56" i="5"/>
  <c r="F72" i="5"/>
  <c r="BS163" i="3"/>
  <c r="BS159" i="3"/>
  <c r="BT157" i="3"/>
  <c r="AG20" i="7"/>
  <c r="BQ37" i="4"/>
  <c r="BP39" i="4"/>
  <c r="AN136" i="7"/>
  <c r="BS234" i="2"/>
  <c r="BO159" i="3"/>
  <c r="BO163" i="3"/>
  <c r="BF29" i="4"/>
  <c r="BD31" i="4"/>
  <c r="BE31" i="4" s="1"/>
  <c r="BK50" i="4"/>
  <c r="BK7" i="4"/>
  <c r="BK44" i="4"/>
  <c r="BK11" i="4"/>
  <c r="BK35" i="4"/>
  <c r="BK27" i="4"/>
  <c r="AN23" i="7"/>
  <c r="U60" i="7"/>
  <c r="BS171" i="3"/>
  <c r="BX169" i="3"/>
  <c r="BS166" i="3"/>
  <c r="BT166" i="3" s="1"/>
  <c r="M3" i="5"/>
  <c r="M75" i="5" s="1"/>
  <c r="N4" i="5"/>
  <c r="M5" i="5"/>
  <c r="BK15" i="3"/>
  <c r="BH28" i="4"/>
  <c r="BG30" i="4"/>
  <c r="BG55" i="4" s="1"/>
  <c r="BS27" i="2"/>
  <c r="BS28" i="2"/>
  <c r="BS30" i="2"/>
  <c r="BU29" i="2"/>
  <c r="AK135" i="7"/>
  <c r="BP233" i="2"/>
  <c r="E72" i="5"/>
  <c r="E73" i="5" s="1"/>
  <c r="E56" i="5"/>
  <c r="BS242" i="2"/>
  <c r="AN144" i="7"/>
  <c r="BR176" i="2"/>
  <c r="AN85" i="7" s="1"/>
  <c r="BU19" i="3"/>
  <c r="BV18" i="3"/>
  <c r="BU17" i="3"/>
  <c r="BU16" i="3"/>
  <c r="BM187" i="3"/>
  <c r="BM55" i="3"/>
  <c r="BM50" i="3" s="1"/>
  <c r="BM49" i="3" s="1"/>
  <c r="BT161" i="3"/>
  <c r="BT162" i="3"/>
  <c r="BU232" i="2"/>
  <c r="AP134" i="7"/>
  <c r="BC17" i="4"/>
  <c r="BC53" i="4"/>
  <c r="BC58" i="4"/>
  <c r="AA59" i="7"/>
  <c r="BE116" i="2"/>
  <c r="BO168" i="3"/>
  <c r="BO169" i="3"/>
  <c r="AN147" i="7"/>
  <c r="BS245" i="2"/>
  <c r="BV150" i="3"/>
  <c r="BV154" i="3"/>
  <c r="BN45" i="4"/>
  <c r="BO45" i="4" s="1"/>
  <c r="BM47" i="4"/>
  <c r="AO128" i="7"/>
  <c r="BT226" i="2"/>
  <c r="BP196" i="3"/>
  <c r="AA149" i="7"/>
  <c r="BE255" i="2"/>
  <c r="AA157" i="7" s="1"/>
  <c r="C42" i="1"/>
  <c r="AP152" i="7"/>
  <c r="BU250" i="2"/>
  <c r="CA169" i="3"/>
  <c r="BV171" i="3"/>
  <c r="BV166" i="3"/>
  <c r="S65" i="7"/>
  <c r="AN74" i="7"/>
  <c r="AI8" i="7"/>
  <c r="BM6" i="3"/>
  <c r="V55" i="7"/>
  <c r="AB148" i="7"/>
  <c r="AQ21" i="7"/>
  <c r="U65" i="7"/>
  <c r="AD60" i="7"/>
  <c r="BO153" i="3"/>
  <c r="BO152" i="3"/>
  <c r="BT72" i="2"/>
  <c r="BV33" i="3"/>
  <c r="BW32" i="3"/>
  <c r="BV31" i="3"/>
  <c r="BV30" i="3"/>
  <c r="AC60" i="7"/>
  <c r="BX162" i="3"/>
  <c r="BX157" i="3"/>
  <c r="CC160" i="3"/>
  <c r="BY160" i="3"/>
  <c r="BU239" i="2"/>
  <c r="AP141" i="7"/>
  <c r="AG22" i="7"/>
  <c r="R60" i="7"/>
  <c r="BF28" i="4"/>
  <c r="BD30" i="4"/>
  <c r="BE29" i="4"/>
  <c r="BG29" i="4" s="1"/>
  <c r="AN124" i="7"/>
  <c r="BS221" i="2"/>
  <c r="AA65" i="7"/>
  <c r="V59" i="7"/>
  <c r="AZ116" i="2"/>
  <c r="CB168" i="3"/>
  <c r="CB172" i="3"/>
  <c r="AU211" i="2"/>
  <c r="AU209" i="2"/>
  <c r="Q114" i="7" s="1"/>
  <c r="Q113" i="7"/>
  <c r="Z60" i="7"/>
  <c r="AO155" i="7"/>
  <c r="BT253" i="2"/>
  <c r="BP187" i="3"/>
  <c r="BP55" i="3"/>
  <c r="G56" i="5"/>
  <c r="G72" i="5"/>
  <c r="V65" i="7"/>
  <c r="BV23" i="2"/>
  <c r="BW22" i="2"/>
  <c r="BV21" i="2"/>
  <c r="BV20" i="2"/>
  <c r="BQ36" i="4"/>
  <c r="BP38" i="4"/>
  <c r="BX193" i="3"/>
  <c r="BY193" i="3" s="1"/>
  <c r="BW148" i="3"/>
  <c r="AC65" i="7"/>
  <c r="Q108" i="7"/>
  <c r="AU204" i="2"/>
  <c r="AU116" i="2" l="1"/>
  <c r="Q60" i="7" s="1"/>
  <c r="Q59" i="7"/>
  <c r="BI175" i="3"/>
  <c r="BI179" i="3" s="1"/>
  <c r="BK12" i="2"/>
  <c r="AG15" i="7" s="1"/>
  <c r="BK22" i="3"/>
  <c r="BK23" i="3"/>
  <c r="AZ20" i="4"/>
  <c r="BP52" i="3"/>
  <c r="BP54" i="3"/>
  <c r="BG15" i="4"/>
  <c r="BG22" i="4" s="1"/>
  <c r="BG23" i="4" s="1"/>
  <c r="BH13" i="4"/>
  <c r="BB60" i="4"/>
  <c r="BB18" i="4"/>
  <c r="BB54" i="4"/>
  <c r="BC56" i="4"/>
  <c r="BC22" i="4"/>
  <c r="BC23" i="4" s="1"/>
  <c r="BF13" i="4"/>
  <c r="BF15" i="4" s="1"/>
  <c r="BD15" i="4"/>
  <c r="BD56" i="4" s="1"/>
  <c r="BN174" i="3"/>
  <c r="BP6" i="3"/>
  <c r="BP6" i="4" s="1"/>
  <c r="BR36" i="4"/>
  <c r="BQ38" i="4"/>
  <c r="BW21" i="2"/>
  <c r="BW20" i="2"/>
  <c r="BW23" i="2"/>
  <c r="BX22" i="2"/>
  <c r="BX163" i="3"/>
  <c r="BX159" i="3"/>
  <c r="BY157" i="3"/>
  <c r="V60" i="7"/>
  <c r="BH29" i="4"/>
  <c r="BG31" i="4"/>
  <c r="BG56" i="4" s="1"/>
  <c r="BF30" i="4"/>
  <c r="BC19" i="4"/>
  <c r="BG17" i="4"/>
  <c r="BG53" i="4"/>
  <c r="BG58" i="4"/>
  <c r="BF31" i="4"/>
  <c r="BO150" i="3"/>
  <c r="BZ193" i="3"/>
  <c r="J28" i="5"/>
  <c r="AP37" i="7"/>
  <c r="BT73" i="2"/>
  <c r="AO147" i="7"/>
  <c r="BT245" i="2"/>
  <c r="AO144" i="7"/>
  <c r="BT242" i="2"/>
  <c r="BS176" i="2"/>
  <c r="AO85" i="7" s="1"/>
  <c r="BI28" i="4"/>
  <c r="BJ28" i="4" s="1"/>
  <c r="BH30" i="4"/>
  <c r="BH55" i="4" s="1"/>
  <c r="BT159" i="3"/>
  <c r="BT163" i="3"/>
  <c r="BS154" i="3"/>
  <c r="BT154" i="3" s="1"/>
  <c r="BS150" i="3"/>
  <c r="BT148" i="3"/>
  <c r="G73" i="5"/>
  <c r="C37" i="1"/>
  <c r="BD55" i="4"/>
  <c r="BE30" i="4"/>
  <c r="BE55" i="4" s="1"/>
  <c r="BW31" i="3"/>
  <c r="BW30" i="3"/>
  <c r="BW33" i="3"/>
  <c r="BX32" i="3"/>
  <c r="BM11" i="2"/>
  <c r="BT153" i="3"/>
  <c r="BT152" i="3"/>
  <c r="AE8" i="7"/>
  <c r="AU212" i="2"/>
  <c r="Q117" i="7" s="1"/>
  <c r="Q116" i="7"/>
  <c r="AZ212" i="2"/>
  <c r="V117" i="7" s="1"/>
  <c r="AB149" i="7"/>
  <c r="BP45" i="4"/>
  <c r="BN47" i="4"/>
  <c r="BO47" i="4" s="1"/>
  <c r="AG73" i="7"/>
  <c r="AC148" i="7"/>
  <c r="AI7" i="7"/>
  <c r="BM42" i="3"/>
  <c r="BM6" i="4"/>
  <c r="BM14" i="3"/>
  <c r="BM15" i="3" s="1"/>
  <c r="BM43" i="3"/>
  <c r="BM18" i="2"/>
  <c r="BM158" i="3"/>
  <c r="BM25" i="2"/>
  <c r="BM167" i="3"/>
  <c r="BM149" i="3"/>
  <c r="CA171" i="3"/>
  <c r="CA166" i="3"/>
  <c r="BR175" i="3"/>
  <c r="BR179" i="3" s="1"/>
  <c r="AL135" i="7"/>
  <c r="BQ233" i="2"/>
  <c r="CC169" i="3"/>
  <c r="BX171" i="3"/>
  <c r="BX166" i="3"/>
  <c r="AO127" i="7"/>
  <c r="BT225" i="2"/>
  <c r="BW150" i="3"/>
  <c r="BW154" i="3"/>
  <c r="BW174" i="3" s="1"/>
  <c r="BR37" i="4"/>
  <c r="BQ39" i="4"/>
  <c r="BR46" i="4"/>
  <c r="BQ48" i="4"/>
  <c r="BV168" i="3"/>
  <c r="BV172" i="3"/>
  <c r="BV174" i="3" s="1"/>
  <c r="F73" i="5"/>
  <c r="BK52" i="4"/>
  <c r="BK51" i="4"/>
  <c r="AU206" i="2"/>
  <c r="AV202" i="2"/>
  <c r="Q111" i="7"/>
  <c r="AR21" i="7"/>
  <c r="AP155" i="7"/>
  <c r="BU253" i="2"/>
  <c r="BY162" i="3"/>
  <c r="BY161" i="3"/>
  <c r="BV250" i="2"/>
  <c r="AQ152" i="7"/>
  <c r="AP128" i="7"/>
  <c r="BU226" i="2"/>
  <c r="BO170" i="3"/>
  <c r="BO171" i="3"/>
  <c r="BO172" i="3" s="1"/>
  <c r="BO174" i="3" s="1"/>
  <c r="AA60" i="7"/>
  <c r="BV17" i="3"/>
  <c r="BV19" i="3"/>
  <c r="BW18" i="3"/>
  <c r="BV16" i="3"/>
  <c r="AO23" i="7"/>
  <c r="N3" i="5"/>
  <c r="N75" i="5" s="1"/>
  <c r="N5" i="5"/>
  <c r="O4" i="5"/>
  <c r="BT234" i="2"/>
  <c r="AO136" i="7"/>
  <c r="BL187" i="3"/>
  <c r="BL55" i="3"/>
  <c r="BL50" i="3" s="1"/>
  <c r="BL49" i="3" s="1"/>
  <c r="BQ53" i="3" s="1"/>
  <c r="AQ141" i="7"/>
  <c r="BV239" i="2"/>
  <c r="BU27" i="2"/>
  <c r="BU30" i="2"/>
  <c r="BU28" i="2"/>
  <c r="BV29" i="2"/>
  <c r="AQ132" i="7"/>
  <c r="BV230" i="2"/>
  <c r="BT168" i="3"/>
  <c r="BT169" i="3"/>
  <c r="CC151" i="3"/>
  <c r="BX148" i="3"/>
  <c r="BY148" i="3" s="1"/>
  <c r="BX153" i="3"/>
  <c r="BY151" i="3"/>
  <c r="BS172" i="3"/>
  <c r="BS168" i="3"/>
  <c r="AP142" i="7"/>
  <c r="BU240" i="2"/>
  <c r="BT259" i="2"/>
  <c r="F43" i="1" s="1"/>
  <c r="AO124" i="7"/>
  <c r="BT221" i="2"/>
  <c r="CC162" i="3"/>
  <c r="CC157" i="3"/>
  <c r="CD160" i="3"/>
  <c r="BT163" i="2"/>
  <c r="AP74" i="7" s="1"/>
  <c r="AQ134" i="7"/>
  <c r="BV232" i="2"/>
  <c r="BJ171" i="3"/>
  <c r="BJ172" i="3" s="1"/>
  <c r="BJ174" i="3" s="1"/>
  <c r="BJ170" i="3"/>
  <c r="AH8" i="7"/>
  <c r="BL6" i="3"/>
  <c r="AQ37" i="7"/>
  <c r="BU163" i="2"/>
  <c r="BU73" i="2"/>
  <c r="BV72" i="2"/>
  <c r="BL11" i="2" l="1"/>
  <c r="BL65" i="2"/>
  <c r="BO65" i="2" s="1"/>
  <c r="BF56" i="4"/>
  <c r="BF18" i="4" s="1"/>
  <c r="BJ179" i="3"/>
  <c r="BI183" i="3"/>
  <c r="BP51" i="3"/>
  <c r="BP50" i="3" s="1"/>
  <c r="BP49" i="3" s="1"/>
  <c r="BP11" i="2" s="1"/>
  <c r="BC54" i="4"/>
  <c r="BC60" i="4"/>
  <c r="BC18" i="4"/>
  <c r="BF22" i="4"/>
  <c r="BF23" i="4" s="1"/>
  <c r="BB20" i="4"/>
  <c r="BI13" i="4"/>
  <c r="BH15" i="4"/>
  <c r="BH22" i="4" s="1"/>
  <c r="BH23" i="4" s="1"/>
  <c r="BE15" i="4"/>
  <c r="BD22" i="4"/>
  <c r="BD23" i="4" s="1"/>
  <c r="BP42" i="3"/>
  <c r="BU175" i="3"/>
  <c r="BU179" i="3" s="1"/>
  <c r="BU12" i="3" s="1"/>
  <c r="BU7" i="3" s="1"/>
  <c r="AL7" i="7"/>
  <c r="BP149" i="3"/>
  <c r="BP43" i="3"/>
  <c r="BP167" i="3"/>
  <c r="BP158" i="3"/>
  <c r="BP14" i="3"/>
  <c r="BP21" i="3" s="1"/>
  <c r="BP22" i="3" s="1"/>
  <c r="BP25" i="2"/>
  <c r="AL22" i="7" s="1"/>
  <c r="BP18" i="2"/>
  <c r="AL20" i="7" s="1"/>
  <c r="BS174" i="3"/>
  <c r="BM21" i="3"/>
  <c r="BM22" i="3" s="1"/>
  <c r="BG19" i="4"/>
  <c r="BS37" i="4"/>
  <c r="BR39" i="4"/>
  <c r="CC171" i="3"/>
  <c r="CC166" i="3"/>
  <c r="CD166" i="3" s="1"/>
  <c r="AI22" i="7"/>
  <c r="BM162" i="2"/>
  <c r="BM26" i="2"/>
  <c r="AI14" i="7"/>
  <c r="BM12" i="2"/>
  <c r="AI15" i="7" s="1"/>
  <c r="BD17" i="4"/>
  <c r="BD53" i="4"/>
  <c r="BD58" i="4"/>
  <c r="AP144" i="7"/>
  <c r="BU242" i="2"/>
  <c r="CA193" i="3"/>
  <c r="BZ148" i="3"/>
  <c r="BG54" i="4"/>
  <c r="BG18" i="4"/>
  <c r="BG60" i="4"/>
  <c r="BX20" i="2"/>
  <c r="BX23" i="2"/>
  <c r="BZ22" i="2"/>
  <c r="BX21" i="2"/>
  <c r="AQ128" i="7"/>
  <c r="BV226" i="2"/>
  <c r="BQ45" i="4"/>
  <c r="BP47" i="4"/>
  <c r="BX33" i="3"/>
  <c r="BZ32" i="3"/>
  <c r="BX30" i="3"/>
  <c r="BX31" i="3"/>
  <c r="AQ142" i="7"/>
  <c r="BU259" i="2"/>
  <c r="BV240" i="2"/>
  <c r="CC153" i="3"/>
  <c r="CD151" i="3"/>
  <c r="BR12" i="3"/>
  <c r="BR7" i="3" s="1"/>
  <c r="BR183" i="3"/>
  <c r="BM50" i="4"/>
  <c r="BM7" i="4"/>
  <c r="BM27" i="4"/>
  <c r="BM11" i="4"/>
  <c r="BM35" i="4"/>
  <c r="BM44" i="4"/>
  <c r="AE7" i="7"/>
  <c r="BI6" i="4"/>
  <c r="BI43" i="3"/>
  <c r="BJ30" i="3"/>
  <c r="BI14" i="3"/>
  <c r="BJ6" i="3"/>
  <c r="BJ175" i="3" s="1"/>
  <c r="BI42" i="3"/>
  <c r="BI158" i="3"/>
  <c r="BI149" i="3"/>
  <c r="BI167" i="3"/>
  <c r="BL6" i="4"/>
  <c r="AH7" i="7"/>
  <c r="BL14" i="3"/>
  <c r="BL43" i="3"/>
  <c r="BL42" i="3"/>
  <c r="BL18" i="2"/>
  <c r="BL25" i="2"/>
  <c r="BL158" i="3"/>
  <c r="BL149" i="3"/>
  <c r="BL167" i="3"/>
  <c r="BV27" i="2"/>
  <c r="BV30" i="2"/>
  <c r="BW29" i="2"/>
  <c r="BV28" i="2"/>
  <c r="AQ155" i="7"/>
  <c r="BV253" i="2"/>
  <c r="BF60" i="4"/>
  <c r="BU245" i="2"/>
  <c r="AP147" i="7"/>
  <c r="BN175" i="3"/>
  <c r="BN179" i="3" s="1"/>
  <c r="AM135" i="7"/>
  <c r="BR233" i="2"/>
  <c r="BP50" i="4"/>
  <c r="BP7" i="4"/>
  <c r="BP11" i="4"/>
  <c r="BP44" i="4"/>
  <c r="BP27" i="4"/>
  <c r="BP35" i="4"/>
  <c r="AQ23" i="7"/>
  <c r="BY150" i="3"/>
  <c r="AZ202" i="2"/>
  <c r="R110" i="7"/>
  <c r="AV204" i="2"/>
  <c r="BK28" i="4"/>
  <c r="BI30" i="4"/>
  <c r="BJ30" i="4" s="1"/>
  <c r="AS21" i="7"/>
  <c r="BY153" i="3"/>
  <c r="BY152" i="3"/>
  <c r="AR134" i="7"/>
  <c r="BW232" i="2"/>
  <c r="BU221" i="2"/>
  <c r="AP124" i="7"/>
  <c r="CA172" i="3"/>
  <c r="CA168" i="3"/>
  <c r="AC149" i="7"/>
  <c r="AB157" i="7"/>
  <c r="BT176" i="2"/>
  <c r="AP85" i="7" s="1"/>
  <c r="BY159" i="3"/>
  <c r="BY163" i="3"/>
  <c r="BS46" i="4"/>
  <c r="BR48" i="4"/>
  <c r="BX172" i="3"/>
  <c r="BX168" i="3"/>
  <c r="BR196" i="3"/>
  <c r="J59" i="5"/>
  <c r="BF55" i="4"/>
  <c r="BT170" i="3"/>
  <c r="BT171" i="3"/>
  <c r="BT172" i="3" s="1"/>
  <c r="BT174" i="3" s="1"/>
  <c r="AR152" i="7"/>
  <c r="BW250" i="2"/>
  <c r="BE17" i="4"/>
  <c r="BE53" i="4"/>
  <c r="BE58" i="4"/>
  <c r="BT150" i="3"/>
  <c r="CD162" i="3"/>
  <c r="CD161" i="3"/>
  <c r="P4" i="5"/>
  <c r="O3" i="5"/>
  <c r="O75" i="5" s="1"/>
  <c r="O5" i="5"/>
  <c r="AP127" i="7"/>
  <c r="BU225" i="2"/>
  <c r="BH17" i="4"/>
  <c r="BH53" i="4"/>
  <c r="BH58" i="4"/>
  <c r="BI29" i="4"/>
  <c r="BH31" i="4"/>
  <c r="AR37" i="7"/>
  <c r="BV163" i="2"/>
  <c r="AR74" i="7" s="1"/>
  <c r="BW72" i="2"/>
  <c r="BV73" i="2"/>
  <c r="CC163" i="3"/>
  <c r="CC159" i="3"/>
  <c r="CD157" i="3"/>
  <c r="BW239" i="2"/>
  <c r="AR141" i="7"/>
  <c r="BW17" i="3"/>
  <c r="BW16" i="3"/>
  <c r="BW19" i="3"/>
  <c r="BX18" i="3"/>
  <c r="BY166" i="3"/>
  <c r="AI20" i="7"/>
  <c r="BM19" i="2"/>
  <c r="BQ175" i="3"/>
  <c r="BQ179" i="3" s="1"/>
  <c r="AR132" i="7"/>
  <c r="BW230" i="2"/>
  <c r="AQ74" i="7"/>
  <c r="BT46" i="4"/>
  <c r="BX154" i="3"/>
  <c r="BY154" i="3" s="1"/>
  <c r="BX150" i="3"/>
  <c r="AP136" i="7"/>
  <c r="BU234" i="2"/>
  <c r="BD18" i="4"/>
  <c r="BD54" i="4"/>
  <c r="BD60" i="4"/>
  <c r="AD148" i="7"/>
  <c r="BS36" i="4"/>
  <c r="BR38" i="4"/>
  <c r="BF54" i="4" l="1"/>
  <c r="AI73" i="7"/>
  <c r="BL162" i="2"/>
  <c r="BL21" i="3"/>
  <c r="BH56" i="4"/>
  <c r="BH54" i="4" s="1"/>
  <c r="BI55" i="3"/>
  <c r="BI51" i="3" s="1"/>
  <c r="BJ183" i="3"/>
  <c r="BI187" i="3"/>
  <c r="BP12" i="2"/>
  <c r="AL15" i="7" s="1"/>
  <c r="AL14" i="7"/>
  <c r="BE19" i="4"/>
  <c r="BI21" i="3"/>
  <c r="BN52" i="3"/>
  <c r="BF20" i="4"/>
  <c r="BE22" i="4"/>
  <c r="BE23" i="4" s="1"/>
  <c r="BE56" i="4"/>
  <c r="BJ13" i="4"/>
  <c r="BI15" i="4"/>
  <c r="BJ15" i="4" s="1"/>
  <c r="BK13" i="4"/>
  <c r="BC20" i="4"/>
  <c r="BP23" i="3"/>
  <c r="BU196" i="3"/>
  <c r="BU183" i="3"/>
  <c r="BU55" i="3" s="1"/>
  <c r="BU50" i="3" s="1"/>
  <c r="BU49" i="3" s="1"/>
  <c r="BP15" i="3"/>
  <c r="BM23" i="3"/>
  <c r="BP19" i="2"/>
  <c r="BP162" i="2"/>
  <c r="AL73" i="7" s="1"/>
  <c r="BP26" i="2"/>
  <c r="BH19" i="4"/>
  <c r="BD20" i="4"/>
  <c r="CD163" i="3"/>
  <c r="CD159" i="3"/>
  <c r="AR23" i="7"/>
  <c r="AH20" i="7"/>
  <c r="BL19" i="2"/>
  <c r="AE20" i="7"/>
  <c r="BJ18" i="2"/>
  <c r="BI7" i="4"/>
  <c r="BI50" i="4"/>
  <c r="BI44" i="4"/>
  <c r="BI11" i="4"/>
  <c r="BI27" i="4"/>
  <c r="BI35" i="4"/>
  <c r="AQ8" i="7"/>
  <c r="BU6" i="3"/>
  <c r="BD19" i="4"/>
  <c r="BY169" i="3"/>
  <c r="BY168" i="3"/>
  <c r="AC157" i="7"/>
  <c r="BL7" i="4"/>
  <c r="BL50" i="4"/>
  <c r="BL11" i="4"/>
  <c r="BL27" i="4"/>
  <c r="BL35" i="4"/>
  <c r="BL44" i="4"/>
  <c r="AF7" i="7"/>
  <c r="H6" i="5"/>
  <c r="BJ6" i="4"/>
  <c r="BJ43" i="3"/>
  <c r="BJ7" i="3"/>
  <c r="BJ42" i="3"/>
  <c r="BJ158" i="3"/>
  <c r="BJ149" i="3"/>
  <c r="BJ167" i="3"/>
  <c r="CD153" i="3"/>
  <c r="CD152" i="3"/>
  <c r="BR45" i="4"/>
  <c r="BQ47" i="4"/>
  <c r="BZ20" i="2"/>
  <c r="BZ21" i="2"/>
  <c r="BZ23" i="2"/>
  <c r="CA22" i="2"/>
  <c r="CB193" i="3"/>
  <c r="CA148" i="3"/>
  <c r="BU37" i="4"/>
  <c r="BS39" i="4"/>
  <c r="BT39" i="4" s="1"/>
  <c r="BT37" i="4"/>
  <c r="BL28" i="4"/>
  <c r="BK30" i="4"/>
  <c r="BX230" i="2"/>
  <c r="AS132" i="7"/>
  <c r="AS152" i="7"/>
  <c r="BX250" i="2"/>
  <c r="AW202" i="2"/>
  <c r="R111" i="7"/>
  <c r="AV206" i="2"/>
  <c r="BP51" i="4"/>
  <c r="BP52" i="4"/>
  <c r="BJ14" i="3"/>
  <c r="BI15" i="3"/>
  <c r="BM51" i="4"/>
  <c r="BM52" i="4"/>
  <c r="AT21" i="7"/>
  <c r="BV242" i="2"/>
  <c r="BU176" i="2"/>
  <c r="AQ144" i="7"/>
  <c r="BU36" i="4"/>
  <c r="BS38" i="4"/>
  <c r="BT38" i="4" s="1"/>
  <c r="BT36" i="4"/>
  <c r="BV234" i="2"/>
  <c r="AQ136" i="7"/>
  <c r="BX174" i="3"/>
  <c r="AQ124" i="7"/>
  <c r="BV221" i="2"/>
  <c r="BV259" i="2"/>
  <c r="AR142" i="7"/>
  <c r="BW240" i="2"/>
  <c r="BG20" i="4"/>
  <c r="BX17" i="3"/>
  <c r="BX16" i="3"/>
  <c r="BX19" i="3"/>
  <c r="BZ18" i="3"/>
  <c r="BK29" i="4"/>
  <c r="BI31" i="4"/>
  <c r="BJ31" i="4" s="1"/>
  <c r="BJ29" i="4"/>
  <c r="BN196" i="3"/>
  <c r="AS37" i="7"/>
  <c r="BW163" i="2"/>
  <c r="BW73" i="2"/>
  <c r="BX72" i="2"/>
  <c r="V110" i="7"/>
  <c r="AZ204" i="2"/>
  <c r="AN135" i="7"/>
  <c r="BS233" i="2"/>
  <c r="BV245" i="2"/>
  <c r="AQ147" i="7"/>
  <c r="BQ196" i="3"/>
  <c r="AE22" i="7"/>
  <c r="BJ25" i="2"/>
  <c r="BR187" i="3"/>
  <c r="BR55" i="3"/>
  <c r="BR50" i="3" s="1"/>
  <c r="BR49" i="3" s="1"/>
  <c r="BZ30" i="3"/>
  <c r="BZ31" i="3"/>
  <c r="BZ33" i="3"/>
  <c r="CA32" i="3"/>
  <c r="CB32" i="3" s="1"/>
  <c r="CC32" i="3" s="1"/>
  <c r="CC168" i="3"/>
  <c r="CC172" i="3"/>
  <c r="AE148" i="7"/>
  <c r="BJ246" i="2"/>
  <c r="BU46" i="4"/>
  <c r="BS48" i="4"/>
  <c r="BT48" i="4" s="1"/>
  <c r="BW30" i="2"/>
  <c r="BX29" i="2"/>
  <c r="BW27" i="2"/>
  <c r="BW28" i="2"/>
  <c r="AN8" i="7"/>
  <c r="BR6" i="3"/>
  <c r="AR128" i="7"/>
  <c r="BW226" i="2"/>
  <c r="AH14" i="7"/>
  <c r="BL12" i="2"/>
  <c r="AH15" i="7" s="1"/>
  <c r="BQ183" i="3"/>
  <c r="BQ12" i="3"/>
  <c r="BQ7" i="3" s="1"/>
  <c r="CD169" i="3"/>
  <c r="CD168" i="3"/>
  <c r="AD149" i="7"/>
  <c r="P5" i="5"/>
  <c r="Q4" i="5"/>
  <c r="P3" i="5"/>
  <c r="P75" i="5" s="1"/>
  <c r="AS134" i="7"/>
  <c r="BX232" i="2"/>
  <c r="AS141" i="7"/>
  <c r="BX239" i="2"/>
  <c r="AQ127" i="7"/>
  <c r="BV225" i="2"/>
  <c r="BF17" i="4"/>
  <c r="BF53" i="4"/>
  <c r="BF58" i="4"/>
  <c r="BN183" i="3"/>
  <c r="BN12" i="3"/>
  <c r="BN7" i="3" s="1"/>
  <c r="BO179" i="3"/>
  <c r="AR155" i="7"/>
  <c r="BW253" i="2"/>
  <c r="AH22" i="7"/>
  <c r="BL26" i="2"/>
  <c r="BL15" i="3"/>
  <c r="BZ154" i="3"/>
  <c r="BZ150" i="3"/>
  <c r="BJ49" i="3"/>
  <c r="BJ11" i="2" s="1"/>
  <c r="BH18" i="4" l="1"/>
  <c r="BH60" i="4"/>
  <c r="BL22" i="3"/>
  <c r="BL23" i="3"/>
  <c r="BQ54" i="3"/>
  <c r="BQ52" i="3"/>
  <c r="BQ51" i="3" s="1"/>
  <c r="BI23" i="3"/>
  <c r="BN54" i="3"/>
  <c r="BU187" i="3"/>
  <c r="BI22" i="3"/>
  <c r="BH20" i="4"/>
  <c r="BE18" i="4"/>
  <c r="BE60" i="4"/>
  <c r="BE54" i="4"/>
  <c r="BL13" i="4"/>
  <c r="BK15" i="4"/>
  <c r="BN51" i="3"/>
  <c r="BF19" i="4"/>
  <c r="AV21" i="7"/>
  <c r="AE14" i="7"/>
  <c r="BI12" i="2"/>
  <c r="BZ174" i="3"/>
  <c r="BZ175" i="3" s="1"/>
  <c r="BZ179" i="3" s="1"/>
  <c r="BU11" i="2"/>
  <c r="AH73" i="7"/>
  <c r="AM8" i="7"/>
  <c r="BQ6" i="3"/>
  <c r="AS23" i="7"/>
  <c r="AF22" i="7"/>
  <c r="BJ26" i="2"/>
  <c r="BJ27" i="2"/>
  <c r="AR144" i="7"/>
  <c r="BV176" i="2"/>
  <c r="AR85" i="7" s="1"/>
  <c r="BW242" i="2"/>
  <c r="BJ16" i="3"/>
  <c r="BJ15" i="3"/>
  <c r="BI52" i="4"/>
  <c r="BI51" i="4"/>
  <c r="BI56" i="4"/>
  <c r="BJ50" i="3"/>
  <c r="D15" i="1"/>
  <c r="AD157" i="7"/>
  <c r="BQ187" i="3"/>
  <c r="BQ55" i="3"/>
  <c r="AN7" i="7"/>
  <c r="BR42" i="3"/>
  <c r="BR6" i="4"/>
  <c r="BR14" i="3"/>
  <c r="BR15" i="3" s="1"/>
  <c r="BR43" i="3"/>
  <c r="BR158" i="3"/>
  <c r="BR167" i="3"/>
  <c r="BR149" i="3"/>
  <c r="BR18" i="2"/>
  <c r="BR25" i="2"/>
  <c r="BW175" i="3"/>
  <c r="BW179" i="3" s="1"/>
  <c r="BX30" i="2"/>
  <c r="BZ29" i="2"/>
  <c r="BX28" i="2"/>
  <c r="BX27" i="2"/>
  <c r="AF148" i="7"/>
  <c r="BW221" i="2"/>
  <c r="AR124" i="7"/>
  <c r="BY250" i="2"/>
  <c r="AT152" i="7"/>
  <c r="H7" i="5"/>
  <c r="BU6" i="4"/>
  <c r="BU14" i="3"/>
  <c r="BU21" i="3" s="1"/>
  <c r="AQ7" i="7"/>
  <c r="BU43" i="3"/>
  <c r="BU42" i="3"/>
  <c r="BU158" i="3"/>
  <c r="BU167" i="3"/>
  <c r="BU149" i="3"/>
  <c r="BU18" i="2"/>
  <c r="BU25" i="2"/>
  <c r="AR147" i="7"/>
  <c r="BW245" i="2"/>
  <c r="AF8" i="7"/>
  <c r="BL52" i="4"/>
  <c r="BL51" i="4"/>
  <c r="BT233" i="2"/>
  <c r="AO135" i="7"/>
  <c r="CA150" i="3"/>
  <c r="CA154" i="3"/>
  <c r="CA174" i="3" s="1"/>
  <c r="BS45" i="4"/>
  <c r="BT45" i="4" s="1"/>
  <c r="BR47" i="4"/>
  <c r="BJ21" i="3"/>
  <c r="BX253" i="2"/>
  <c r="AS155" i="7"/>
  <c r="AT134" i="7"/>
  <c r="BY232" i="2"/>
  <c r="AT37" i="7"/>
  <c r="BX163" i="2"/>
  <c r="AT74" i="7" s="1"/>
  <c r="BZ72" i="2"/>
  <c r="BX73" i="2"/>
  <c r="BY72" i="2"/>
  <c r="AR136" i="7"/>
  <c r="BW234" i="2"/>
  <c r="BV37" i="4"/>
  <c r="BU39" i="4"/>
  <c r="BY170" i="3"/>
  <c r="BY171" i="3"/>
  <c r="BY172" i="3" s="1"/>
  <c r="BY174" i="3" s="1"/>
  <c r="BW225" i="2"/>
  <c r="AR127" i="7"/>
  <c r="AS142" i="7"/>
  <c r="BX240" i="2"/>
  <c r="BW259" i="2"/>
  <c r="S110" i="7"/>
  <c r="AW204" i="2"/>
  <c r="H13" i="5"/>
  <c r="AF20" i="7"/>
  <c r="BJ20" i="2"/>
  <c r="BJ56" i="4"/>
  <c r="BJ60" i="4" s="1"/>
  <c r="BJ19" i="2"/>
  <c r="BN55" i="3"/>
  <c r="BN187" i="3"/>
  <c r="Q3" i="5"/>
  <c r="R4" i="5"/>
  <c r="CD170" i="3"/>
  <c r="CD171" i="3"/>
  <c r="CD172" i="3" s="1"/>
  <c r="BV46" i="4"/>
  <c r="BU48" i="4"/>
  <c r="BR11" i="2"/>
  <c r="V111" i="7"/>
  <c r="AZ206" i="2"/>
  <c r="BA202" i="2"/>
  <c r="BL29" i="4"/>
  <c r="BK31" i="4"/>
  <c r="BM28" i="4"/>
  <c r="BL30" i="4"/>
  <c r="CC193" i="3"/>
  <c r="CD193" i="3" s="1"/>
  <c r="CB148" i="3"/>
  <c r="BJ7" i="4"/>
  <c r="BJ50" i="4"/>
  <c r="BJ43" i="4"/>
  <c r="BJ11" i="4"/>
  <c r="BJ27" i="4"/>
  <c r="BJ35" i="4"/>
  <c r="AJ8" i="7"/>
  <c r="BN6" i="3"/>
  <c r="AS74" i="7"/>
  <c r="BV36" i="4"/>
  <c r="BU38" i="4"/>
  <c r="AT141" i="7"/>
  <c r="BY239" i="2"/>
  <c r="AS128" i="7"/>
  <c r="BX226" i="2"/>
  <c r="CA30" i="3"/>
  <c r="CA31" i="3"/>
  <c r="CA33" i="3"/>
  <c r="BZ16" i="3"/>
  <c r="BZ17" i="3"/>
  <c r="BZ19" i="3"/>
  <c r="CA18" i="3"/>
  <c r="AQ85" i="7"/>
  <c r="AT132" i="7"/>
  <c r="BY230" i="2"/>
  <c r="CA20" i="2"/>
  <c r="CA21" i="2"/>
  <c r="CA23" i="2"/>
  <c r="CB22" i="2"/>
  <c r="BQ50" i="3" l="1"/>
  <c r="BQ49" i="3" s="1"/>
  <c r="BQ11" i="2" s="1"/>
  <c r="BN50" i="3"/>
  <c r="BN49" i="3" s="1"/>
  <c r="BN11" i="2" s="1"/>
  <c r="BL15" i="4"/>
  <c r="BM13" i="4"/>
  <c r="BE20" i="4"/>
  <c r="BW196" i="3"/>
  <c r="BR21" i="3"/>
  <c r="BR22" i="3" s="1"/>
  <c r="BN6" i="4"/>
  <c r="AJ7" i="7"/>
  <c r="BN14" i="3"/>
  <c r="BN43" i="3"/>
  <c r="BN42" i="3"/>
  <c r="BN18" i="2"/>
  <c r="BN25" i="2"/>
  <c r="BN158" i="3"/>
  <c r="BN149" i="3"/>
  <c r="BN167" i="3"/>
  <c r="BS175" i="3"/>
  <c r="BS179" i="3" s="1"/>
  <c r="BO6" i="3"/>
  <c r="BO30" i="3"/>
  <c r="CB154" i="3"/>
  <c r="CB174" i="3" s="1"/>
  <c r="CB150" i="3"/>
  <c r="AU132" i="7"/>
  <c r="BZ230" i="2"/>
  <c r="AF21" i="7"/>
  <c r="BX259" i="2"/>
  <c r="AT142" i="7"/>
  <c r="BY240" i="2"/>
  <c r="BW37" i="4"/>
  <c r="BV39" i="4"/>
  <c r="BZ196" i="3"/>
  <c r="BU15" i="3"/>
  <c r="CA29" i="2"/>
  <c r="BZ28" i="2"/>
  <c r="BZ30" i="2"/>
  <c r="BZ27" i="2"/>
  <c r="BZ163" i="2"/>
  <c r="AV37" i="7"/>
  <c r="BZ73" i="2"/>
  <c r="CA72" i="2"/>
  <c r="BX221" i="2"/>
  <c r="AS124" i="7"/>
  <c r="AQ14" i="7"/>
  <c r="BU12" i="2"/>
  <c r="AQ15" i="7" s="1"/>
  <c r="BU50" i="4"/>
  <c r="BU7" i="4"/>
  <c r="BU11" i="4"/>
  <c r="BU44" i="4"/>
  <c r="BU27" i="4"/>
  <c r="BU35" i="4"/>
  <c r="AN22" i="7"/>
  <c r="BR162" i="2"/>
  <c r="AN73" i="7" s="1"/>
  <c r="BR26" i="2"/>
  <c r="BR7" i="4"/>
  <c r="BR50" i="4"/>
  <c r="BR27" i="4"/>
  <c r="BR35" i="4"/>
  <c r="BR11" i="4"/>
  <c r="BR44" i="4"/>
  <c r="AF23" i="7"/>
  <c r="CB23" i="2"/>
  <c r="CC22" i="2"/>
  <c r="CB20" i="2"/>
  <c r="CB21" i="2"/>
  <c r="BK56" i="4"/>
  <c r="BZ232" i="2"/>
  <c r="AU134" i="7"/>
  <c r="AQ22" i="7"/>
  <c r="BU162" i="2"/>
  <c r="BU26" i="2"/>
  <c r="BR19" i="2"/>
  <c r="AN20" i="7"/>
  <c r="AS136" i="7"/>
  <c r="BX234" i="2"/>
  <c r="BU22" i="3"/>
  <c r="BU23" i="3"/>
  <c r="BW183" i="3"/>
  <c r="BW12" i="3"/>
  <c r="BW7" i="3" s="1"/>
  <c r="BI18" i="4"/>
  <c r="BI54" i="4"/>
  <c r="BI60" i="4"/>
  <c r="BW36" i="4"/>
  <c r="BV38" i="4"/>
  <c r="CC148" i="3"/>
  <c r="CD148" i="3" s="1"/>
  <c r="CA19" i="3"/>
  <c r="CB18" i="3"/>
  <c r="CA16" i="3"/>
  <c r="CA17" i="3"/>
  <c r="BJ51" i="4"/>
  <c r="BJ52" i="4"/>
  <c r="S111" i="7"/>
  <c r="AX202" i="2"/>
  <c r="AW206" i="2"/>
  <c r="BJ51" i="3"/>
  <c r="AS144" i="7"/>
  <c r="BW176" i="2"/>
  <c r="BX242" i="2"/>
  <c r="AM7" i="7"/>
  <c r="BQ6" i="4"/>
  <c r="BQ43" i="3"/>
  <c r="BQ14" i="3"/>
  <c r="BQ21" i="3" s="1"/>
  <c r="BQ42" i="3"/>
  <c r="BQ158" i="3"/>
  <c r="BQ18" i="2"/>
  <c r="BQ149" i="3"/>
  <c r="BQ25" i="2"/>
  <c r="BQ167" i="3"/>
  <c r="BV175" i="3"/>
  <c r="BV179" i="3" s="1"/>
  <c r="BZ12" i="3"/>
  <c r="BZ7" i="3" s="1"/>
  <c r="BZ183" i="3"/>
  <c r="BZ239" i="2"/>
  <c r="AU141" i="7"/>
  <c r="BY163" i="2"/>
  <c r="AU74" i="7" s="1"/>
  <c r="BN28" i="4"/>
  <c r="BM30" i="4"/>
  <c r="K28" i="5"/>
  <c r="AU37" i="7"/>
  <c r="BY73" i="2"/>
  <c r="AP135" i="7"/>
  <c r="BU233" i="2"/>
  <c r="AQ20" i="7"/>
  <c r="BU19" i="2"/>
  <c r="AT23" i="7"/>
  <c r="AF14" i="7"/>
  <c r="BJ12" i="2"/>
  <c r="H14" i="5"/>
  <c r="BU45" i="4"/>
  <c r="BS47" i="4"/>
  <c r="BT47" i="4" s="1"/>
  <c r="BE202" i="2"/>
  <c r="W110" i="7"/>
  <c r="BA204" i="2"/>
  <c r="BW46" i="4"/>
  <c r="BV48" i="4"/>
  <c r="BM29" i="4"/>
  <c r="BL31" i="4"/>
  <c r="AS127" i="7"/>
  <c r="BX225" i="2"/>
  <c r="AG148" i="7"/>
  <c r="BL246" i="2"/>
  <c r="AW21" i="7"/>
  <c r="BY226" i="2"/>
  <c r="AT128" i="7"/>
  <c r="AN14" i="7"/>
  <c r="BR12" i="2"/>
  <c r="AN15" i="7" s="1"/>
  <c r="S4" i="5"/>
  <c r="R3" i="5"/>
  <c r="BJ18" i="4"/>
  <c r="BJ20" i="4" s="1"/>
  <c r="BJ54" i="4"/>
  <c r="AT155" i="7"/>
  <c r="BY253" i="2"/>
  <c r="BJ22" i="3"/>
  <c r="BJ23" i="3"/>
  <c r="AS147" i="7"/>
  <c r="BX245" i="2"/>
  <c r="AU152" i="7"/>
  <c r="BZ250" i="2"/>
  <c r="AE15" i="7"/>
  <c r="CE6" i="3" l="1"/>
  <c r="F3" i="35"/>
  <c r="E3" i="35"/>
  <c r="BO49" i="3"/>
  <c r="E15" i="1" s="1"/>
  <c r="BL56" i="4"/>
  <c r="BL60" i="4" s="1"/>
  <c r="BN13" i="4"/>
  <c r="BM15" i="4"/>
  <c r="BR23" i="3"/>
  <c r="BI20" i="4"/>
  <c r="CD150" i="3"/>
  <c r="BA206" i="2"/>
  <c r="W111" i="7"/>
  <c r="BB202" i="2"/>
  <c r="K59" i="5"/>
  <c r="BP28" i="4"/>
  <c r="BN30" i="4"/>
  <c r="BO30" i="4" s="1"/>
  <c r="BQ23" i="3"/>
  <c r="BQ22" i="3"/>
  <c r="AS85" i="7"/>
  <c r="AT124" i="7"/>
  <c r="BY221" i="2"/>
  <c r="BN15" i="3"/>
  <c r="BO14" i="3"/>
  <c r="BO21" i="3" s="1"/>
  <c r="CA250" i="2"/>
  <c r="AV152" i="7"/>
  <c r="BN29" i="4"/>
  <c r="BO29" i="4" s="1"/>
  <c r="BM31" i="4"/>
  <c r="BQ15" i="3"/>
  <c r="AQ73" i="7"/>
  <c r="AV134" i="7"/>
  <c r="CA232" i="2"/>
  <c r="AV74" i="7"/>
  <c r="AJ22" i="7"/>
  <c r="BN162" i="2"/>
  <c r="BN26" i="2"/>
  <c r="BO25" i="2"/>
  <c r="BN21" i="3"/>
  <c r="AJ20" i="7"/>
  <c r="BN19" i="2"/>
  <c r="BO18" i="2"/>
  <c r="BQ162" i="2"/>
  <c r="AM22" i="7"/>
  <c r="BQ26" i="2"/>
  <c r="AV8" i="7"/>
  <c r="BZ6" i="3"/>
  <c r="BZ25" i="2" s="1"/>
  <c r="BK18" i="4"/>
  <c r="BK54" i="4"/>
  <c r="BK60" i="4"/>
  <c r="BO6" i="4"/>
  <c r="AK7" i="7"/>
  <c r="I6" i="5"/>
  <c r="BO7" i="3"/>
  <c r="I14" i="1" s="1"/>
  <c r="BO43" i="3"/>
  <c r="BO42" i="3"/>
  <c r="BO158" i="3"/>
  <c r="BO167" i="3"/>
  <c r="BO149" i="3"/>
  <c r="BO175" i="3"/>
  <c r="AM20" i="7"/>
  <c r="BQ19" i="2"/>
  <c r="BQ7" i="4"/>
  <c r="BQ50" i="4"/>
  <c r="BQ11" i="4"/>
  <c r="BQ27" i="4"/>
  <c r="BQ35" i="4"/>
  <c r="BQ44" i="4"/>
  <c r="AJ14" i="7"/>
  <c r="BN12" i="2"/>
  <c r="AJ15" i="7" s="1"/>
  <c r="AT136" i="7"/>
  <c r="BY234" i="2"/>
  <c r="CA163" i="2"/>
  <c r="AW74" i="7" s="1"/>
  <c r="AW37" i="7"/>
  <c r="CA73" i="2"/>
  <c r="CB72" i="2"/>
  <c r="CA28" i="2"/>
  <c r="CA27" i="2"/>
  <c r="CA30" i="2"/>
  <c r="CB29" i="2"/>
  <c r="BS183" i="3"/>
  <c r="BS12" i="3"/>
  <c r="BS7" i="3" s="1"/>
  <c r="BT179" i="3"/>
  <c r="BZ253" i="2"/>
  <c r="AU155" i="7"/>
  <c r="AU128" i="7"/>
  <c r="BZ226" i="2"/>
  <c r="AA110" i="7"/>
  <c r="BE204" i="2"/>
  <c r="BF202" i="2" s="1"/>
  <c r="BF204" i="2" s="1"/>
  <c r="BX36" i="4"/>
  <c r="BW38" i="4"/>
  <c r="AV23" i="7"/>
  <c r="BN7" i="4"/>
  <c r="BN50" i="4"/>
  <c r="BN11" i="4"/>
  <c r="BN44" i="4"/>
  <c r="BN27" i="4"/>
  <c r="BN35" i="4"/>
  <c r="AT147" i="7"/>
  <c r="BY245" i="2"/>
  <c r="CC23" i="2"/>
  <c r="CC21" i="2"/>
  <c r="CC20" i="2"/>
  <c r="BU51" i="4"/>
  <c r="BU52" i="4"/>
  <c r="BZ240" i="2"/>
  <c r="AU142" i="7"/>
  <c r="BY259" i="2"/>
  <c r="CA230" i="2"/>
  <c r="AV132" i="7"/>
  <c r="AT127" i="7"/>
  <c r="BY225" i="2"/>
  <c r="AF15" i="7"/>
  <c r="BO28" i="4"/>
  <c r="BV183" i="3"/>
  <c r="BV12" i="3"/>
  <c r="BV7" i="3" s="1"/>
  <c r="AS8" i="7"/>
  <c r="BW6" i="3"/>
  <c r="BI55" i="4"/>
  <c r="BI8" i="2"/>
  <c r="BI14" i="2" s="1"/>
  <c r="BJ45" i="3"/>
  <c r="BI57" i="3"/>
  <c r="BY36" i="4"/>
  <c r="AQ135" i="7"/>
  <c r="BV233" i="2"/>
  <c r="T4" i="5"/>
  <c r="T3" i="5" s="1"/>
  <c r="S3" i="5"/>
  <c r="BZ187" i="3"/>
  <c r="BZ55" i="3"/>
  <c r="BZ50" i="3" s="1"/>
  <c r="BZ49" i="3" s="1"/>
  <c r="AX21" i="7"/>
  <c r="BX37" i="4"/>
  <c r="BW39" i="4"/>
  <c r="BV196" i="3"/>
  <c r="T110" i="7"/>
  <c r="AX204" i="2"/>
  <c r="AH148" i="7"/>
  <c r="BM246" i="2"/>
  <c r="BV45" i="4"/>
  <c r="BU47" i="4"/>
  <c r="BX46" i="4"/>
  <c r="BW48" i="4"/>
  <c r="AV141" i="7"/>
  <c r="CA239" i="2"/>
  <c r="AT144" i="7"/>
  <c r="BY242" i="2"/>
  <c r="BX176" i="2"/>
  <c r="AT85" i="7" s="1"/>
  <c r="CB16" i="3"/>
  <c r="CB17" i="3"/>
  <c r="CB19" i="3"/>
  <c r="CC18" i="3"/>
  <c r="CC154" i="3"/>
  <c r="CC150" i="3"/>
  <c r="BW187" i="3"/>
  <c r="BW55" i="3"/>
  <c r="BW50" i="3" s="1"/>
  <c r="BW49" i="3" s="1"/>
  <c r="BR51" i="4"/>
  <c r="BR52" i="4"/>
  <c r="AM14" i="7"/>
  <c r="BQ12" i="2"/>
  <c r="AM15" i="7" s="1"/>
  <c r="BS196" i="3"/>
  <c r="BF206" i="2" l="1"/>
  <c r="BG202" i="2"/>
  <c r="BG204" i="2" s="1"/>
  <c r="BM56" i="4"/>
  <c r="BM54" i="4" s="1"/>
  <c r="BI267" i="2"/>
  <c r="BI269" i="2"/>
  <c r="BI270" i="2"/>
  <c r="BI268" i="2"/>
  <c r="BO11" i="2"/>
  <c r="BO12" i="2" s="1"/>
  <c r="AK15" i="7" s="1"/>
  <c r="BO50" i="3"/>
  <c r="BL54" i="4"/>
  <c r="BL18" i="4"/>
  <c r="BL20" i="4" s="1"/>
  <c r="BO13" i="4"/>
  <c r="BN15" i="4"/>
  <c r="BO15" i="4" s="1"/>
  <c r="BP13" i="4"/>
  <c r="BK20" i="4"/>
  <c r="BL66" i="2"/>
  <c r="AV22" i="7"/>
  <c r="BZ26" i="2"/>
  <c r="BZ162" i="2"/>
  <c r="BJ8" i="2"/>
  <c r="D14" i="1"/>
  <c r="D17" i="1" s="1"/>
  <c r="BJ55" i="4"/>
  <c r="BJ25" i="3"/>
  <c r="BJ46" i="3"/>
  <c r="BJ57" i="3"/>
  <c r="BO183" i="3" s="1"/>
  <c r="AR135" i="7"/>
  <c r="BW233" i="2"/>
  <c r="AV128" i="7"/>
  <c r="CA226" i="2"/>
  <c r="AM73" i="7"/>
  <c r="AJ73" i="7"/>
  <c r="BO162" i="2"/>
  <c r="BO16" i="3"/>
  <c r="BO15" i="3"/>
  <c r="BQ28" i="4"/>
  <c r="BP30" i="4"/>
  <c r="BW11" i="2"/>
  <c r="BW45" i="4"/>
  <c r="BV47" i="4"/>
  <c r="BZ11" i="2"/>
  <c r="BI62" i="3"/>
  <c r="BI58" i="3"/>
  <c r="BI200" i="3"/>
  <c r="BI199" i="3"/>
  <c r="BI198" i="3"/>
  <c r="AV142" i="7"/>
  <c r="CA240" i="2"/>
  <c r="BZ259" i="2"/>
  <c r="BN51" i="4"/>
  <c r="BN52" i="4"/>
  <c r="AX37" i="7"/>
  <c r="CB163" i="2"/>
  <c r="AX74" i="7" s="1"/>
  <c r="CB73" i="2"/>
  <c r="CC72" i="2"/>
  <c r="CD72" i="2" s="1"/>
  <c r="AU136" i="7"/>
  <c r="BZ234" i="2"/>
  <c r="BO7" i="4"/>
  <c r="BO50" i="4"/>
  <c r="BO35" i="4"/>
  <c r="BO27" i="4"/>
  <c r="BO11" i="4"/>
  <c r="I13" i="5"/>
  <c r="AK20" i="7"/>
  <c r="BO20" i="2"/>
  <c r="BO19" i="2"/>
  <c r="CB232" i="2"/>
  <c r="AW134" i="7"/>
  <c r="BY176" i="2"/>
  <c r="AU85" i="7" s="1"/>
  <c r="BW6" i="4"/>
  <c r="AS7" i="7"/>
  <c r="BW14" i="3"/>
  <c r="BW15" i="3" s="1"/>
  <c r="BW43" i="3"/>
  <c r="BW42" i="3"/>
  <c r="BW158" i="3"/>
  <c r="BW167" i="3"/>
  <c r="BW149" i="3"/>
  <c r="BW18" i="2"/>
  <c r="BW25" i="2"/>
  <c r="AU127" i="7"/>
  <c r="BZ225" i="2"/>
  <c r="AU144" i="7"/>
  <c r="BZ242" i="2"/>
  <c r="BZ46" i="4"/>
  <c r="BX48" i="4"/>
  <c r="BY48" i="4" s="1"/>
  <c r="AE12" i="7"/>
  <c r="BI9" i="2"/>
  <c r="AU147" i="7"/>
  <c r="BZ245" i="2"/>
  <c r="BZ36" i="4"/>
  <c r="BX38" i="4"/>
  <c r="BY38" i="4" s="1"/>
  <c r="AV155" i="7"/>
  <c r="CA253" i="2"/>
  <c r="AU124" i="7"/>
  <c r="BZ221" i="2"/>
  <c r="X110" i="7"/>
  <c r="BB204" i="2"/>
  <c r="BI53" i="4"/>
  <c r="BI17" i="4"/>
  <c r="BI58" i="4"/>
  <c r="AY21" i="7"/>
  <c r="AW23" i="7"/>
  <c r="AK8" i="7"/>
  <c r="BO8" i="3"/>
  <c r="BP29" i="4"/>
  <c r="BN31" i="4"/>
  <c r="AI148" i="7"/>
  <c r="BN246" i="2"/>
  <c r="CB28" i="2"/>
  <c r="CB27" i="2"/>
  <c r="CC29" i="2"/>
  <c r="CB30" i="2"/>
  <c r="BO22" i="3"/>
  <c r="BO23" i="3"/>
  <c r="AV7" i="7"/>
  <c r="BZ6" i="4"/>
  <c r="BZ14" i="3"/>
  <c r="BZ21" i="3" s="1"/>
  <c r="BZ43" i="3"/>
  <c r="BZ42" i="3"/>
  <c r="BZ167" i="3"/>
  <c r="BZ158" i="3"/>
  <c r="BZ149" i="3"/>
  <c r="BZ18" i="2"/>
  <c r="CB175" i="3"/>
  <c r="CB179" i="3" s="1"/>
  <c r="CC174" i="3"/>
  <c r="CD154" i="3"/>
  <c r="CD174" i="3" s="1"/>
  <c r="BI47" i="3"/>
  <c r="BQ52" i="4"/>
  <c r="BQ51" i="4"/>
  <c r="BN23" i="3"/>
  <c r="BN22" i="3"/>
  <c r="BY46" i="4"/>
  <c r="CC19" i="3"/>
  <c r="CC17" i="3"/>
  <c r="CC16" i="3"/>
  <c r="BZ37" i="4"/>
  <c r="BX39" i="4"/>
  <c r="BY39" i="4" s="1"/>
  <c r="BY37" i="4"/>
  <c r="BV187" i="3"/>
  <c r="BV55" i="3"/>
  <c r="BV50" i="3" s="1"/>
  <c r="BV49" i="3" s="1"/>
  <c r="AW132" i="7"/>
  <c r="CB230" i="2"/>
  <c r="AA111" i="7"/>
  <c r="BE220" i="2"/>
  <c r="AO8" i="7"/>
  <c r="BS6" i="3"/>
  <c r="I7" i="5"/>
  <c r="BO26" i="2"/>
  <c r="AK22" i="7"/>
  <c r="BO27" i="2"/>
  <c r="AW152" i="7"/>
  <c r="CB250" i="2"/>
  <c r="AW141" i="7"/>
  <c r="CB239" i="2"/>
  <c r="AX206" i="2"/>
  <c r="AY202" i="2"/>
  <c r="T111" i="7"/>
  <c r="AR8" i="7"/>
  <c r="BV6" i="3"/>
  <c r="BS187" i="3"/>
  <c r="BS55" i="3"/>
  <c r="BS50" i="3" s="1"/>
  <c r="BS49" i="3" s="1"/>
  <c r="BG206" i="2" l="1"/>
  <c r="BH202" i="2"/>
  <c r="BH204" i="2" s="1"/>
  <c r="BM60" i="4"/>
  <c r="BM18" i="4"/>
  <c r="F5" i="35"/>
  <c r="E5" i="35"/>
  <c r="E18" i="35" s="1"/>
  <c r="F18" i="35" s="1"/>
  <c r="F19" i="35" s="1"/>
  <c r="BO51" i="3"/>
  <c r="AK14" i="7"/>
  <c r="BI46" i="2"/>
  <c r="BN48" i="2" s="1"/>
  <c r="BS48" i="2" s="1"/>
  <c r="BX48" i="2" s="1"/>
  <c r="BI39" i="2"/>
  <c r="BI53" i="2"/>
  <c r="BN55" i="2" s="1"/>
  <c r="BI60" i="2"/>
  <c r="BQ13" i="4"/>
  <c r="BP15" i="4"/>
  <c r="BE206" i="2"/>
  <c r="BW21" i="3"/>
  <c r="BW23" i="3" s="1"/>
  <c r="BI19" i="4"/>
  <c r="BJ65" i="2"/>
  <c r="BI201" i="3"/>
  <c r="AZ37" i="7"/>
  <c r="L28" i="5"/>
  <c r="CD73" i="2"/>
  <c r="AE17" i="7"/>
  <c r="BI33" i="2"/>
  <c r="BI76" i="2" s="1"/>
  <c r="BI15" i="2"/>
  <c r="BI74" i="2"/>
  <c r="AK23" i="7"/>
  <c r="BJ202" i="2"/>
  <c r="AF110" i="7" s="1"/>
  <c r="AB110" i="7"/>
  <c r="AX132" i="7"/>
  <c r="CC230" i="2"/>
  <c r="BZ7" i="4"/>
  <c r="BZ50" i="4"/>
  <c r="BZ11" i="4"/>
  <c r="BZ44" i="4"/>
  <c r="BZ27" i="4"/>
  <c r="BZ35" i="4"/>
  <c r="AX23" i="7"/>
  <c r="X111" i="7"/>
  <c r="BC202" i="2"/>
  <c r="BB206" i="2"/>
  <c r="CA245" i="2"/>
  <c r="AV147" i="7"/>
  <c r="BW7" i="4"/>
  <c r="BW50" i="4"/>
  <c r="BW27" i="4"/>
  <c r="BW35" i="4"/>
  <c r="BW11" i="4"/>
  <c r="BW44" i="4"/>
  <c r="BI61" i="3"/>
  <c r="I65" i="5"/>
  <c r="AK73" i="7"/>
  <c r="BO271" i="2"/>
  <c r="BJ26" i="3"/>
  <c r="BJ27" i="3"/>
  <c r="BJ28" i="3" s="1"/>
  <c r="AF9" i="7"/>
  <c r="BJ53" i="4"/>
  <c r="BJ17" i="4"/>
  <c r="BJ58" i="4"/>
  <c r="AV73" i="7"/>
  <c r="AV127" i="7"/>
  <c r="CA225" i="2"/>
  <c r="AS135" i="7"/>
  <c r="BX233" i="2"/>
  <c r="AE13" i="7"/>
  <c r="CA46" i="4"/>
  <c r="BZ48" i="4"/>
  <c r="CC232" i="2"/>
  <c r="AX134" i="7"/>
  <c r="AK21" i="7"/>
  <c r="AV14" i="7"/>
  <c r="BZ12" i="2"/>
  <c r="AV15" i="7" s="1"/>
  <c r="CB226" i="2"/>
  <c r="AW128" i="7"/>
  <c r="AF12" i="7"/>
  <c r="BJ9" i="2"/>
  <c r="BJ14" i="2"/>
  <c r="BS6" i="4"/>
  <c r="AO7" i="7"/>
  <c r="BS43" i="3"/>
  <c r="BS14" i="3"/>
  <c r="BS42" i="3"/>
  <c r="BS18" i="2"/>
  <c r="BS158" i="3"/>
  <c r="BS149" i="3"/>
  <c r="BS25" i="2"/>
  <c r="BS167" i="3"/>
  <c r="BX175" i="3"/>
  <c r="BX179" i="3" s="1"/>
  <c r="BT6" i="3"/>
  <c r="H3" i="35" s="1"/>
  <c r="H11" i="35" s="1"/>
  <c r="BT30" i="3"/>
  <c r="CB183" i="3"/>
  <c r="CB12" i="3"/>
  <c r="CB7" i="3" s="1"/>
  <c r="CA242" i="2"/>
  <c r="BZ176" i="2"/>
  <c r="AV144" i="7"/>
  <c r="AS22" i="7"/>
  <c r="BW26" i="2"/>
  <c r="BW162" i="2"/>
  <c r="AS73" i="7" s="1"/>
  <c r="AV136" i="7"/>
  <c r="CA234" i="2"/>
  <c r="BX45" i="4"/>
  <c r="BW47" i="4"/>
  <c r="BV11" i="2"/>
  <c r="CA36" i="4"/>
  <c r="BZ38" i="4"/>
  <c r="AS20" i="7"/>
  <c r="BW19" i="2"/>
  <c r="CC163" i="2"/>
  <c r="AY37" i="7"/>
  <c r="CC73" i="2"/>
  <c r="AS14" i="7"/>
  <c r="BW12" i="2"/>
  <c r="AS15" i="7" s="1"/>
  <c r="BR28" i="4"/>
  <c r="BQ30" i="4"/>
  <c r="BS11" i="2"/>
  <c r="BT49" i="3"/>
  <c r="F15" i="1" s="1"/>
  <c r="U110" i="7"/>
  <c r="AY204" i="2"/>
  <c r="AX152" i="7"/>
  <c r="CC250" i="2"/>
  <c r="AV20" i="7"/>
  <c r="BZ19" i="2"/>
  <c r="BN56" i="4"/>
  <c r="BO31" i="4"/>
  <c r="BO56" i="4" s="1"/>
  <c r="CB196" i="3"/>
  <c r="I14" i="5"/>
  <c r="BO51" i="4"/>
  <c r="BO52" i="4"/>
  <c r="CA259" i="2"/>
  <c r="CB240" i="2"/>
  <c r="AW142" i="7"/>
  <c r="BI59" i="3"/>
  <c r="BJ58" i="3"/>
  <c r="BJ62" i="3"/>
  <c r="AV124" i="7"/>
  <c r="CA221" i="2"/>
  <c r="AW155" i="7"/>
  <c r="CB253" i="2"/>
  <c r="BV6" i="4"/>
  <c r="BV14" i="3"/>
  <c r="BV43" i="3"/>
  <c r="AR7" i="7"/>
  <c r="BV42" i="3"/>
  <c r="BV158" i="3"/>
  <c r="BV149" i="3"/>
  <c r="BV18" i="2"/>
  <c r="BV167" i="3"/>
  <c r="BV25" i="2"/>
  <c r="CA175" i="3"/>
  <c r="CA179" i="3" s="1"/>
  <c r="BZ22" i="3"/>
  <c r="BZ23" i="3"/>
  <c r="AJ148" i="7"/>
  <c r="BO246" i="2"/>
  <c r="AX141" i="7"/>
  <c r="CC239" i="2"/>
  <c r="AA123" i="7"/>
  <c r="BE228" i="2"/>
  <c r="C40" i="1"/>
  <c r="BE260" i="2"/>
  <c r="BE262" i="2" s="1"/>
  <c r="CA37" i="4"/>
  <c r="BZ39" i="4"/>
  <c r="BZ15" i="3"/>
  <c r="CC27" i="2"/>
  <c r="CC28" i="2"/>
  <c r="CC30" i="2"/>
  <c r="BQ29" i="4"/>
  <c r="BP31" i="4"/>
  <c r="AE10" i="7"/>
  <c r="BJ47" i="3"/>
  <c r="BS62" i="2" l="1"/>
  <c r="BX62" i="2" s="1"/>
  <c r="BN62" i="2"/>
  <c r="BI202" i="2"/>
  <c r="BI204" i="2" s="1"/>
  <c r="BI206" i="2" s="1"/>
  <c r="BH206" i="2"/>
  <c r="BM20" i="4"/>
  <c r="I3" i="35"/>
  <c r="I11" i="35" s="1"/>
  <c r="BO66" i="2"/>
  <c r="BI98" i="2"/>
  <c r="BI102" i="2" s="1"/>
  <c r="AE34" i="7"/>
  <c r="AE30" i="7"/>
  <c r="BN41" i="2"/>
  <c r="BS41" i="2" s="1"/>
  <c r="BX41" i="2" s="1"/>
  <c r="CC41" i="2" s="1"/>
  <c r="AE32" i="7"/>
  <c r="AE36" i="7"/>
  <c r="BJ61" i="3"/>
  <c r="BR13" i="4"/>
  <c r="BQ15" i="4"/>
  <c r="BW22" i="3"/>
  <c r="BJ66" i="2"/>
  <c r="J6" i="5"/>
  <c r="BT6" i="4"/>
  <c r="AP7" i="7"/>
  <c r="BT7" i="3"/>
  <c r="BT43" i="3"/>
  <c r="BT42" i="3"/>
  <c r="BT167" i="3"/>
  <c r="BT158" i="3"/>
  <c r="BT149" i="3"/>
  <c r="BT175" i="3"/>
  <c r="AF13" i="7"/>
  <c r="AE31" i="7"/>
  <c r="BJ44" i="2"/>
  <c r="AK148" i="7"/>
  <c r="BP246" i="2"/>
  <c r="CA183" i="3"/>
  <c r="CA12" i="3"/>
  <c r="CA7" i="3" s="1"/>
  <c r="BV50" i="4"/>
  <c r="BV7" i="4"/>
  <c r="BV27" i="4"/>
  <c r="BV11" i="4"/>
  <c r="BV35" i="4"/>
  <c r="BV44" i="4"/>
  <c r="U111" i="7"/>
  <c r="AY206" i="2"/>
  <c r="BZ45" i="4"/>
  <c r="BX47" i="4"/>
  <c r="BY47" i="4" s="1"/>
  <c r="AO20" i="7"/>
  <c r="BS19" i="2"/>
  <c r="BT18" i="2"/>
  <c r="BS50" i="4"/>
  <c r="BS7" i="4"/>
  <c r="BS11" i="4"/>
  <c r="BS44" i="4"/>
  <c r="BS27" i="4"/>
  <c r="BS35" i="4"/>
  <c r="AT135" i="7"/>
  <c r="BY233" i="2"/>
  <c r="I67" i="5"/>
  <c r="AE29" i="7"/>
  <c r="BI38" i="2"/>
  <c r="BJ37" i="2"/>
  <c r="AE143" i="7"/>
  <c r="BJ241" i="2"/>
  <c r="BV12" i="2"/>
  <c r="AR15" i="7" s="1"/>
  <c r="AR14" i="7"/>
  <c r="CB234" i="2"/>
  <c r="AW136" i="7"/>
  <c r="AF17" i="7"/>
  <c r="H9" i="5"/>
  <c r="BJ33" i="2"/>
  <c r="BJ15" i="2"/>
  <c r="BJ74" i="2"/>
  <c r="BJ19" i="4"/>
  <c r="AE35" i="7"/>
  <c r="BJ58" i="2"/>
  <c r="AE25" i="7"/>
  <c r="BI34" i="2"/>
  <c r="BI22" i="4"/>
  <c r="BI35" i="2"/>
  <c r="AY23" i="7"/>
  <c r="BT11" i="2"/>
  <c r="BT50" i="3"/>
  <c r="AX8" i="7"/>
  <c r="CB6" i="3"/>
  <c r="CC253" i="2"/>
  <c r="AX155" i="7"/>
  <c r="L59" i="5"/>
  <c r="AY141" i="7"/>
  <c r="CD239" i="2"/>
  <c r="AZ141" i="7" s="1"/>
  <c r="AR22" i="7"/>
  <c r="BV162" i="2"/>
  <c r="BV26" i="2"/>
  <c r="BJ59" i="3"/>
  <c r="D18" i="1"/>
  <c r="AO14" i="7"/>
  <c r="BS12" i="2"/>
  <c r="AO15" i="7" s="1"/>
  <c r="AW127" i="7"/>
  <c r="CB225" i="2"/>
  <c r="AE140" i="7"/>
  <c r="BJ238" i="2"/>
  <c r="BO54" i="4"/>
  <c r="BO18" i="4"/>
  <c r="BO60" i="4"/>
  <c r="BS28" i="4"/>
  <c r="BR30" i="4"/>
  <c r="AO22" i="7"/>
  <c r="BS162" i="2"/>
  <c r="BS26" i="2"/>
  <c r="BT25" i="2"/>
  <c r="BW52" i="4"/>
  <c r="BW51" i="4"/>
  <c r="Y110" i="7"/>
  <c r="BC204" i="2"/>
  <c r="AE38" i="7"/>
  <c r="AE57" i="7"/>
  <c r="BJ80" i="2"/>
  <c r="BI81" i="2"/>
  <c r="BI141" i="2"/>
  <c r="AA130" i="7"/>
  <c r="BE235" i="2"/>
  <c r="AF10" i="7"/>
  <c r="AE89" i="7"/>
  <c r="AE95" i="7"/>
  <c r="BJ180" i="2"/>
  <c r="CB55" i="3"/>
  <c r="CB50" i="3" s="1"/>
  <c r="CB49" i="3" s="1"/>
  <c r="CB187" i="3"/>
  <c r="BS15" i="3"/>
  <c r="BT14" i="3"/>
  <c r="BT21" i="3" s="1"/>
  <c r="AW147" i="7"/>
  <c r="CB245" i="2"/>
  <c r="AE33" i="7"/>
  <c r="BJ51" i="2"/>
  <c r="AX142" i="7"/>
  <c r="CC240" i="2"/>
  <c r="CB259" i="2"/>
  <c r="CB46" i="4"/>
  <c r="CA48" i="4"/>
  <c r="AE90" i="7"/>
  <c r="BJ181" i="2"/>
  <c r="BP56" i="4"/>
  <c r="CB37" i="4"/>
  <c r="CA39" i="4"/>
  <c r="BN18" i="4"/>
  <c r="BN54" i="4"/>
  <c r="BN60" i="4"/>
  <c r="BY45" i="4"/>
  <c r="AV85" i="7"/>
  <c r="BX196" i="3"/>
  <c r="AB111" i="7"/>
  <c r="AE81" i="7"/>
  <c r="BJ172" i="2"/>
  <c r="AY132" i="7"/>
  <c r="CD230" i="2"/>
  <c r="AZ132" i="7" s="1"/>
  <c r="CD250" i="2"/>
  <c r="AY152" i="7"/>
  <c r="BX183" i="3"/>
  <c r="BX12" i="3"/>
  <c r="BX7" i="3" s="1"/>
  <c r="BY179" i="3"/>
  <c r="BJ222" i="2"/>
  <c r="AE125" i="7"/>
  <c r="AW124" i="7"/>
  <c r="CB221" i="2"/>
  <c r="AR20" i="7"/>
  <c r="BV19" i="2"/>
  <c r="BV15" i="3"/>
  <c r="BR29" i="4"/>
  <c r="BQ31" i="4"/>
  <c r="CA196" i="3"/>
  <c r="BV21" i="3"/>
  <c r="AY74" i="7"/>
  <c r="CD163" i="2"/>
  <c r="AZ74" i="7" s="1"/>
  <c r="CB36" i="4"/>
  <c r="CA38" i="4"/>
  <c r="CA176" i="2"/>
  <c r="AW85" i="7" s="1"/>
  <c r="CB242" i="2"/>
  <c r="AW144" i="7"/>
  <c r="BS21" i="3"/>
  <c r="AX128" i="7"/>
  <c r="CC226" i="2"/>
  <c r="AY134" i="7"/>
  <c r="CD232" i="2"/>
  <c r="AZ134" i="7" s="1"/>
  <c r="BZ51" i="4"/>
  <c r="BZ52" i="4"/>
  <c r="AE18" i="7"/>
  <c r="AF81" i="7" l="1"/>
  <c r="AF90" i="7"/>
  <c r="BQ56" i="4"/>
  <c r="BQ18" i="4" s="1"/>
  <c r="AE51" i="7"/>
  <c r="BN63" i="2"/>
  <c r="BN61" i="2"/>
  <c r="BN60" i="2"/>
  <c r="AJ36" i="7" s="1"/>
  <c r="BN49" i="2"/>
  <c r="BN47" i="2"/>
  <c r="BN46" i="2"/>
  <c r="AJ32" i="7" s="1"/>
  <c r="BN42" i="2"/>
  <c r="BN40" i="2"/>
  <c r="BN39" i="2"/>
  <c r="AJ30" i="7" s="1"/>
  <c r="BN54" i="2"/>
  <c r="BS55" i="2"/>
  <c r="BX55" i="2" s="1"/>
  <c r="BN56" i="2"/>
  <c r="BN53" i="2"/>
  <c r="AJ34" i="7" s="1"/>
  <c r="BS13" i="4"/>
  <c r="BR15" i="4"/>
  <c r="BJ76" i="2"/>
  <c r="BO20" i="4"/>
  <c r="BT22" i="3"/>
  <c r="BT23" i="3"/>
  <c r="BX187" i="3"/>
  <c r="BX55" i="3"/>
  <c r="BX50" i="3" s="1"/>
  <c r="BX49" i="3" s="1"/>
  <c r="AF125" i="7"/>
  <c r="BJ267" i="2"/>
  <c r="CD226" i="2"/>
  <c r="AZ128" i="7" s="1"/>
  <c r="AY128" i="7"/>
  <c r="BV23" i="3"/>
  <c r="BV22" i="3"/>
  <c r="AZ152" i="7"/>
  <c r="BN20" i="4"/>
  <c r="BJ223" i="2"/>
  <c r="AE126" i="7"/>
  <c r="AF57" i="7"/>
  <c r="H31" i="5"/>
  <c r="H32" i="5" s="1"/>
  <c r="BJ81" i="2"/>
  <c r="BJ82" i="2"/>
  <c r="BI23" i="4"/>
  <c r="AE26" i="7"/>
  <c r="AF38" i="7"/>
  <c r="AF29" i="7"/>
  <c r="H16" i="5"/>
  <c r="BJ38" i="2"/>
  <c r="BJ39" i="2"/>
  <c r="AP20" i="7"/>
  <c r="J13" i="5"/>
  <c r="BT19" i="2"/>
  <c r="BT20" i="2"/>
  <c r="J7" i="5"/>
  <c r="CC36" i="4"/>
  <c r="CC38" i="4" s="1"/>
  <c r="CB38" i="4"/>
  <c r="CC245" i="2"/>
  <c r="AX147" i="7"/>
  <c r="CB11" i="2"/>
  <c r="BJ164" i="2"/>
  <c r="AE75" i="7"/>
  <c r="BI287" i="2"/>
  <c r="BT27" i="2"/>
  <c r="AP22" i="7"/>
  <c r="BT26" i="2"/>
  <c r="AE145" i="7"/>
  <c r="AY155" i="7"/>
  <c r="CD253" i="2"/>
  <c r="AZ155" i="7" s="1"/>
  <c r="AF18" i="7"/>
  <c r="AW8" i="7"/>
  <c r="CA6" i="3"/>
  <c r="AE129" i="7"/>
  <c r="BJ227" i="2"/>
  <c r="BJ231" i="2"/>
  <c r="AE133" i="7"/>
  <c r="AA137" i="7"/>
  <c r="BE256" i="2"/>
  <c r="C39" i="1"/>
  <c r="BF264" i="2"/>
  <c r="BE264" i="2"/>
  <c r="Y111" i="7"/>
  <c r="BC206" i="2"/>
  <c r="BD202" i="2"/>
  <c r="BJ22" i="4"/>
  <c r="AF25" i="7"/>
  <c r="BJ34" i="2"/>
  <c r="BJ35" i="2"/>
  <c r="CA187" i="3"/>
  <c r="CA55" i="3"/>
  <c r="CA50" i="3" s="1"/>
  <c r="CA49" i="3" s="1"/>
  <c r="CC221" i="2"/>
  <c r="AX124" i="7"/>
  <c r="AY142" i="7"/>
  <c r="CC259" i="2"/>
  <c r="CD240" i="2"/>
  <c r="AF89" i="7"/>
  <c r="H61" i="5"/>
  <c r="BJ186" i="2"/>
  <c r="BJ269" i="2"/>
  <c r="D35" i="1"/>
  <c r="D36" i="1" s="1"/>
  <c r="AO73" i="7"/>
  <c r="BT162" i="2"/>
  <c r="AE82" i="7"/>
  <c r="BJ173" i="2"/>
  <c r="AX127" i="7"/>
  <c r="CC225" i="2"/>
  <c r="AF35" i="7"/>
  <c r="H22" i="5"/>
  <c r="H23" i="5" s="1"/>
  <c r="BJ59" i="2"/>
  <c r="BJ60" i="2"/>
  <c r="AX136" i="7"/>
  <c r="CC234" i="2"/>
  <c r="AL148" i="7"/>
  <c r="BQ246" i="2"/>
  <c r="BS23" i="3"/>
  <c r="BS22" i="3"/>
  <c r="BS29" i="4"/>
  <c r="BT29" i="4" s="1"/>
  <c r="BR31" i="4"/>
  <c r="AT8" i="7"/>
  <c r="BX6" i="3"/>
  <c r="CC46" i="4"/>
  <c r="CB48" i="4"/>
  <c r="AF33" i="7"/>
  <c r="H25" i="5"/>
  <c r="BJ52" i="2"/>
  <c r="BJ53" i="2"/>
  <c r="BJ141" i="2"/>
  <c r="AE27" i="7"/>
  <c r="BJ142" i="2"/>
  <c r="AF31" i="7"/>
  <c r="H19" i="5"/>
  <c r="H20" i="5" s="1"/>
  <c r="BJ45" i="2"/>
  <c r="BJ46" i="2"/>
  <c r="AP8" i="7"/>
  <c r="BT8" i="3"/>
  <c r="CE8" i="3" s="1"/>
  <c r="AF140" i="7"/>
  <c r="BJ268" i="2"/>
  <c r="BJ243" i="2"/>
  <c r="BU28" i="4"/>
  <c r="BS30" i="4"/>
  <c r="BT30" i="4" s="1"/>
  <c r="BT28" i="4"/>
  <c r="H11" i="5"/>
  <c r="H10" i="5"/>
  <c r="H47" i="5"/>
  <c r="H70" i="5"/>
  <c r="H29" i="5"/>
  <c r="H60" i="5"/>
  <c r="BJ175" i="2"/>
  <c r="AE84" i="7"/>
  <c r="CA45" i="4"/>
  <c r="BZ47" i="4"/>
  <c r="AX144" i="7"/>
  <c r="CB176" i="2"/>
  <c r="AX85" i="7" s="1"/>
  <c r="CC242" i="2"/>
  <c r="AC110" i="7"/>
  <c r="CC37" i="4"/>
  <c r="CC39" i="4" s="1"/>
  <c r="CB39" i="4"/>
  <c r="CD37" i="4"/>
  <c r="BP54" i="4"/>
  <c r="BP18" i="4"/>
  <c r="BP60" i="4"/>
  <c r="BT16" i="3"/>
  <c r="BT15" i="3"/>
  <c r="AR73" i="7"/>
  <c r="BT12" i="2"/>
  <c r="AP15" i="7" s="1"/>
  <c r="AP14" i="7"/>
  <c r="AF143" i="7"/>
  <c r="BJ270" i="2"/>
  <c r="BZ233" i="2"/>
  <c r="AU135" i="7"/>
  <c r="BS52" i="4"/>
  <c r="BS51" i="4"/>
  <c r="BV51" i="4"/>
  <c r="BV52" i="4"/>
  <c r="AE79" i="7"/>
  <c r="BJ169" i="2"/>
  <c r="CB6" i="4"/>
  <c r="AX7" i="7"/>
  <c r="CB14" i="3"/>
  <c r="CB15" i="3" s="1"/>
  <c r="CB43" i="3"/>
  <c r="CB42" i="3"/>
  <c r="CB158" i="3"/>
  <c r="CB167" i="3"/>
  <c r="CB149" i="3"/>
  <c r="CB18" i="2"/>
  <c r="CB25" i="2"/>
  <c r="AE40" i="7"/>
  <c r="BI84" i="2"/>
  <c r="BI77" i="2"/>
  <c r="BI78" i="2"/>
  <c r="BT7" i="4"/>
  <c r="BT50" i="4"/>
  <c r="BT27" i="4"/>
  <c r="BT11" i="4"/>
  <c r="BT35" i="4"/>
  <c r="CD39" i="4" l="1"/>
  <c r="AF84" i="7"/>
  <c r="AF82" i="7"/>
  <c r="AF95" i="7"/>
  <c r="BR56" i="4"/>
  <c r="BR18" i="4" s="1"/>
  <c r="BQ54" i="4"/>
  <c r="BQ60" i="4"/>
  <c r="BQ20" i="4" s="1"/>
  <c r="CD36" i="4"/>
  <c r="CD38" i="4"/>
  <c r="H12" i="35"/>
  <c r="H17" i="35"/>
  <c r="H20" i="35"/>
  <c r="I5" i="35"/>
  <c r="H5" i="35"/>
  <c r="H18" i="35" s="1"/>
  <c r="I18" i="35" s="1"/>
  <c r="I19" i="35" s="1"/>
  <c r="BS54" i="2"/>
  <c r="BS56" i="2"/>
  <c r="BS53" i="2"/>
  <c r="AO34" i="7" s="1"/>
  <c r="BS42" i="2"/>
  <c r="BS40" i="2"/>
  <c r="BS39" i="2"/>
  <c r="AO30" i="7" s="1"/>
  <c r="BS47" i="2"/>
  <c r="BS49" i="2"/>
  <c r="BS46" i="2"/>
  <c r="AO32" i="7" s="1"/>
  <c r="BS61" i="2"/>
  <c r="BS63" i="2"/>
  <c r="BS60" i="2"/>
  <c r="AO36" i="7" s="1"/>
  <c r="BS15" i="4"/>
  <c r="BT15" i="4" s="1"/>
  <c r="BU13" i="4"/>
  <c r="BT13" i="4"/>
  <c r="BP20" i="4"/>
  <c r="AY144" i="7"/>
  <c r="CC176" i="2"/>
  <c r="AY85" i="7" s="1"/>
  <c r="CD242" i="2"/>
  <c r="AZ144" i="7" s="1"/>
  <c r="AX20" i="7"/>
  <c r="CB19" i="2"/>
  <c r="BX43" i="3"/>
  <c r="AT7" i="7"/>
  <c r="BX14" i="3"/>
  <c r="BX21" i="3" s="1"/>
  <c r="BX6" i="4"/>
  <c r="BX42" i="3"/>
  <c r="BX158" i="3"/>
  <c r="BX149" i="3"/>
  <c r="BX167" i="3"/>
  <c r="BX18" i="2"/>
  <c r="BX25" i="2"/>
  <c r="CC175" i="3"/>
  <c r="CC179" i="3" s="1"/>
  <c r="BY30" i="3"/>
  <c r="BY6" i="3"/>
  <c r="AF36" i="7"/>
  <c r="J14" i="5"/>
  <c r="AF126" i="7"/>
  <c r="BI86" i="2"/>
  <c r="BI108" i="2"/>
  <c r="BI134" i="2" s="1"/>
  <c r="BI85" i="2"/>
  <c r="BI88" i="2"/>
  <c r="BJ143" i="2"/>
  <c r="H26" i="5"/>
  <c r="H40" i="5"/>
  <c r="AY136" i="7"/>
  <c r="CD234" i="2"/>
  <c r="AZ136" i="7" s="1"/>
  <c r="AF26" i="7"/>
  <c r="BJ23" i="4"/>
  <c r="AF129" i="7"/>
  <c r="AE154" i="7"/>
  <c r="BJ252" i="2"/>
  <c r="BU29" i="4"/>
  <c r="BS31" i="4"/>
  <c r="AF75" i="7"/>
  <c r="BJ287" i="2"/>
  <c r="BJ77" i="2"/>
  <c r="BJ98" i="2"/>
  <c r="AF40" i="7"/>
  <c r="D23" i="1"/>
  <c r="BJ78" i="2"/>
  <c r="BJ84" i="2"/>
  <c r="AF133" i="7"/>
  <c r="CB21" i="3"/>
  <c r="AC111" i="7"/>
  <c r="H34" i="5"/>
  <c r="BJ247" i="2"/>
  <c r="AF145" i="7"/>
  <c r="AM148" i="7"/>
  <c r="BR246" i="2"/>
  <c r="CD225" i="2"/>
  <c r="AZ127" i="7" s="1"/>
  <c r="AY127" i="7"/>
  <c r="AX14" i="7"/>
  <c r="CB12" i="2"/>
  <c r="AX15" i="7" s="1"/>
  <c r="AX22" i="7"/>
  <c r="CB162" i="2"/>
  <c r="AX73" i="7" s="1"/>
  <c r="CB26" i="2"/>
  <c r="BX11" i="2"/>
  <c r="BY49" i="3"/>
  <c r="CA11" i="2"/>
  <c r="AE41" i="7"/>
  <c r="BV28" i="4"/>
  <c r="BU30" i="4"/>
  <c r="AF34" i="7"/>
  <c r="CC48" i="4"/>
  <c r="CD48" i="4" s="1"/>
  <c r="CD46" i="4"/>
  <c r="J65" i="5"/>
  <c r="BT271" i="2"/>
  <c r="AP73" i="7"/>
  <c r="AP21" i="7"/>
  <c r="AV135" i="7"/>
  <c r="CA233" i="2"/>
  <c r="AY124" i="7"/>
  <c r="CD221" i="2"/>
  <c r="AZ124" i="7" s="1"/>
  <c r="AP23" i="7"/>
  <c r="AF30" i="7"/>
  <c r="AE42" i="7"/>
  <c r="H62" i="5"/>
  <c r="CA43" i="3"/>
  <c r="AW7" i="7"/>
  <c r="CA6" i="4"/>
  <c r="CA14" i="3"/>
  <c r="CA21" i="3" s="1"/>
  <c r="CA42" i="3"/>
  <c r="CA158" i="3"/>
  <c r="CA167" i="3"/>
  <c r="CA149" i="3"/>
  <c r="CA18" i="2"/>
  <c r="CA25" i="2"/>
  <c r="CD245" i="2"/>
  <c r="AZ147" i="7" s="1"/>
  <c r="AY147" i="7"/>
  <c r="BT52" i="4"/>
  <c r="BT51" i="4"/>
  <c r="AE49" i="7"/>
  <c r="BI99" i="2"/>
  <c r="CB7" i="4"/>
  <c r="CB50" i="4"/>
  <c r="CB27" i="4"/>
  <c r="CB35" i="4"/>
  <c r="CB11" i="4"/>
  <c r="CB44" i="4"/>
  <c r="H63" i="5"/>
  <c r="H64" i="5" s="1"/>
  <c r="AF79" i="7"/>
  <c r="CB45" i="4"/>
  <c r="CA47" i="4"/>
  <c r="AF32" i="7"/>
  <c r="AZ142" i="7"/>
  <c r="CD259" i="2"/>
  <c r="AF27" i="7"/>
  <c r="Z110" i="7"/>
  <c r="BD204" i="2"/>
  <c r="AE149" i="7"/>
  <c r="H17" i="5"/>
  <c r="BR60" i="4" l="1"/>
  <c r="BR20" i="4" s="1"/>
  <c r="BR54" i="4"/>
  <c r="K3" i="35"/>
  <c r="K11" i="35" s="1"/>
  <c r="L3" i="35"/>
  <c r="L11" i="35" s="1"/>
  <c r="H19" i="35"/>
  <c r="BI136" i="2"/>
  <c r="BX40" i="2"/>
  <c r="BX42" i="2"/>
  <c r="BX39" i="2"/>
  <c r="AT30" i="7" s="1"/>
  <c r="CC48" i="2"/>
  <c r="BX47" i="2"/>
  <c r="BX49" i="2"/>
  <c r="BX46" i="2"/>
  <c r="AT32" i="7" s="1"/>
  <c r="BX63" i="2"/>
  <c r="BX61" i="2"/>
  <c r="CC62" i="2"/>
  <c r="BX60" i="2"/>
  <c r="AT36" i="7" s="1"/>
  <c r="BX54" i="2"/>
  <c r="CC55" i="2"/>
  <c r="BX56" i="2"/>
  <c r="BX53" i="2"/>
  <c r="AT34" i="7" s="1"/>
  <c r="BV13" i="4"/>
  <c r="BU15" i="4"/>
  <c r="CD176" i="2"/>
  <c r="AZ85" i="7" s="1"/>
  <c r="CC45" i="4"/>
  <c r="CC47" i="4" s="1"/>
  <c r="CB47" i="4"/>
  <c r="CD45" i="4"/>
  <c r="AN148" i="7"/>
  <c r="BS246" i="2"/>
  <c r="BV29" i="4"/>
  <c r="BU31" i="4"/>
  <c r="CB52" i="4"/>
  <c r="CB51" i="4"/>
  <c r="AW22" i="7"/>
  <c r="CA162" i="2"/>
  <c r="CA26" i="2"/>
  <c r="CA15" i="3"/>
  <c r="CB233" i="2"/>
  <c r="AW135" i="7"/>
  <c r="BJ99" i="2"/>
  <c r="AF49" i="7"/>
  <c r="BI90" i="2"/>
  <c r="AE44" i="7"/>
  <c r="BI92" i="2"/>
  <c r="BI89" i="2"/>
  <c r="BI263" i="2"/>
  <c r="CC196" i="3"/>
  <c r="CA50" i="4"/>
  <c r="CA7" i="4"/>
  <c r="CA11" i="4"/>
  <c r="CA27" i="4"/>
  <c r="CA44" i="4"/>
  <c r="CA35" i="4"/>
  <c r="J67" i="5"/>
  <c r="BY11" i="2"/>
  <c r="BY50" i="3"/>
  <c r="AF149" i="7"/>
  <c r="D42" i="1"/>
  <c r="AF154" i="7"/>
  <c r="BI111" i="2"/>
  <c r="BI109" i="2"/>
  <c r="BJ108" i="2"/>
  <c r="BJ134" i="2" s="1"/>
  <c r="Z111" i="7"/>
  <c r="BD206" i="2"/>
  <c r="AW20" i="7"/>
  <c r="CA19" i="2"/>
  <c r="AT14" i="7"/>
  <c r="BX12" i="2"/>
  <c r="AT15" i="7" s="1"/>
  <c r="H42" i="5"/>
  <c r="H43" i="5" s="1"/>
  <c r="H44" i="5" s="1"/>
  <c r="H49" i="5"/>
  <c r="H35" i="5"/>
  <c r="H37" i="5" s="1"/>
  <c r="H36" i="5"/>
  <c r="BW28" i="4"/>
  <c r="BV30" i="4"/>
  <c r="K6" i="5"/>
  <c r="AU7" i="7"/>
  <c r="BY6" i="4"/>
  <c r="BY7" i="3"/>
  <c r="BY42" i="3"/>
  <c r="BY43" i="3"/>
  <c r="BY149" i="3"/>
  <c r="BY158" i="3"/>
  <c r="BY167" i="3"/>
  <c r="BY175" i="3"/>
  <c r="AE50" i="7"/>
  <c r="BJ101" i="2"/>
  <c r="BJ104" i="2" s="1"/>
  <c r="BJ88" i="2"/>
  <c r="BJ85" i="2"/>
  <c r="BJ86" i="2"/>
  <c r="CC183" i="3"/>
  <c r="CC12" i="3"/>
  <c r="CC7" i="3" s="1"/>
  <c r="CD179" i="3"/>
  <c r="BX50" i="4"/>
  <c r="BX7" i="4"/>
  <c r="BX11" i="4"/>
  <c r="BX44" i="4"/>
  <c r="BX27" i="4"/>
  <c r="BX35" i="4"/>
  <c r="CA23" i="3"/>
  <c r="CA22" i="3"/>
  <c r="AD110" i="7"/>
  <c r="AF42" i="7"/>
  <c r="D24" i="1"/>
  <c r="AT22" i="7"/>
  <c r="BX26" i="2"/>
  <c r="BX162" i="2"/>
  <c r="BY25" i="2"/>
  <c r="BX15" i="3"/>
  <c r="BY14" i="3"/>
  <c r="AF41" i="7"/>
  <c r="AW14" i="7"/>
  <c r="CA12" i="2"/>
  <c r="AW15" i="7" s="1"/>
  <c r="BI104" i="2"/>
  <c r="CB22" i="3"/>
  <c r="CB23" i="3"/>
  <c r="BS56" i="4"/>
  <c r="BT31" i="4"/>
  <c r="BT56" i="4" s="1"/>
  <c r="AT20" i="7"/>
  <c r="BX19" i="2"/>
  <c r="BY18" i="2"/>
  <c r="BX23" i="3"/>
  <c r="BX22" i="3"/>
  <c r="BY21" i="3" l="1"/>
  <c r="H23" i="35"/>
  <c r="CD47" i="4"/>
  <c r="CC61" i="2"/>
  <c r="CC60" i="2" s="1"/>
  <c r="AY36" i="7" s="1"/>
  <c r="CC63" i="2"/>
  <c r="CC54" i="2"/>
  <c r="CC56" i="2"/>
  <c r="CC53" i="2"/>
  <c r="AY34" i="7" s="1"/>
  <c r="CC49" i="2"/>
  <c r="CC46" i="2" s="1"/>
  <c r="AY32" i="7" s="1"/>
  <c r="CC47" i="2"/>
  <c r="CC42" i="2"/>
  <c r="CC40" i="2"/>
  <c r="CC39" i="2"/>
  <c r="AY30" i="7" s="1"/>
  <c r="BW13" i="4"/>
  <c r="BV15" i="4"/>
  <c r="AU20" i="7"/>
  <c r="BY20" i="2"/>
  <c r="BY19" i="2"/>
  <c r="K13" i="5"/>
  <c r="BI105" i="2"/>
  <c r="BI118" i="2"/>
  <c r="AE53" i="7"/>
  <c r="K7" i="5"/>
  <c r="BI112" i="2"/>
  <c r="BJ111" i="2"/>
  <c r="BJ114" i="2" s="1"/>
  <c r="CA52" i="4"/>
  <c r="CA51" i="4"/>
  <c r="AE46" i="7"/>
  <c r="BT18" i="4"/>
  <c r="BT54" i="4"/>
  <c r="BT60" i="4"/>
  <c r="BX51" i="4"/>
  <c r="BX52" i="4"/>
  <c r="AO148" i="7"/>
  <c r="BT246" i="2"/>
  <c r="AD111" i="7"/>
  <c r="AE110" i="7"/>
  <c r="CC187" i="3"/>
  <c r="CC55" i="3"/>
  <c r="CC50" i="3" s="1"/>
  <c r="CC49" i="3" s="1"/>
  <c r="BY7" i="4"/>
  <c r="BY50" i="4"/>
  <c r="BY35" i="4"/>
  <c r="BY27" i="4"/>
  <c r="BY11" i="4"/>
  <c r="AE45" i="7"/>
  <c r="AX135" i="7"/>
  <c r="CC233" i="2"/>
  <c r="BW29" i="4"/>
  <c r="BV31" i="4"/>
  <c r="AF53" i="7"/>
  <c r="BJ105" i="2"/>
  <c r="D29" i="1"/>
  <c r="D30" i="1" s="1"/>
  <c r="BJ102" i="2"/>
  <c r="AF50" i="7"/>
  <c r="BY16" i="3"/>
  <c r="BY15" i="3"/>
  <c r="AY8" i="7"/>
  <c r="CC6" i="3"/>
  <c r="BY8" i="3"/>
  <c r="AU8" i="7"/>
  <c r="BJ109" i="2"/>
  <c r="BU56" i="4"/>
  <c r="AU22" i="7"/>
  <c r="BY26" i="2"/>
  <c r="BY27" i="2"/>
  <c r="BI137" i="2"/>
  <c r="BI209" i="2" s="1"/>
  <c r="BI94" i="2"/>
  <c r="BI93" i="2"/>
  <c r="BS54" i="4"/>
  <c r="BS18" i="4"/>
  <c r="BS60" i="4"/>
  <c r="AF44" i="7"/>
  <c r="BJ92" i="2"/>
  <c r="BJ89" i="2"/>
  <c r="BJ90" i="2"/>
  <c r="D20" i="1"/>
  <c r="BJ263" i="2"/>
  <c r="AT73" i="7"/>
  <c r="BY162" i="2"/>
  <c r="BX28" i="4"/>
  <c r="BW30" i="4"/>
  <c r="BI114" i="2"/>
  <c r="AU14" i="7"/>
  <c r="BY12" i="2"/>
  <c r="AU15" i="7" s="1"/>
  <c r="AW73" i="7"/>
  <c r="BY22" i="3" l="1"/>
  <c r="BY23" i="3"/>
  <c r="BV56" i="4"/>
  <c r="BV54" i="4" s="1"/>
  <c r="L5" i="35"/>
  <c r="K5" i="35"/>
  <c r="K18" i="35" s="1"/>
  <c r="H24" i="35"/>
  <c r="BX13" i="4"/>
  <c r="BW15" i="4"/>
  <c r="BS20" i="4"/>
  <c r="AE58" i="7"/>
  <c r="BI115" i="2"/>
  <c r="AY135" i="7"/>
  <c r="CD233" i="2"/>
  <c r="AZ135" i="7" s="1"/>
  <c r="BJ93" i="2"/>
  <c r="BJ94" i="2"/>
  <c r="BI138" i="2"/>
  <c r="AE63" i="7"/>
  <c r="AE54" i="7"/>
  <c r="BI106" i="2"/>
  <c r="BJ115" i="2"/>
  <c r="AF58" i="7"/>
  <c r="BX29" i="4"/>
  <c r="BW31" i="4"/>
  <c r="BT20" i="4"/>
  <c r="H51" i="5"/>
  <c r="BJ112" i="2"/>
  <c r="K14" i="5"/>
  <c r="K65" i="5"/>
  <c r="BY271" i="2"/>
  <c r="AU73" i="7"/>
  <c r="BU18" i="4"/>
  <c r="BU54" i="4"/>
  <c r="BU60" i="4"/>
  <c r="BY52" i="4"/>
  <c r="BY51" i="4"/>
  <c r="AU21" i="7"/>
  <c r="AF46" i="7"/>
  <c r="AY7" i="7"/>
  <c r="CC6" i="4"/>
  <c r="CC42" i="3"/>
  <c r="CC14" i="3"/>
  <c r="CC21" i="3" s="1"/>
  <c r="CC43" i="3"/>
  <c r="CC158" i="3"/>
  <c r="CC167" i="3"/>
  <c r="CC149" i="3"/>
  <c r="CC18" i="2"/>
  <c r="CC25" i="2"/>
  <c r="CD6" i="3"/>
  <c r="CC11" i="2"/>
  <c r="CD49" i="3"/>
  <c r="AP148" i="7"/>
  <c r="BU246" i="2"/>
  <c r="BZ28" i="4"/>
  <c r="BX30" i="4"/>
  <c r="BY28" i="4"/>
  <c r="AF45" i="7"/>
  <c r="D21" i="1"/>
  <c r="BI286" i="2"/>
  <c r="BJ135" i="2"/>
  <c r="BJ137" i="2" s="1"/>
  <c r="AU23" i="7"/>
  <c r="AF51" i="7"/>
  <c r="AF54" i="7"/>
  <c r="BJ106" i="2"/>
  <c r="D32" i="1"/>
  <c r="D33" i="1" s="1"/>
  <c r="BI119" i="2"/>
  <c r="BJ118" i="2"/>
  <c r="BJ119" i="2" s="1"/>
  <c r="BV18" i="4" l="1"/>
  <c r="BV60" i="4"/>
  <c r="L18" i="35"/>
  <c r="L19" i="35" s="1"/>
  <c r="L23" i="35" s="1"/>
  <c r="K19" i="35"/>
  <c r="K23" i="35" s="1"/>
  <c r="O3" i="35"/>
  <c r="BW56" i="4"/>
  <c r="BW54" i="4" s="1"/>
  <c r="BZ13" i="4"/>
  <c r="BX15" i="4"/>
  <c r="BY15" i="4" s="1"/>
  <c r="BY13" i="4"/>
  <c r="BU20" i="4"/>
  <c r="CD6" i="4"/>
  <c r="AZ7" i="7"/>
  <c r="L6" i="5"/>
  <c r="CD7" i="3"/>
  <c r="CD42" i="3"/>
  <c r="CD43" i="3"/>
  <c r="CD167" i="3"/>
  <c r="CD158" i="3"/>
  <c r="CD149" i="3"/>
  <c r="CD175" i="3"/>
  <c r="AY14" i="7"/>
  <c r="CC12" i="2"/>
  <c r="AY15" i="7" s="1"/>
  <c r="AF63" i="7"/>
  <c r="BJ138" i="2"/>
  <c r="D26" i="1"/>
  <c r="D27" i="1" s="1"/>
  <c r="AF55" i="7"/>
  <c r="BY30" i="4"/>
  <c r="CC15" i="3"/>
  <c r="CD14" i="3"/>
  <c r="BJ160" i="2"/>
  <c r="AE71" i="7"/>
  <c r="AY22" i="7"/>
  <c r="CC26" i="2"/>
  <c r="CC162" i="2"/>
  <c r="CD25" i="2"/>
  <c r="CC50" i="4"/>
  <c r="CC7" i="4"/>
  <c r="CC11" i="4"/>
  <c r="CC27" i="4"/>
  <c r="CC44" i="4"/>
  <c r="CC35" i="4"/>
  <c r="AE64" i="7"/>
  <c r="BI139" i="2"/>
  <c r="CC22" i="3"/>
  <c r="CC23" i="3"/>
  <c r="AE55" i="7"/>
  <c r="BZ29" i="4"/>
  <c r="BX31" i="4"/>
  <c r="BY29" i="4"/>
  <c r="AY20" i="7"/>
  <c r="CC19" i="2"/>
  <c r="CD18" i="2"/>
  <c r="AQ148" i="7"/>
  <c r="BV246" i="2"/>
  <c r="H52" i="5"/>
  <c r="H54" i="5"/>
  <c r="BJ116" i="2"/>
  <c r="AF59" i="7"/>
  <c r="CA28" i="4"/>
  <c r="BZ30" i="4"/>
  <c r="K67" i="5"/>
  <c r="BJ136" i="2"/>
  <c r="BJ286" i="2"/>
  <c r="CD50" i="3"/>
  <c r="CD11" i="2"/>
  <c r="AE59" i="7"/>
  <c r="BI116" i="2"/>
  <c r="BV20" i="4" l="1"/>
  <c r="CD21" i="3"/>
  <c r="K24" i="35"/>
  <c r="L24" i="35"/>
  <c r="BW60" i="4"/>
  <c r="BW18" i="4"/>
  <c r="BZ15" i="4"/>
  <c r="CA13" i="4"/>
  <c r="AF60" i="7"/>
  <c r="AZ20" i="7"/>
  <c r="L13" i="5"/>
  <c r="CD19" i="2"/>
  <c r="CD20" i="2"/>
  <c r="BY31" i="4"/>
  <c r="BY56" i="4" s="1"/>
  <c r="BX56" i="4"/>
  <c r="AF71" i="7"/>
  <c r="CD7" i="4"/>
  <c r="CD50" i="4"/>
  <c r="CD27" i="4"/>
  <c r="CD11" i="4"/>
  <c r="CD35" i="4"/>
  <c r="AR148" i="7"/>
  <c r="BW246" i="2"/>
  <c r="AE65" i="7"/>
  <c r="CB28" i="4"/>
  <c r="CA30" i="4"/>
  <c r="AZ22" i="7"/>
  <c r="CD27" i="2"/>
  <c r="CD26" i="2"/>
  <c r="CD15" i="3"/>
  <c r="CD16" i="3"/>
  <c r="AZ14" i="7"/>
  <c r="CD12" i="2"/>
  <c r="AZ15" i="7" s="1"/>
  <c r="L7" i="5"/>
  <c r="M7" i="5" s="1"/>
  <c r="AE60" i="7"/>
  <c r="CC51" i="4"/>
  <c r="CC52" i="4"/>
  <c r="AY73" i="7"/>
  <c r="CD162" i="2"/>
  <c r="AE153" i="7"/>
  <c r="BJ251" i="2"/>
  <c r="CA29" i="4"/>
  <c r="BZ31" i="4"/>
  <c r="H56" i="5"/>
  <c r="AF64" i="7"/>
  <c r="BJ139" i="2"/>
  <c r="CD8" i="3"/>
  <c r="AZ8" i="7"/>
  <c r="CD23" i="3" l="1"/>
  <c r="CD22" i="3"/>
  <c r="AZ23" i="7"/>
  <c r="N5" i="35"/>
  <c r="N18" i="35" s="1"/>
  <c r="N19" i="35" s="1"/>
  <c r="O5" i="35"/>
  <c r="BW20" i="4"/>
  <c r="CA15" i="4"/>
  <c r="CB13" i="4"/>
  <c r="AZ73" i="7"/>
  <c r="L65" i="5"/>
  <c r="CD271" i="2"/>
  <c r="BX54" i="4"/>
  <c r="BX18" i="4"/>
  <c r="BX60" i="4"/>
  <c r="CD51" i="4"/>
  <c r="CD52" i="4"/>
  <c r="BY18" i="4"/>
  <c r="BY54" i="4"/>
  <c r="BY60" i="4"/>
  <c r="BX246" i="2"/>
  <c r="AS148" i="7"/>
  <c r="N7" i="5"/>
  <c r="M6" i="5"/>
  <c r="L14" i="5"/>
  <c r="M14" i="5" s="1"/>
  <c r="N14" i="5" s="1"/>
  <c r="O14" i="5" s="1"/>
  <c r="P14" i="5" s="1"/>
  <c r="AZ21" i="7"/>
  <c r="AE156" i="7"/>
  <c r="BI261" i="2"/>
  <c r="AE157" i="7"/>
  <c r="BI265" i="2"/>
  <c r="CB29" i="4"/>
  <c r="CA31" i="4"/>
  <c r="AF153" i="7"/>
  <c r="BJ254" i="2"/>
  <c r="CC28" i="4"/>
  <c r="CB30" i="4"/>
  <c r="BZ56" i="4"/>
  <c r="AF65" i="7"/>
  <c r="O18" i="35" l="1"/>
  <c r="CA56" i="4"/>
  <c r="CA18" i="4" s="1"/>
  <c r="CB15" i="4"/>
  <c r="CC13" i="4"/>
  <c r="AF156" i="7"/>
  <c r="D44" i="1"/>
  <c r="BJ261" i="2"/>
  <c r="BJ255" i="2"/>
  <c r="AF157" i="7" s="1"/>
  <c r="BJ265" i="2"/>
  <c r="AT148" i="7"/>
  <c r="BY246" i="2"/>
  <c r="M13" i="5"/>
  <c r="O7" i="5"/>
  <c r="N6" i="5"/>
  <c r="L67" i="5"/>
  <c r="CC29" i="4"/>
  <c r="CC31" i="4" s="1"/>
  <c r="CB31" i="4"/>
  <c r="CC30" i="4"/>
  <c r="CD30" i="4" s="1"/>
  <c r="CD28" i="4"/>
  <c r="BZ18" i="4"/>
  <c r="BZ54" i="4"/>
  <c r="BZ60" i="4"/>
  <c r="BY20" i="4"/>
  <c r="BX20" i="4"/>
  <c r="CD31" i="4" l="1"/>
  <c r="CA60" i="4"/>
  <c r="CA20" i="4" s="1"/>
  <c r="CA54" i="4"/>
  <c r="CD29" i="4"/>
  <c r="CB56" i="4"/>
  <c r="CB18" i="4" s="1"/>
  <c r="CC15" i="4"/>
  <c r="CC56" i="4" s="1"/>
  <c r="CC60" i="4" s="1"/>
  <c r="CD13" i="4"/>
  <c r="BZ20" i="4"/>
  <c r="O6" i="5"/>
  <c r="AU148" i="7"/>
  <c r="BZ246" i="2"/>
  <c r="N13" i="5"/>
  <c r="AE123" i="7"/>
  <c r="BI260" i="2"/>
  <c r="BI262" i="2" s="1"/>
  <c r="CC18" i="4" l="1"/>
  <c r="CC20" i="4" s="1"/>
  <c r="CB54" i="4"/>
  <c r="CB60" i="4"/>
  <c r="CB20" i="4" s="1"/>
  <c r="CC54" i="4"/>
  <c r="CD15" i="4"/>
  <c r="CD56" i="4" s="1"/>
  <c r="O13" i="5"/>
  <c r="P6" i="5"/>
  <c r="CA246" i="2"/>
  <c r="AV148" i="7"/>
  <c r="AE130" i="7"/>
  <c r="CD60" i="4" l="1"/>
  <c r="CD54" i="4"/>
  <c r="CD18" i="4"/>
  <c r="AW148" i="7"/>
  <c r="CB246" i="2"/>
  <c r="P13" i="5"/>
  <c r="CB33" i="3"/>
  <c r="CC33" i="3" s="1"/>
  <c r="CB31" i="3"/>
  <c r="CC31" i="3" s="1"/>
  <c r="AE137" i="7"/>
  <c r="BI264" i="2"/>
  <c r="CD20" i="4" l="1"/>
  <c r="CB30" i="3"/>
  <c r="CC30" i="3"/>
  <c r="CC246" i="2"/>
  <c r="AX148" i="7"/>
  <c r="CD30" i="3" l="1"/>
  <c r="AY148" i="7"/>
  <c r="CD246" i="2"/>
  <c r="AZ148" i="7" s="1"/>
  <c r="AE9" i="7" l="1"/>
  <c r="BI26" i="3"/>
  <c r="BI27" i="3"/>
  <c r="BI28" i="3" s="1"/>
  <c r="BI35" i="3"/>
  <c r="BJ35" i="3" l="1"/>
  <c r="BK46" i="3" l="1"/>
  <c r="BK55" i="4"/>
  <c r="BK8" i="2"/>
  <c r="BK57" i="3"/>
  <c r="BK53" i="4" l="1"/>
  <c r="BK17" i="4"/>
  <c r="BK58" i="4"/>
  <c r="BK200" i="3"/>
  <c r="BK199" i="3"/>
  <c r="BK62" i="3"/>
  <c r="BK58" i="3"/>
  <c r="BK198" i="3"/>
  <c r="BK47" i="3"/>
  <c r="AG12" i="7"/>
  <c r="BK9" i="2"/>
  <c r="AG13" i="7" s="1"/>
  <c r="BK14" i="2"/>
  <c r="BK267" i="2" l="1"/>
  <c r="BL267" i="2" s="1"/>
  <c r="BM267" i="2" s="1"/>
  <c r="BN267" i="2" s="1"/>
  <c r="BK270" i="2"/>
  <c r="BL270" i="2" s="1"/>
  <c r="BM270" i="2" s="1"/>
  <c r="BN270" i="2" s="1"/>
  <c r="BK269" i="2"/>
  <c r="BK268" i="2"/>
  <c r="BK82" i="2"/>
  <c r="BL82" i="2" s="1"/>
  <c r="BM82" i="2" s="1"/>
  <c r="BN82" i="2" s="1"/>
  <c r="BK74" i="2"/>
  <c r="AG38" i="7" s="1"/>
  <c r="BK53" i="2"/>
  <c r="BK60" i="2"/>
  <c r="BK39" i="2"/>
  <c r="AG30" i="7" s="1"/>
  <c r="BK46" i="2"/>
  <c r="AG10" i="7"/>
  <c r="BK201" i="3"/>
  <c r="BK59" i="3"/>
  <c r="AG17" i="7"/>
  <c r="BK15" i="2"/>
  <c r="BK33" i="2"/>
  <c r="BK19" i="4"/>
  <c r="BK76" i="2" l="1"/>
  <c r="BP55" i="2"/>
  <c r="AG34" i="7"/>
  <c r="BP48" i="2"/>
  <c r="AG32" i="7"/>
  <c r="BP62" i="2"/>
  <c r="AG36" i="7"/>
  <c r="AG81" i="7"/>
  <c r="BK22" i="4"/>
  <c r="AG25" i="7"/>
  <c r="BK34" i="2"/>
  <c r="BK35" i="2"/>
  <c r="AG140" i="7"/>
  <c r="BK243" i="2"/>
  <c r="AG29" i="7"/>
  <c r="AG89" i="7"/>
  <c r="BK186" i="2"/>
  <c r="AG95" i="7" s="1"/>
  <c r="AG143" i="7"/>
  <c r="AG18" i="7"/>
  <c r="AG90" i="7"/>
  <c r="AG31" i="7"/>
  <c r="AG33" i="7"/>
  <c r="AG35" i="7"/>
  <c r="AG125" i="7"/>
  <c r="AG57" i="7"/>
  <c r="BK141" i="2"/>
  <c r="BU48" i="2" l="1"/>
  <c r="BP49" i="2"/>
  <c r="BP47" i="2"/>
  <c r="BP46" i="2"/>
  <c r="AL32" i="7" s="1"/>
  <c r="BU62" i="2"/>
  <c r="BP60" i="2"/>
  <c r="AL36" i="7" s="1"/>
  <c r="BP63" i="2"/>
  <c r="BP61" i="2"/>
  <c r="BU55" i="2"/>
  <c r="BP56" i="2"/>
  <c r="BP54" i="2"/>
  <c r="BP53" i="2"/>
  <c r="AL34" i="7" s="1"/>
  <c r="AG133" i="7"/>
  <c r="AG75" i="7"/>
  <c r="BK287" i="2"/>
  <c r="AG79" i="7"/>
  <c r="AG126" i="7"/>
  <c r="AG84" i="7"/>
  <c r="BK247" i="2"/>
  <c r="AG145" i="7"/>
  <c r="AG27" i="7"/>
  <c r="AG40" i="7"/>
  <c r="BK77" i="2"/>
  <c r="BK98" i="2"/>
  <c r="BK84" i="2"/>
  <c r="BK78" i="2"/>
  <c r="AG82" i="7"/>
  <c r="AG26" i="7"/>
  <c r="BK23" i="4"/>
  <c r="AG129" i="7"/>
  <c r="BK102" i="2" l="1"/>
  <c r="BU53" i="2"/>
  <c r="AQ34" i="7" s="1"/>
  <c r="BZ55" i="2"/>
  <c r="BU54" i="2"/>
  <c r="BU56" i="2"/>
  <c r="BU61" i="2"/>
  <c r="BU63" i="2"/>
  <c r="BU60" i="2"/>
  <c r="AQ36" i="7" s="1"/>
  <c r="BZ62" i="2"/>
  <c r="BU46" i="2"/>
  <c r="AQ32" i="7" s="1"/>
  <c r="BU47" i="2"/>
  <c r="BZ48" i="2"/>
  <c r="BU49" i="2"/>
  <c r="BK99" i="2"/>
  <c r="AG49" i="7"/>
  <c r="AG154" i="7"/>
  <c r="AG149" i="7"/>
  <c r="AG42" i="7"/>
  <c r="BK88" i="2"/>
  <c r="BK85" i="2"/>
  <c r="BK86" i="2"/>
  <c r="BK108" i="2"/>
  <c r="AG41" i="7"/>
  <c r="BK263" i="2" l="1"/>
  <c r="BK262" i="2"/>
  <c r="BZ56" i="2"/>
  <c r="BZ53" i="2"/>
  <c r="AV34" i="7" s="1"/>
  <c r="BZ54" i="2"/>
  <c r="BZ61" i="2"/>
  <c r="BZ63" i="2"/>
  <c r="BZ60" i="2"/>
  <c r="AV36" i="7" s="1"/>
  <c r="AG51" i="7"/>
  <c r="BZ47" i="2"/>
  <c r="BZ49" i="2"/>
  <c r="BZ46" i="2"/>
  <c r="AV32" i="7" s="1"/>
  <c r="BK104" i="2"/>
  <c r="AG44" i="7"/>
  <c r="BK92" i="2"/>
  <c r="BK89" i="2"/>
  <c r="BK90" i="2"/>
  <c r="BK109" i="2"/>
  <c r="BK134" i="2"/>
  <c r="BK136" i="2" s="1"/>
  <c r="BK111" i="2"/>
  <c r="AG50" i="7"/>
  <c r="AG53" i="7" l="1"/>
  <c r="BK118" i="2"/>
  <c r="BK105" i="2"/>
  <c r="BK114" i="2"/>
  <c r="AG46" i="7"/>
  <c r="BK112" i="2"/>
  <c r="AG45" i="7"/>
  <c r="BK137" i="2"/>
  <c r="BK93" i="2"/>
  <c r="BK94" i="2"/>
  <c r="AG54" i="7" l="1"/>
  <c r="BK119" i="2"/>
  <c r="BK106" i="2"/>
  <c r="AG58" i="7"/>
  <c r="BK115" i="2"/>
  <c r="AG63" i="7"/>
  <c r="BK138" i="2"/>
  <c r="BK286" i="2"/>
  <c r="AG55" i="7" l="1"/>
  <c r="BK116" i="2"/>
  <c r="AG59" i="7"/>
  <c r="AG64" i="7"/>
  <c r="BK139" i="2"/>
  <c r="AG65" i="7" s="1"/>
  <c r="AG71" i="7"/>
  <c r="BK177" i="2"/>
  <c r="AG60" i="7" l="1"/>
  <c r="AG86" i="7"/>
  <c r="BK200" i="2"/>
  <c r="BK208" i="2"/>
  <c r="BK254" i="2"/>
  <c r="AG153" i="7"/>
  <c r="BK265" i="2" l="1"/>
  <c r="BK261" i="2"/>
  <c r="I76" i="5"/>
  <c r="AG113" i="7"/>
  <c r="BK209" i="2"/>
  <c r="AG114" i="7" s="1"/>
  <c r="BK211" i="2"/>
  <c r="AG108" i="7"/>
  <c r="AG156" i="7"/>
  <c r="BK255" i="2"/>
  <c r="AG157" i="7" s="1"/>
  <c r="AG116" i="7" l="1"/>
  <c r="BK212" i="2"/>
  <c r="AG117" i="7" s="1"/>
  <c r="AE73" i="7" l="1"/>
  <c r="AE108" i="7"/>
  <c r="BI271" i="2"/>
  <c r="BJ162" i="2"/>
  <c r="H65" i="5" l="1"/>
  <c r="H66" i="5" s="1"/>
  <c r="AE114" i="7"/>
  <c r="H67" i="5"/>
  <c r="BJ177" i="2"/>
  <c r="BJ271" i="2"/>
  <c r="AF73" i="7"/>
  <c r="AE86" i="7"/>
  <c r="H72" i="5" l="1"/>
  <c r="D37" i="1" s="1"/>
  <c r="AE113" i="7"/>
  <c r="AE117" i="7"/>
  <c r="AE116" i="7"/>
  <c r="AF86" i="7"/>
  <c r="BJ208" i="2"/>
  <c r="BJ200" i="2"/>
  <c r="AE111" i="7"/>
  <c r="H73" i="5" l="1"/>
  <c r="AF108" i="7"/>
  <c r="BJ204" i="2"/>
  <c r="AF113" i="7"/>
  <c r="BJ209" i="2"/>
  <c r="AF114" i="7" s="1"/>
  <c r="BJ211" i="2"/>
  <c r="AF111" i="7" l="1"/>
  <c r="BJ220" i="2"/>
  <c r="BJ206" i="2" s="1"/>
  <c r="BK202" i="2"/>
  <c r="AF116" i="7"/>
  <c r="BJ212" i="2"/>
  <c r="AF117" i="7" s="1"/>
  <c r="BO202" i="2" l="1"/>
  <c r="AG110" i="7"/>
  <c r="BJ260" i="2"/>
  <c r="BJ262" i="2" s="1"/>
  <c r="D40" i="1"/>
  <c r="BJ228" i="2"/>
  <c r="AF123" i="7"/>
  <c r="BK206" i="2" l="1"/>
  <c r="BJ235" i="2"/>
  <c r="AF130" i="7"/>
  <c r="AK110" i="7"/>
  <c r="AG111" i="7"/>
  <c r="BL202" i="2"/>
  <c r="BK228" i="2" l="1"/>
  <c r="AG123" i="7"/>
  <c r="AH110" i="7"/>
  <c r="BJ256" i="2"/>
  <c r="D39" i="1"/>
  <c r="AF137" i="7"/>
  <c r="BJ264" i="2"/>
  <c r="AG130" i="7" l="1"/>
  <c r="BK235" i="2"/>
  <c r="BK264" i="2" s="1"/>
  <c r="AG137" i="7" l="1"/>
  <c r="BK256" i="2"/>
  <c r="E17" i="35" l="1"/>
  <c r="E19" i="35"/>
  <c r="E11" i="35"/>
  <c r="F11" i="35"/>
  <c r="F23" i="35"/>
  <c r="E23" i="35" l="1"/>
  <c r="F24" i="35"/>
  <c r="I20" i="35"/>
  <c r="I23" i="35" s="1"/>
  <c r="E24" i="35" l="1"/>
  <c r="I24" i="35" l="1"/>
  <c r="N14" i="35" l="1"/>
  <c r="N20" i="35"/>
  <c r="N23" i="35" s="1"/>
  <c r="N12" i="35"/>
  <c r="D56" i="35" s="1"/>
  <c r="N24" i="35" l="1"/>
  <c r="O14" i="35"/>
  <c r="O22" i="35" s="1"/>
  <c r="N3" i="35" l="1"/>
  <c r="N11" i="35" s="1"/>
  <c r="O11" i="35" s="1"/>
  <c r="O19" i="35"/>
  <c r="O17" i="35"/>
  <c r="O21" i="35"/>
  <c r="O20" i="35" l="1"/>
  <c r="O23" i="35" l="1"/>
  <c r="O24" i="35" l="1"/>
  <c r="BK27" i="3" l="1"/>
  <c r="BK26" i="3"/>
  <c r="AG9" i="7"/>
  <c r="BK35" i="3"/>
  <c r="BL37" i="3" s="1"/>
  <c r="BM37" i="3" s="1"/>
  <c r="BL36" i="3" l="1"/>
  <c r="BL38" i="3"/>
  <c r="BL35" i="3"/>
  <c r="BL25" i="3" l="1"/>
  <c r="BL27" i="3" s="1"/>
  <c r="BN37" i="3"/>
  <c r="BM38" i="3"/>
  <c r="BM35" i="3"/>
  <c r="BM25" i="3" s="1"/>
  <c r="BM36" i="3"/>
  <c r="BL45" i="3" l="1"/>
  <c r="AH9" i="7"/>
  <c r="BL26" i="3"/>
  <c r="BN35" i="3"/>
  <c r="BN25" i="3" s="1"/>
  <c r="BP37" i="3"/>
  <c r="BN38" i="3"/>
  <c r="BN36" i="3"/>
  <c r="AI9" i="7"/>
  <c r="BM27" i="3"/>
  <c r="BM45" i="3"/>
  <c r="BM26" i="3"/>
  <c r="BO35" i="3"/>
  <c r="BM46" i="3" l="1"/>
  <c r="BM47" i="3" s="1"/>
  <c r="BM57" i="3"/>
  <c r="BM55" i="4"/>
  <c r="BM8" i="2"/>
  <c r="BQ37" i="3"/>
  <c r="BP36" i="3"/>
  <c r="BP38" i="3"/>
  <c r="BP35" i="3"/>
  <c r="BN26" i="3"/>
  <c r="BN45" i="3"/>
  <c r="AJ9" i="7"/>
  <c r="BN27" i="3"/>
  <c r="BL57" i="3"/>
  <c r="BL46" i="3"/>
  <c r="BL55" i="4"/>
  <c r="BL8" i="2"/>
  <c r="BO45" i="3"/>
  <c r="BP25" i="3" l="1"/>
  <c r="BM14" i="2"/>
  <c r="BM9" i="2"/>
  <c r="AI13" i="7" s="1"/>
  <c r="AI12" i="7"/>
  <c r="BL200" i="3"/>
  <c r="BL198" i="3"/>
  <c r="BL61" i="3"/>
  <c r="BL62" i="3"/>
  <c r="AH10" i="7" s="1"/>
  <c r="BL58" i="3"/>
  <c r="BL59" i="3" s="1"/>
  <c r="BL199" i="3"/>
  <c r="BQ38" i="3"/>
  <c r="BQ35" i="3"/>
  <c r="BQ25" i="3" s="1"/>
  <c r="BQ36" i="3"/>
  <c r="BR37" i="3"/>
  <c r="AH12" i="7"/>
  <c r="BL9" i="2"/>
  <c r="AH13" i="7" s="1"/>
  <c r="BL14" i="2"/>
  <c r="BL58" i="4"/>
  <c r="BL53" i="4"/>
  <c r="BL17" i="4"/>
  <c r="BM53" i="4"/>
  <c r="BM58" i="4"/>
  <c r="BM17" i="4"/>
  <c r="BO46" i="3"/>
  <c r="BO57" i="3"/>
  <c r="E14" i="1"/>
  <c r="E17" i="1" s="1"/>
  <c r="BO8" i="2"/>
  <c r="BO55" i="4"/>
  <c r="BO25" i="3"/>
  <c r="BL47" i="3"/>
  <c r="BN46" i="3"/>
  <c r="BN47" i="3" s="1"/>
  <c r="BN55" i="4"/>
  <c r="BN8" i="2"/>
  <c r="BN57" i="3"/>
  <c r="BM58" i="3"/>
  <c r="BM59" i="3" s="1"/>
  <c r="BM62" i="3"/>
  <c r="AI10" i="7" s="1"/>
  <c r="BM198" i="3"/>
  <c r="BM61" i="3"/>
  <c r="BM200" i="3"/>
  <c r="BM199" i="3"/>
  <c r="BL172" i="2" l="1"/>
  <c r="BL180" i="2"/>
  <c r="BL241" i="2"/>
  <c r="BL175" i="2" s="1"/>
  <c r="BL181" i="2"/>
  <c r="BL238" i="2"/>
  <c r="BL173" i="2" s="1"/>
  <c r="BM201" i="3"/>
  <c r="BL201" i="3"/>
  <c r="BO26" i="3"/>
  <c r="AK9" i="7"/>
  <c r="BO27" i="3"/>
  <c r="BO28" i="3" s="1"/>
  <c r="BM19" i="4"/>
  <c r="BS37" i="3"/>
  <c r="BR36" i="3"/>
  <c r="BR38" i="3"/>
  <c r="BR35" i="3"/>
  <c r="BR25" i="3" s="1"/>
  <c r="BN17" i="4"/>
  <c r="BN53" i="4"/>
  <c r="BN58" i="4"/>
  <c r="BO58" i="4"/>
  <c r="BO53" i="4"/>
  <c r="BO17" i="4"/>
  <c r="BT183" i="3"/>
  <c r="BT51" i="3" s="1"/>
  <c r="BO61" i="3"/>
  <c r="BO58" i="3"/>
  <c r="BO62" i="3"/>
  <c r="BL222" i="2"/>
  <c r="BL58" i="2"/>
  <c r="BL51" i="2"/>
  <c r="AH17" i="7"/>
  <c r="BL33" i="2"/>
  <c r="BL74" i="2"/>
  <c r="AH38" i="7" s="1"/>
  <c r="BL80" i="2"/>
  <c r="BL164" i="2" s="1"/>
  <c r="BL15" i="2"/>
  <c r="BL37" i="2"/>
  <c r="BL44" i="2"/>
  <c r="BM51" i="2"/>
  <c r="BM74" i="2"/>
  <c r="AI38" i="7" s="1"/>
  <c r="AI17" i="7"/>
  <c r="BM58" i="2"/>
  <c r="BM80" i="2"/>
  <c r="BM222" i="2"/>
  <c r="BM33" i="2"/>
  <c r="BM181" i="2"/>
  <c r="BM44" i="2"/>
  <c r="BM172" i="2"/>
  <c r="BM241" i="2"/>
  <c r="AI143" i="7" s="1"/>
  <c r="BM37" i="2"/>
  <c r="BM180" i="2"/>
  <c r="BM15" i="2"/>
  <c r="BM238" i="2"/>
  <c r="BN9" i="2"/>
  <c r="AJ13" i="7" s="1"/>
  <c r="BN14" i="2"/>
  <c r="AJ12" i="7"/>
  <c r="BN198" i="3"/>
  <c r="BN200" i="3"/>
  <c r="BN61" i="3"/>
  <c r="BN62" i="3"/>
  <c r="AJ10" i="7" s="1"/>
  <c r="BN199" i="3"/>
  <c r="BN58" i="3"/>
  <c r="BN59" i="3" s="1"/>
  <c r="BO14" i="2"/>
  <c r="AK12" i="7"/>
  <c r="BO9" i="2"/>
  <c r="AK13" i="7" s="1"/>
  <c r="BO47" i="3"/>
  <c r="BL19" i="4"/>
  <c r="BQ45" i="3"/>
  <c r="BQ27" i="3"/>
  <c r="BQ26" i="3"/>
  <c r="AM9" i="7"/>
  <c r="BP45" i="3"/>
  <c r="AL9" i="7"/>
  <c r="BP26" i="3"/>
  <c r="BP27" i="3"/>
  <c r="AI81" i="7" l="1"/>
  <c r="BL186" i="2"/>
  <c r="AI90" i="7"/>
  <c r="BL169" i="2"/>
  <c r="BL227" i="2"/>
  <c r="BM227" i="2" s="1"/>
  <c r="BN44" i="2"/>
  <c r="BO44" i="2" s="1"/>
  <c r="BN74" i="2"/>
  <c r="AJ38" i="7" s="1"/>
  <c r="BN172" i="2"/>
  <c r="AJ81" i="7" s="1"/>
  <c r="BN238" i="2"/>
  <c r="BN37" i="2"/>
  <c r="BO37" i="2" s="1"/>
  <c r="BN180" i="2"/>
  <c r="BO180" i="2" s="1"/>
  <c r="BN15" i="2"/>
  <c r="BN80" i="2"/>
  <c r="BO80" i="2" s="1"/>
  <c r="BN181" i="2"/>
  <c r="AJ90" i="7" s="1"/>
  <c r="AJ17" i="7"/>
  <c r="BN58" i="2"/>
  <c r="BO58" i="2" s="1"/>
  <c r="BN241" i="2"/>
  <c r="BN33" i="2"/>
  <c r="BN51" i="2"/>
  <c r="BO51" i="2" s="1"/>
  <c r="BN222" i="2"/>
  <c r="BN169" i="2" s="1"/>
  <c r="AJ79" i="7" s="1"/>
  <c r="AI89" i="7"/>
  <c r="BM186" i="2"/>
  <c r="BM34" i="2"/>
  <c r="BM35" i="2"/>
  <c r="AI27" i="7" s="1"/>
  <c r="AI25" i="7"/>
  <c r="BM76" i="2"/>
  <c r="BM22" i="4"/>
  <c r="BL81" i="2"/>
  <c r="AH57" i="7"/>
  <c r="BL141" i="2"/>
  <c r="BM141" i="2" s="1"/>
  <c r="BL142" i="2"/>
  <c r="AH89" i="7"/>
  <c r="BL231" i="2"/>
  <c r="BL59" i="2"/>
  <c r="AH35" i="7"/>
  <c r="E18" i="1"/>
  <c r="BO59" i="3"/>
  <c r="BS38" i="3"/>
  <c r="BS35" i="3"/>
  <c r="BU37" i="3"/>
  <c r="BS36" i="3"/>
  <c r="F4" i="35"/>
  <c r="I9" i="5"/>
  <c r="BO15" i="2"/>
  <c r="BO33" i="2"/>
  <c r="BO74" i="2"/>
  <c r="AK38" i="7" s="1"/>
  <c r="AK17" i="7"/>
  <c r="E4" i="35"/>
  <c r="BP46" i="3"/>
  <c r="BP47" i="3" s="1"/>
  <c r="BP55" i="4"/>
  <c r="BP57" i="3"/>
  <c r="BP8" i="2"/>
  <c r="BM38" i="2"/>
  <c r="AI29" i="7"/>
  <c r="BM45" i="2"/>
  <c r="AI31" i="7"/>
  <c r="AI125" i="7"/>
  <c r="AH29" i="7"/>
  <c r="BL38" i="2"/>
  <c r="BM175" i="2"/>
  <c r="AH143" i="7"/>
  <c r="AH140" i="7"/>
  <c r="BL243" i="2"/>
  <c r="BM169" i="2"/>
  <c r="AH125" i="7"/>
  <c r="BO19" i="4"/>
  <c r="BR26" i="3"/>
  <c r="BR27" i="3"/>
  <c r="AN9" i="7"/>
  <c r="BR45" i="3"/>
  <c r="AI18" i="7"/>
  <c r="BM59" i="2"/>
  <c r="AI35" i="7"/>
  <c r="BQ57" i="3"/>
  <c r="BQ46" i="3"/>
  <c r="BQ47" i="3" s="1"/>
  <c r="BQ55" i="4"/>
  <c r="BQ8" i="2"/>
  <c r="BN201" i="3"/>
  <c r="AI140" i="7"/>
  <c r="BM243" i="2"/>
  <c r="BM173" i="2"/>
  <c r="BM164" i="2"/>
  <c r="AI57" i="7"/>
  <c r="BM81" i="2"/>
  <c r="AI33" i="7"/>
  <c r="BM52" i="2"/>
  <c r="AH81" i="7"/>
  <c r="AH90" i="7"/>
  <c r="BL223" i="2"/>
  <c r="BL35" i="2"/>
  <c r="AH25" i="7"/>
  <c r="BL76" i="2"/>
  <c r="BL22" i="4"/>
  <c r="BL34" i="2"/>
  <c r="BN19" i="4"/>
  <c r="AH31" i="7"/>
  <c r="BL45" i="2"/>
  <c r="AH18" i="7"/>
  <c r="AH33" i="7"/>
  <c r="BL52" i="2"/>
  <c r="AK10" i="7"/>
  <c r="AI84" i="7" l="1"/>
  <c r="AI95" i="7"/>
  <c r="AI82" i="7"/>
  <c r="AI79" i="7"/>
  <c r="AH95" i="7"/>
  <c r="BO181" i="2"/>
  <c r="AK90" i="7" s="1"/>
  <c r="BO172" i="2"/>
  <c r="AK81" i="7" s="1"/>
  <c r="BN227" i="2"/>
  <c r="BN141" i="2"/>
  <c r="BO141" i="2" s="1"/>
  <c r="E35" i="1"/>
  <c r="E36" i="1" s="1"/>
  <c r="AK89" i="7"/>
  <c r="BO269" i="2"/>
  <c r="I61" i="5"/>
  <c r="BQ58" i="4"/>
  <c r="BQ53" i="4"/>
  <c r="BQ17" i="4"/>
  <c r="AH79" i="7"/>
  <c r="BO169" i="2"/>
  <c r="BM223" i="2"/>
  <c r="AH126" i="7"/>
  <c r="BP62" i="3"/>
  <c r="AL10" i="7" s="1"/>
  <c r="BP58" i="3"/>
  <c r="BP59" i="3" s="1"/>
  <c r="BP61" i="3"/>
  <c r="F6" i="35"/>
  <c r="E6" i="35" s="1"/>
  <c r="AK25" i="7"/>
  <c r="BO76" i="2"/>
  <c r="BO22" i="4"/>
  <c r="BO34" i="2"/>
  <c r="BO35" i="2"/>
  <c r="AK35" i="7"/>
  <c r="BO60" i="2"/>
  <c r="AK36" i="7" s="1"/>
  <c r="BO59" i="2"/>
  <c r="I22" i="5"/>
  <c r="I23" i="5" s="1"/>
  <c r="BO241" i="2"/>
  <c r="AJ143" i="7"/>
  <c r="BN175" i="2"/>
  <c r="AJ84" i="7" s="1"/>
  <c r="BN164" i="2"/>
  <c r="BO164" i="2" s="1"/>
  <c r="BN81" i="2"/>
  <c r="AJ57" i="7"/>
  <c r="AJ29" i="7"/>
  <c r="BN38" i="2"/>
  <c r="AH145" i="7"/>
  <c r="BL247" i="2"/>
  <c r="BP9" i="2"/>
  <c r="AL13" i="7" s="1"/>
  <c r="AL12" i="7"/>
  <c r="BP14" i="2"/>
  <c r="BM231" i="2"/>
  <c r="AH133" i="7"/>
  <c r="AK33" i="7"/>
  <c r="I25" i="5"/>
  <c r="BO53" i="2"/>
  <c r="AK34" i="7" s="1"/>
  <c r="BO52" i="2"/>
  <c r="E7" i="35"/>
  <c r="BO39" i="2"/>
  <c r="I16" i="5"/>
  <c r="BO38" i="2"/>
  <c r="F7" i="35"/>
  <c r="AK29" i="7"/>
  <c r="BL23" i="4"/>
  <c r="AH26" i="7"/>
  <c r="AH27" i="7"/>
  <c r="AI75" i="7"/>
  <c r="BM287" i="2"/>
  <c r="BQ62" i="3"/>
  <c r="AM10" i="7" s="1"/>
  <c r="BQ61" i="3"/>
  <c r="BQ58" i="3"/>
  <c r="BQ59" i="3" s="1"/>
  <c r="AH84" i="7"/>
  <c r="BP58" i="4"/>
  <c r="BP17" i="4"/>
  <c r="BP53" i="4"/>
  <c r="I70" i="5"/>
  <c r="I66" i="5"/>
  <c r="I29" i="5"/>
  <c r="I60" i="5"/>
  <c r="I11" i="5"/>
  <c r="I47" i="5"/>
  <c r="I10" i="5"/>
  <c r="BU38" i="3"/>
  <c r="BU35" i="3"/>
  <c r="BV37" i="3"/>
  <c r="BU36" i="3"/>
  <c r="BL287" i="2"/>
  <c r="AH75" i="7"/>
  <c r="BL252" i="2"/>
  <c r="AJ125" i="7"/>
  <c r="BO222" i="2"/>
  <c r="AJ35" i="7"/>
  <c r="BN59" i="2"/>
  <c r="AJ31" i="7"/>
  <c r="BN45" i="2"/>
  <c r="AK31" i="7"/>
  <c r="BO46" i="2"/>
  <c r="AK32" i="7" s="1"/>
  <c r="BO45" i="2"/>
  <c r="I19" i="5"/>
  <c r="I20" i="5" s="1"/>
  <c r="BQ9" i="2"/>
  <c r="AM13" i="7" s="1"/>
  <c r="AM12" i="7"/>
  <c r="BQ14" i="2"/>
  <c r="AH82" i="7"/>
  <c r="I16" i="1"/>
  <c r="AK18" i="7"/>
  <c r="BS25" i="3"/>
  <c r="BT35" i="3"/>
  <c r="AK57" i="7"/>
  <c r="BO81" i="2"/>
  <c r="BO82" i="2"/>
  <c r="I31" i="5"/>
  <c r="I32" i="5" s="1"/>
  <c r="BM23" i="4"/>
  <c r="AI26" i="7"/>
  <c r="BN52" i="2"/>
  <c r="AJ33" i="7"/>
  <c r="AJ18" i="7"/>
  <c r="AJ140" i="7"/>
  <c r="BN173" i="2"/>
  <c r="AJ82" i="7" s="1"/>
  <c r="BO238" i="2"/>
  <c r="BN243" i="2"/>
  <c r="AH129" i="7"/>
  <c r="BR8" i="2"/>
  <c r="BR57" i="3"/>
  <c r="BR46" i="3"/>
  <c r="BR47" i="3" s="1"/>
  <c r="BR55" i="4"/>
  <c r="BL98" i="2"/>
  <c r="BL84" i="2"/>
  <c r="BL77" i="2"/>
  <c r="AH40" i="7"/>
  <c r="BL78" i="2"/>
  <c r="BM247" i="2"/>
  <c r="AI145" i="7"/>
  <c r="BM142" i="2"/>
  <c r="BN142" i="2" s="1"/>
  <c r="BL143" i="2"/>
  <c r="BM77" i="2"/>
  <c r="AI41" i="7" s="1"/>
  <c r="BM78" i="2"/>
  <c r="BM98" i="2"/>
  <c r="AI40" i="7"/>
  <c r="BM84" i="2"/>
  <c r="AJ25" i="7"/>
  <c r="BN76" i="2"/>
  <c r="BN22" i="4"/>
  <c r="BN34" i="2"/>
  <c r="BN35" i="2"/>
  <c r="AJ27" i="7" s="1"/>
  <c r="AJ89" i="7"/>
  <c r="BN186" i="2"/>
  <c r="AJ95" i="7" s="1"/>
  <c r="BP181" i="2" l="1"/>
  <c r="AL90" i="7" s="1"/>
  <c r="BO186" i="2"/>
  <c r="AK95" i="7" s="1"/>
  <c r="BO142" i="2"/>
  <c r="BO175" i="2"/>
  <c r="AK84" i="7" s="1"/>
  <c r="AI149" i="7"/>
  <c r="BR58" i="3"/>
  <c r="BR59" i="3" s="1"/>
  <c r="BR61" i="3"/>
  <c r="BR62" i="3"/>
  <c r="AN10" i="7" s="1"/>
  <c r="AJ145" i="7"/>
  <c r="BN247" i="2"/>
  <c r="BO287" i="2"/>
  <c r="AK75" i="7"/>
  <c r="BW37" i="3"/>
  <c r="BV35" i="3"/>
  <c r="BV25" i="3" s="1"/>
  <c r="BV36" i="3"/>
  <c r="BV38" i="3"/>
  <c r="BN223" i="2"/>
  <c r="AI126" i="7"/>
  <c r="AJ40" i="7"/>
  <c r="BN84" i="2"/>
  <c r="BN77" i="2"/>
  <c r="AJ41" i="7" s="1"/>
  <c r="BN78" i="2"/>
  <c r="BN98" i="2"/>
  <c r="BM99" i="2"/>
  <c r="BM101" i="2"/>
  <c r="AI50" i="7" s="1"/>
  <c r="AI49" i="7"/>
  <c r="AH42" i="7"/>
  <c r="BL88" i="2"/>
  <c r="BL108" i="2"/>
  <c r="BL86" i="2"/>
  <c r="BL85" i="2"/>
  <c r="AN12" i="7"/>
  <c r="BR9" i="2"/>
  <c r="AN13" i="7" s="1"/>
  <c r="BR14" i="2"/>
  <c r="BO268" i="2"/>
  <c r="AK140" i="7"/>
  <c r="BO243" i="2"/>
  <c r="BQ44" i="2"/>
  <c r="BQ172" i="2"/>
  <c r="AM81" i="7" s="1"/>
  <c r="BQ241" i="2"/>
  <c r="BQ80" i="2"/>
  <c r="BQ51" i="2"/>
  <c r="BQ15" i="2"/>
  <c r="BQ74" i="2"/>
  <c r="AM38" i="7" s="1"/>
  <c r="BQ222" i="2"/>
  <c r="AM125" i="7" s="1"/>
  <c r="AM17" i="7"/>
  <c r="BQ58" i="2"/>
  <c r="BQ180" i="2"/>
  <c r="BQ238" i="2"/>
  <c r="BQ37" i="2"/>
  <c r="BQ33" i="2"/>
  <c r="AK125" i="7"/>
  <c r="BO267" i="2"/>
  <c r="BU25" i="3"/>
  <c r="I17" i="5"/>
  <c r="BQ181" i="2"/>
  <c r="AM90" i="7" s="1"/>
  <c r="AK27" i="7"/>
  <c r="AK40" i="7"/>
  <c r="BO84" i="2"/>
  <c r="BO77" i="2"/>
  <c r="BO78" i="2"/>
  <c r="E23" i="1"/>
  <c r="F8" i="35"/>
  <c r="F25" i="35" s="1"/>
  <c r="BO98" i="2"/>
  <c r="E8" i="35"/>
  <c r="AK79" i="7"/>
  <c r="BQ19" i="4"/>
  <c r="AI42" i="7"/>
  <c r="BM143" i="2"/>
  <c r="BN143" i="2" s="1"/>
  <c r="BL101" i="2"/>
  <c r="BL104" i="2" s="1"/>
  <c r="BL99" i="2"/>
  <c r="AH49" i="7"/>
  <c r="BR53" i="4"/>
  <c r="BR58" i="4"/>
  <c r="BR17" i="4"/>
  <c r="AI129" i="7"/>
  <c r="BS26" i="3"/>
  <c r="BS45" i="3"/>
  <c r="AO9" i="7"/>
  <c r="BS27" i="3"/>
  <c r="AK30" i="7"/>
  <c r="I40" i="5"/>
  <c r="I26" i="5"/>
  <c r="BN231" i="2"/>
  <c r="AI133" i="7"/>
  <c r="AH149" i="7"/>
  <c r="BO270" i="2"/>
  <c r="AK143" i="7"/>
  <c r="BO23" i="4"/>
  <c r="AK26" i="7"/>
  <c r="I62" i="5"/>
  <c r="BN23" i="4"/>
  <c r="AJ26" i="7"/>
  <c r="BM88" i="2"/>
  <c r="BM108" i="2"/>
  <c r="BM85" i="2"/>
  <c r="BM86" i="2"/>
  <c r="AH41" i="7"/>
  <c r="BO173" i="2"/>
  <c r="AK82" i="7" s="1"/>
  <c r="AH154" i="7"/>
  <c r="BM252" i="2"/>
  <c r="I34" i="5"/>
  <c r="BP19" i="4"/>
  <c r="BP44" i="2"/>
  <c r="BP241" i="2"/>
  <c r="AL17" i="7"/>
  <c r="BP180" i="2"/>
  <c r="BP222" i="2"/>
  <c r="BP169" i="2" s="1"/>
  <c r="BP74" i="2"/>
  <c r="AL38" i="7" s="1"/>
  <c r="BP80" i="2"/>
  <c r="BP37" i="2"/>
  <c r="BP238" i="2"/>
  <c r="BP15" i="2"/>
  <c r="BP172" i="2"/>
  <c r="BP51" i="2"/>
  <c r="BP58" i="2"/>
  <c r="BP33" i="2"/>
  <c r="BN287" i="2"/>
  <c r="AJ75" i="7"/>
  <c r="BM104" i="2" l="1"/>
  <c r="BM105" i="2" s="1"/>
  <c r="I63" i="5"/>
  <c r="AH53" i="7"/>
  <c r="BL105" i="2"/>
  <c r="BL118" i="2"/>
  <c r="AL33" i="7"/>
  <c r="BP52" i="2"/>
  <c r="AL29" i="7"/>
  <c r="BP38" i="2"/>
  <c r="AL89" i="7"/>
  <c r="I35" i="5"/>
  <c r="I37" i="5" s="1"/>
  <c r="I49" i="5"/>
  <c r="I36" i="5"/>
  <c r="I42" i="5"/>
  <c r="I43" i="5" s="1"/>
  <c r="I44" i="5" s="1"/>
  <c r="BM109" i="2"/>
  <c r="BM111" i="2"/>
  <c r="BM112" i="2" s="1"/>
  <c r="BM134" i="2"/>
  <c r="BP186" i="2"/>
  <c r="AL95" i="7" s="1"/>
  <c r="AJ133" i="7"/>
  <c r="BO231" i="2"/>
  <c r="BR19" i="4"/>
  <c r="AQ9" i="7"/>
  <c r="BU27" i="3"/>
  <c r="BU45" i="3"/>
  <c r="BU26" i="3"/>
  <c r="BQ35" i="2"/>
  <c r="AM27" i="7" s="1"/>
  <c r="BQ22" i="4"/>
  <c r="BQ76" i="2"/>
  <c r="AM25" i="7"/>
  <c r="BQ34" i="2"/>
  <c r="BQ59" i="2"/>
  <c r="AM35" i="7"/>
  <c r="AM18" i="7"/>
  <c r="BL109" i="2"/>
  <c r="BL111" i="2"/>
  <c r="BL114" i="2" s="1"/>
  <c r="BL134" i="2"/>
  <c r="AL81" i="7"/>
  <c r="BN252" i="2"/>
  <c r="AI154" i="7"/>
  <c r="BM263" i="2"/>
  <c r="BM92" i="2"/>
  <c r="BM89" i="2"/>
  <c r="AI45" i="7" s="1"/>
  <c r="AI44" i="7"/>
  <c r="BM90" i="2"/>
  <c r="AI46" i="7" s="1"/>
  <c r="BO99" i="2"/>
  <c r="AK49" i="7"/>
  <c r="AK42" i="7"/>
  <c r="I18" i="1"/>
  <c r="E24" i="1"/>
  <c r="AL79" i="7"/>
  <c r="AM29" i="7"/>
  <c r="BQ38" i="2"/>
  <c r="BQ52" i="2"/>
  <c r="AM33" i="7"/>
  <c r="AM31" i="7"/>
  <c r="BQ45" i="2"/>
  <c r="BL92" i="2"/>
  <c r="BL263" i="2"/>
  <c r="BL89" i="2"/>
  <c r="BL90" i="2"/>
  <c r="AH44" i="7"/>
  <c r="AJ49" i="7"/>
  <c r="BN99" i="2"/>
  <c r="BN101" i="2"/>
  <c r="AJ50" i="7" s="1"/>
  <c r="BN108" i="2"/>
  <c r="BN86" i="2"/>
  <c r="BN88" i="2"/>
  <c r="BN85" i="2"/>
  <c r="AJ126" i="7"/>
  <c r="BO223" i="2"/>
  <c r="BP81" i="2"/>
  <c r="AL57" i="7"/>
  <c r="BP164" i="2"/>
  <c r="BP141" i="2"/>
  <c r="BQ141" i="2" s="1"/>
  <c r="BP34" i="2"/>
  <c r="BP35" i="2"/>
  <c r="AL27" i="7" s="1"/>
  <c r="BP22" i="4"/>
  <c r="BP76" i="2"/>
  <c r="AL25" i="7"/>
  <c r="AL18" i="7"/>
  <c r="BP175" i="2"/>
  <c r="AL143" i="7"/>
  <c r="AJ129" i="7"/>
  <c r="BO227" i="2"/>
  <c r="AH50" i="7"/>
  <c r="AK41" i="7"/>
  <c r="AM140" i="7"/>
  <c r="BQ243" i="2"/>
  <c r="BQ173" i="2"/>
  <c r="AM82" i="7" s="1"/>
  <c r="BQ164" i="2"/>
  <c r="AM57" i="7"/>
  <c r="BQ81" i="2"/>
  <c r="BR222" i="2"/>
  <c r="BR44" i="2"/>
  <c r="BR51" i="2"/>
  <c r="BR15" i="2"/>
  <c r="BR33" i="2"/>
  <c r="BR180" i="2"/>
  <c r="AN17" i="7"/>
  <c r="BR80" i="2"/>
  <c r="BR74" i="2"/>
  <c r="AN38" i="7" s="1"/>
  <c r="BR238" i="2"/>
  <c r="BR58" i="2"/>
  <c r="BR37" i="2"/>
  <c r="BR172" i="2"/>
  <c r="AN81" i="7" s="1"/>
  <c r="BR241" i="2"/>
  <c r="BR181" i="2"/>
  <c r="AJ42" i="7"/>
  <c r="BV45" i="3"/>
  <c r="BV26" i="3"/>
  <c r="AR9" i="7"/>
  <c r="BV27" i="3"/>
  <c r="AJ149" i="7"/>
  <c r="AL35" i="7"/>
  <c r="BP59" i="2"/>
  <c r="AL140" i="7"/>
  <c r="BP173" i="2"/>
  <c r="BP243" i="2"/>
  <c r="AL125" i="7"/>
  <c r="BQ169" i="2"/>
  <c r="AM79" i="7" s="1"/>
  <c r="BP45" i="2"/>
  <c r="AL31" i="7"/>
  <c r="BS46" i="3"/>
  <c r="BS47" i="3" s="1"/>
  <c r="BS57" i="3"/>
  <c r="BS8" i="2"/>
  <c r="BS55" i="4"/>
  <c r="BT45" i="3"/>
  <c r="BO143" i="2"/>
  <c r="E25" i="35"/>
  <c r="F26" i="35"/>
  <c r="E29" i="35"/>
  <c r="BO85" i="2"/>
  <c r="BO88" i="2"/>
  <c r="BO86" i="2"/>
  <c r="AM89" i="7"/>
  <c r="BQ186" i="2"/>
  <c r="AM95" i="7" s="1"/>
  <c r="AM143" i="7"/>
  <c r="BQ175" i="2"/>
  <c r="AM84" i="7" s="1"/>
  <c r="AK145" i="7"/>
  <c r="BO247" i="2"/>
  <c r="BW35" i="3"/>
  <c r="BX37" i="3"/>
  <c r="BW38" i="3"/>
  <c r="BW36" i="3"/>
  <c r="BP142" i="2"/>
  <c r="BQ142" i="2" s="1"/>
  <c r="BM118" i="2" l="1"/>
  <c r="BM119" i="2" s="1"/>
  <c r="AI53" i="7"/>
  <c r="BN104" i="2"/>
  <c r="BN118" i="2" s="1"/>
  <c r="BN119" i="2" s="1"/>
  <c r="BO101" i="2"/>
  <c r="BO104" i="2" s="1"/>
  <c r="BR142" i="2"/>
  <c r="I64" i="5"/>
  <c r="E20" i="1"/>
  <c r="BO92" i="2"/>
  <c r="BO263" i="2"/>
  <c r="BO89" i="2"/>
  <c r="AK44" i="7"/>
  <c r="BO90" i="2"/>
  <c r="F29" i="35"/>
  <c r="F14" i="1"/>
  <c r="F17" i="1" s="1"/>
  <c r="BT46" i="3"/>
  <c r="BT55" i="4"/>
  <c r="BT8" i="2"/>
  <c r="BT25" i="3"/>
  <c r="BT57" i="3"/>
  <c r="AL145" i="7"/>
  <c r="BP247" i="2"/>
  <c r="BV8" i="2"/>
  <c r="BV46" i="3"/>
  <c r="BV47" i="3" s="1"/>
  <c r="BV57" i="3"/>
  <c r="BV55" i="4"/>
  <c r="AN90" i="7"/>
  <c r="AN35" i="7"/>
  <c r="BR59" i="2"/>
  <c r="BR52" i="2"/>
  <c r="AN33" i="7"/>
  <c r="BQ247" i="2"/>
  <c r="AM145" i="7"/>
  <c r="AK126" i="7"/>
  <c r="BP223" i="2"/>
  <c r="AH45" i="7"/>
  <c r="BL115" i="2"/>
  <c r="AH58" i="7"/>
  <c r="BQ84" i="2"/>
  <c r="AM40" i="7"/>
  <c r="BQ78" i="2"/>
  <c r="BQ98" i="2"/>
  <c r="BQ77" i="2"/>
  <c r="AM41" i="7" s="1"/>
  <c r="BU55" i="4"/>
  <c r="BU46" i="3"/>
  <c r="BU47" i="3" s="1"/>
  <c r="BU8" i="2"/>
  <c r="BU57" i="3"/>
  <c r="AK133" i="7"/>
  <c r="BP231" i="2"/>
  <c r="BM135" i="2"/>
  <c r="BM286" i="2" s="1"/>
  <c r="BL119" i="2"/>
  <c r="AK149" i="7"/>
  <c r="E42" i="1"/>
  <c r="BS58" i="4"/>
  <c r="BS17" i="4"/>
  <c r="BS53" i="4"/>
  <c r="AL82" i="7"/>
  <c r="AN143" i="7"/>
  <c r="BR175" i="2"/>
  <c r="AN84" i="7" s="1"/>
  <c r="BR243" i="2"/>
  <c r="BR173" i="2"/>
  <c r="AN82" i="7" s="1"/>
  <c r="AN140" i="7"/>
  <c r="BR186" i="2"/>
  <c r="AN95" i="7" s="1"/>
  <c r="AN89" i="7"/>
  <c r="AN31" i="7"/>
  <c r="BR45" i="2"/>
  <c r="AK129" i="7"/>
  <c r="BP227" i="2"/>
  <c r="BP287" i="2"/>
  <c r="AL75" i="7"/>
  <c r="BN109" i="2"/>
  <c r="BN134" i="2"/>
  <c r="BN111" i="2"/>
  <c r="BN112" i="2" s="1"/>
  <c r="AJ154" i="7"/>
  <c r="BO252" i="2"/>
  <c r="BO108" i="2"/>
  <c r="BL106" i="2"/>
  <c r="AH54" i="7"/>
  <c r="BZ37" i="3"/>
  <c r="BX35" i="3"/>
  <c r="BX25" i="3" s="1"/>
  <c r="BX36" i="3"/>
  <c r="BX38" i="3"/>
  <c r="BS14" i="2"/>
  <c r="BS9" i="2"/>
  <c r="AO13" i="7" s="1"/>
  <c r="AO12" i="7"/>
  <c r="BP143" i="2"/>
  <c r="BR35" i="2"/>
  <c r="AN27" i="7" s="1"/>
  <c r="BR22" i="4"/>
  <c r="BR76" i="2"/>
  <c r="BR34" i="2"/>
  <c r="AN25" i="7"/>
  <c r="BR169" i="2"/>
  <c r="AN79" i="7" s="1"/>
  <c r="AN125" i="7"/>
  <c r="BQ287" i="2"/>
  <c r="AM75" i="7"/>
  <c r="BP23" i="4"/>
  <c r="AL26" i="7"/>
  <c r="BL94" i="2"/>
  <c r="BL93" i="2"/>
  <c r="BM93" i="2"/>
  <c r="BM94" i="2"/>
  <c r="BL135" i="2"/>
  <c r="BL137" i="2" s="1"/>
  <c r="BQ23" i="4"/>
  <c r="AM26" i="7"/>
  <c r="BW25" i="3"/>
  <c r="BS62" i="3"/>
  <c r="AO10" i="7" s="1"/>
  <c r="BS58" i="3"/>
  <c r="BS59" i="3" s="1"/>
  <c r="BS61" i="3"/>
  <c r="AN29" i="7"/>
  <c r="BR38" i="2"/>
  <c r="AN57" i="7"/>
  <c r="BR81" i="2"/>
  <c r="BR164" i="2"/>
  <c r="AN18" i="7"/>
  <c r="AL84" i="7"/>
  <c r="BP84" i="2"/>
  <c r="AL40" i="7"/>
  <c r="BP98" i="2"/>
  <c r="BP77" i="2"/>
  <c r="AL41" i="7" s="1"/>
  <c r="BP78" i="2"/>
  <c r="BR141" i="2"/>
  <c r="BN263" i="2"/>
  <c r="BN89" i="2"/>
  <c r="AJ45" i="7" s="1"/>
  <c r="AJ44" i="7"/>
  <c r="BN90" i="2"/>
  <c r="AJ46" i="7" s="1"/>
  <c r="BN92" i="2"/>
  <c r="AI54" i="7"/>
  <c r="BM106" i="2"/>
  <c r="AH46" i="7"/>
  <c r="BL112" i="2"/>
  <c r="BM114" i="2"/>
  <c r="BN105" i="2" l="1"/>
  <c r="AJ53" i="7"/>
  <c r="BO102" i="2"/>
  <c r="AK50" i="7"/>
  <c r="BO111" i="2"/>
  <c r="BO114" i="2" s="1"/>
  <c r="BN114" i="2"/>
  <c r="AJ58" i="7" s="1"/>
  <c r="BY35" i="3"/>
  <c r="BS19" i="4"/>
  <c r="BM137" i="2"/>
  <c r="AI63" i="7" s="1"/>
  <c r="BO118" i="2"/>
  <c r="BO119" i="2" s="1"/>
  <c r="AI55" i="7"/>
  <c r="I20" i="1"/>
  <c r="E29" i="1"/>
  <c r="E30" i="1" s="1"/>
  <c r="AK53" i="7"/>
  <c r="BR84" i="2"/>
  <c r="AN40" i="7"/>
  <c r="BR98" i="2"/>
  <c r="BR78" i="2"/>
  <c r="BR77" i="2"/>
  <c r="AN41" i="7" s="1"/>
  <c r="BO134" i="2"/>
  <c r="BO109" i="2"/>
  <c r="BN135" i="2"/>
  <c r="BN286" i="2" s="1"/>
  <c r="BU17" i="4"/>
  <c r="BU58" i="4"/>
  <c r="BU53" i="4"/>
  <c r="BV17" i="4"/>
  <c r="BV53" i="4"/>
  <c r="BV58" i="4"/>
  <c r="AL149" i="7"/>
  <c r="BT14" i="2"/>
  <c r="AP12" i="7"/>
  <c r="BT9" i="2"/>
  <c r="AP13" i="7" s="1"/>
  <c r="BO94" i="2"/>
  <c r="BO93" i="2"/>
  <c r="AL42" i="7"/>
  <c r="BP108" i="2"/>
  <c r="BP85" i="2"/>
  <c r="BP88" i="2"/>
  <c r="BP86" i="2"/>
  <c r="BW45" i="3"/>
  <c r="AS9" i="7"/>
  <c r="BW26" i="3"/>
  <c r="BW27" i="3"/>
  <c r="BX45" i="3"/>
  <c r="BX26" i="3"/>
  <c r="AT9" i="7"/>
  <c r="BX27" i="3"/>
  <c r="AH55" i="7"/>
  <c r="AK154" i="7"/>
  <c r="BP252" i="2"/>
  <c r="AL129" i="7"/>
  <c r="BQ227" i="2"/>
  <c r="AN145" i="7"/>
  <c r="BR247" i="2"/>
  <c r="BU61" i="3"/>
  <c r="BU62" i="3"/>
  <c r="AQ10" i="7" s="1"/>
  <c r="BU58" i="3"/>
  <c r="BU59" i="3" s="1"/>
  <c r="BQ86" i="2"/>
  <c r="BQ85" i="2"/>
  <c r="BQ88" i="2"/>
  <c r="BQ108" i="2"/>
  <c r="AH59" i="7"/>
  <c r="BL116" i="2"/>
  <c r="AM149" i="7"/>
  <c r="BV61" i="3"/>
  <c r="BV58" i="3"/>
  <c r="BV59" i="3" s="1"/>
  <c r="BV62" i="3"/>
  <c r="AR10" i="7" s="1"/>
  <c r="BT58" i="4"/>
  <c r="BT53" i="4"/>
  <c r="BT17" i="4"/>
  <c r="BM115" i="2"/>
  <c r="AI58" i="7"/>
  <c r="BS44" i="2"/>
  <c r="BS172" i="2"/>
  <c r="BS74" i="2"/>
  <c r="AO38" i="7" s="1"/>
  <c r="BS51" i="2"/>
  <c r="BS15" i="2"/>
  <c r="BS80" i="2"/>
  <c r="BS141" i="2" s="1"/>
  <c r="BT141" i="2" s="1"/>
  <c r="BS37" i="2"/>
  <c r="BS222" i="2"/>
  <c r="BS238" i="2"/>
  <c r="BS58" i="2"/>
  <c r="BS241" i="2"/>
  <c r="AO17" i="7"/>
  <c r="BS180" i="2"/>
  <c r="BS33" i="2"/>
  <c r="BS181" i="2"/>
  <c r="BZ35" i="3"/>
  <c r="BZ38" i="3"/>
  <c r="BZ36" i="3"/>
  <c r="CA37" i="3"/>
  <c r="BQ231" i="2"/>
  <c r="AL133" i="7"/>
  <c r="AQ12" i="7"/>
  <c r="BU14" i="2"/>
  <c r="BU9" i="2"/>
  <c r="AQ13" i="7" s="1"/>
  <c r="BQ223" i="2"/>
  <c r="AL126" i="7"/>
  <c r="BY183" i="3"/>
  <c r="BY51" i="3" s="1"/>
  <c r="BT58" i="3"/>
  <c r="BT61" i="3"/>
  <c r="BT62" i="3"/>
  <c r="AP10" i="7" s="1"/>
  <c r="BT47" i="3"/>
  <c r="AK45" i="7"/>
  <c r="E21" i="1"/>
  <c r="AH63" i="7"/>
  <c r="BL160" i="2"/>
  <c r="BL177" i="2" s="1"/>
  <c r="BL138" i="2"/>
  <c r="AM49" i="7"/>
  <c r="BQ99" i="2"/>
  <c r="BQ101" i="2"/>
  <c r="AM50" i="7" s="1"/>
  <c r="BN93" i="2"/>
  <c r="BN94" i="2"/>
  <c r="BP99" i="2"/>
  <c r="AL49" i="7"/>
  <c r="BP101" i="2"/>
  <c r="AN75" i="7"/>
  <c r="BR287" i="2"/>
  <c r="BO105" i="2"/>
  <c r="BL286" i="2"/>
  <c r="BN106" i="2"/>
  <c r="BR23" i="4"/>
  <c r="AN26" i="7"/>
  <c r="BQ143" i="2"/>
  <c r="BR143" i="2" s="1"/>
  <c r="AM42" i="7"/>
  <c r="AR12" i="7"/>
  <c r="BV14" i="2"/>
  <c r="BV9" i="2"/>
  <c r="AR13" i="7" s="1"/>
  <c r="BT27" i="3"/>
  <c r="BT28" i="3" s="1"/>
  <c r="BT26" i="3"/>
  <c r="AP9" i="7"/>
  <c r="AK46" i="7"/>
  <c r="AJ54" i="7" l="1"/>
  <c r="BN115" i="2"/>
  <c r="BN116" i="2" s="1"/>
  <c r="AJ60" i="7" s="1"/>
  <c r="BM138" i="2"/>
  <c r="AI64" i="7" s="1"/>
  <c r="AK51" i="7"/>
  <c r="BO135" i="2"/>
  <c r="BO286" i="2" s="1"/>
  <c r="BM160" i="2"/>
  <c r="I51" i="5"/>
  <c r="I52" i="5" s="1"/>
  <c r="BO112" i="2"/>
  <c r="BV19" i="4"/>
  <c r="BQ104" i="2"/>
  <c r="BQ118" i="2" s="1"/>
  <c r="BQ119" i="2" s="1"/>
  <c r="AJ55" i="7"/>
  <c r="I22" i="1"/>
  <c r="CE105" i="2"/>
  <c r="F9" i="35"/>
  <c r="BO106" i="2"/>
  <c r="AK54" i="7"/>
  <c r="E32" i="1"/>
  <c r="E33" i="1" s="1"/>
  <c r="BP104" i="2"/>
  <c r="AL50" i="7"/>
  <c r="BR223" i="2"/>
  <c r="AM126" i="7"/>
  <c r="BS186" i="2"/>
  <c r="AO95" i="7" s="1"/>
  <c r="AO89" i="7"/>
  <c r="BT180" i="2"/>
  <c r="AO140" i="7"/>
  <c r="BT238" i="2"/>
  <c r="BS173" i="2"/>
  <c r="BS243" i="2"/>
  <c r="AO18" i="7"/>
  <c r="AO31" i="7"/>
  <c r="BS45" i="2"/>
  <c r="BT44" i="2"/>
  <c r="BQ109" i="2"/>
  <c r="BQ134" i="2"/>
  <c r="BQ111" i="2"/>
  <c r="BQ112" i="2" s="1"/>
  <c r="AN149" i="7"/>
  <c r="AL44" i="7"/>
  <c r="BP263" i="2"/>
  <c r="BP89" i="2"/>
  <c r="AL45" i="7" s="1"/>
  <c r="BP92" i="2"/>
  <c r="BP90" i="2"/>
  <c r="AL46" i="7" s="1"/>
  <c r="BR99" i="2"/>
  <c r="BR101" i="2"/>
  <c r="AN50" i="7" s="1"/>
  <c r="AN49" i="7"/>
  <c r="BO115" i="2"/>
  <c r="AK58" i="7"/>
  <c r="AH64" i="7"/>
  <c r="BL139" i="2"/>
  <c r="AH65" i="7" s="1"/>
  <c r="F18" i="1"/>
  <c r="BT59" i="3"/>
  <c r="AM133" i="7"/>
  <c r="BR231" i="2"/>
  <c r="BZ25" i="3"/>
  <c r="BT222" i="2"/>
  <c r="AO125" i="7"/>
  <c r="BS169" i="2"/>
  <c r="BS52" i="2"/>
  <c r="AO33" i="7"/>
  <c r="BT51" i="2"/>
  <c r="AH60" i="7"/>
  <c r="BQ90" i="2"/>
  <c r="AM46" i="7" s="1"/>
  <c r="AM44" i="7"/>
  <c r="BQ89" i="2"/>
  <c r="AM45" i="7" s="1"/>
  <c r="BQ92" i="2"/>
  <c r="BQ263" i="2"/>
  <c r="BQ252" i="2"/>
  <c r="AL154" i="7"/>
  <c r="BX55" i="4"/>
  <c r="BX46" i="3"/>
  <c r="BX47" i="3" s="1"/>
  <c r="BX57" i="3"/>
  <c r="BX8" i="2"/>
  <c r="BW8" i="2"/>
  <c r="BW46" i="3"/>
  <c r="BW47" i="3" s="1"/>
  <c r="BW55" i="4"/>
  <c r="BW57" i="3"/>
  <c r="BY45" i="3"/>
  <c r="BU19" i="4"/>
  <c r="BV181" i="2"/>
  <c r="AR90" i="7" s="1"/>
  <c r="AR17" i="7"/>
  <c r="BV80" i="2"/>
  <c r="BV74" i="2"/>
  <c r="AR38" i="7" s="1"/>
  <c r="BV222" i="2"/>
  <c r="BV172" i="2"/>
  <c r="AR81" i="7" s="1"/>
  <c r="BV44" i="2"/>
  <c r="BV238" i="2"/>
  <c r="BV180" i="2"/>
  <c r="BV37" i="2"/>
  <c r="BV51" i="2"/>
  <c r="BV241" i="2"/>
  <c r="BV15" i="2"/>
  <c r="BV58" i="2"/>
  <c r="BV33" i="2"/>
  <c r="CA36" i="3"/>
  <c r="CA38" i="3"/>
  <c r="CA35" i="3"/>
  <c r="CA25" i="3" s="1"/>
  <c r="CB37" i="3"/>
  <c r="AO90" i="7"/>
  <c r="BT181" i="2"/>
  <c r="AP90" i="7" s="1"/>
  <c r="BS175" i="2"/>
  <c r="AO143" i="7"/>
  <c r="BT241" i="2"/>
  <c r="AO29" i="7"/>
  <c r="BS38" i="2"/>
  <c r="BT37" i="2"/>
  <c r="AM129" i="7"/>
  <c r="BR227" i="2"/>
  <c r="BP134" i="2"/>
  <c r="BP135" i="2" s="1"/>
  <c r="BP109" i="2"/>
  <c r="BP111" i="2"/>
  <c r="BP114" i="2" s="1"/>
  <c r="BT74" i="2"/>
  <c r="AP38" i="7" s="1"/>
  <c r="BT33" i="2"/>
  <c r="I4" i="35"/>
  <c r="AP17" i="7"/>
  <c r="BT15" i="2"/>
  <c r="J9" i="5"/>
  <c r="H4" i="35"/>
  <c r="BR88" i="2"/>
  <c r="BR85" i="2"/>
  <c r="BR86" i="2"/>
  <c r="BR108" i="2"/>
  <c r="BO137" i="2"/>
  <c r="BU181" i="2"/>
  <c r="BU180" i="2"/>
  <c r="BU51" i="2"/>
  <c r="BU33" i="2"/>
  <c r="AQ17" i="7"/>
  <c r="BU172" i="2"/>
  <c r="BU74" i="2"/>
  <c r="AQ38" i="7" s="1"/>
  <c r="BU222" i="2"/>
  <c r="BU44" i="2"/>
  <c r="BU80" i="2"/>
  <c r="BU58" i="2"/>
  <c r="BU37" i="2"/>
  <c r="BU241" i="2"/>
  <c r="BU238" i="2"/>
  <c r="BU15" i="2"/>
  <c r="AH71" i="7"/>
  <c r="BL251" i="2"/>
  <c r="BS35" i="2"/>
  <c r="AO27" i="7" s="1"/>
  <c r="BS34" i="2"/>
  <c r="AO25" i="7"/>
  <c r="BS22" i="4"/>
  <c r="BS76" i="2"/>
  <c r="BS59" i="2"/>
  <c r="AO35" i="7"/>
  <c r="BT58" i="2"/>
  <c r="BS142" i="2"/>
  <c r="BT142" i="2" s="1"/>
  <c r="BS81" i="2"/>
  <c r="BS164" i="2"/>
  <c r="AO57" i="7"/>
  <c r="BT80" i="2"/>
  <c r="AO81" i="7"/>
  <c r="BT172" i="2"/>
  <c r="AP81" i="7" s="1"/>
  <c r="BM116" i="2"/>
  <c r="AI60" i="7" s="1"/>
  <c r="AI59" i="7"/>
  <c r="BT19" i="4"/>
  <c r="BN137" i="2"/>
  <c r="AN42" i="7"/>
  <c r="AQ18" i="7" l="1"/>
  <c r="AR18" i="7"/>
  <c r="BM177" i="2"/>
  <c r="AJ59" i="7"/>
  <c r="I54" i="5"/>
  <c r="I56" i="5" s="1"/>
  <c r="AI71" i="7"/>
  <c r="BM139" i="2"/>
  <c r="AI65" i="7" s="1"/>
  <c r="BL254" i="2"/>
  <c r="BL255" i="2" s="1"/>
  <c r="BO136" i="2"/>
  <c r="AM53" i="7"/>
  <c r="BQ105" i="2"/>
  <c r="AL58" i="7"/>
  <c r="BP115" i="2"/>
  <c r="AQ90" i="7"/>
  <c r="AP18" i="7"/>
  <c r="AR33" i="7"/>
  <c r="BV52" i="2"/>
  <c r="BO116" i="2"/>
  <c r="AK59" i="7"/>
  <c r="BP94" i="2"/>
  <c r="BP93" i="2"/>
  <c r="BQ135" i="2"/>
  <c r="BQ286" i="2" s="1"/>
  <c r="AO82" i="7"/>
  <c r="BT173" i="2"/>
  <c r="AP82" i="7" s="1"/>
  <c r="BS78" i="2"/>
  <c r="AO40" i="7"/>
  <c r="BS98" i="2"/>
  <c r="BS84" i="2"/>
  <c r="BS77" i="2"/>
  <c r="AO41" i="7" s="1"/>
  <c r="AQ31" i="7"/>
  <c r="BU45" i="2"/>
  <c r="AN44" i="7"/>
  <c r="BR92" i="2"/>
  <c r="BR263" i="2"/>
  <c r="BR90" i="2"/>
  <c r="AN46" i="7" s="1"/>
  <c r="BR89" i="2"/>
  <c r="AN45" i="7" s="1"/>
  <c r="BV34" i="2"/>
  <c r="BV76" i="2"/>
  <c r="BV35" i="2"/>
  <c r="AR27" i="7" s="1"/>
  <c r="BV22" i="4"/>
  <c r="AR25" i="7"/>
  <c r="AR31" i="7"/>
  <c r="BV45" i="2"/>
  <c r="BY57" i="3"/>
  <c r="CD183" i="3" s="1"/>
  <c r="CD51" i="3" s="1"/>
  <c r="BY46" i="3"/>
  <c r="BY8" i="2"/>
  <c r="BY55" i="4"/>
  <c r="BY25" i="3"/>
  <c r="BW14" i="2"/>
  <c r="AS12" i="7"/>
  <c r="BW9" i="2"/>
  <c r="AS13" i="7" s="1"/>
  <c r="AQ29" i="7"/>
  <c r="BU38" i="2"/>
  <c r="AQ25" i="7"/>
  <c r="BU34" i="2"/>
  <c r="BU76" i="2"/>
  <c r="BU22" i="4"/>
  <c r="BU35" i="2"/>
  <c r="AQ27" i="7" s="1"/>
  <c r="BR111" i="2"/>
  <c r="BR112" i="2" s="1"/>
  <c r="BR134" i="2"/>
  <c r="BR109" i="2"/>
  <c r="BP137" i="2"/>
  <c r="BP286" i="2"/>
  <c r="AO84" i="7"/>
  <c r="BT175" i="2"/>
  <c r="AP84" i="7" s="1"/>
  <c r="CA26" i="3"/>
  <c r="CA45" i="3"/>
  <c r="AW9" i="7"/>
  <c r="CA27" i="3"/>
  <c r="BV59" i="2"/>
  <c r="AR35" i="7"/>
  <c r="AR29" i="7"/>
  <c r="BV38" i="2"/>
  <c r="BW58" i="3"/>
  <c r="BW59" i="3" s="1"/>
  <c r="BW62" i="3"/>
  <c r="AS10" i="7" s="1"/>
  <c r="BW61" i="3"/>
  <c r="BX9" i="2"/>
  <c r="AT13" i="7" s="1"/>
  <c r="BX14" i="2"/>
  <c r="AT12" i="7"/>
  <c r="AO79" i="7"/>
  <c r="BT169" i="2"/>
  <c r="BZ27" i="3"/>
  <c r="BZ26" i="3"/>
  <c r="AV9" i="7"/>
  <c r="BZ45" i="3"/>
  <c r="BR104" i="2"/>
  <c r="AP140" i="7"/>
  <c r="BT243" i="2"/>
  <c r="BT268" i="2"/>
  <c r="AK55" i="7"/>
  <c r="J31" i="5"/>
  <c r="J32" i="5" s="1"/>
  <c r="BT81" i="2"/>
  <c r="AP57" i="7"/>
  <c r="BT82" i="2"/>
  <c r="BU175" i="2"/>
  <c r="AQ143" i="7"/>
  <c r="J70" i="5"/>
  <c r="J11" i="5"/>
  <c r="J60" i="5"/>
  <c r="J66" i="5"/>
  <c r="J10" i="5"/>
  <c r="J29" i="5"/>
  <c r="J47" i="5"/>
  <c r="AP25" i="7"/>
  <c r="BT22" i="4"/>
  <c r="BT76" i="2"/>
  <c r="I6" i="35"/>
  <c r="H6" i="35" s="1"/>
  <c r="BT35" i="2"/>
  <c r="BT34" i="2"/>
  <c r="H7" i="35"/>
  <c r="AP29" i="7"/>
  <c r="J16" i="5"/>
  <c r="BT38" i="2"/>
  <c r="I7" i="35"/>
  <c r="BT39" i="2"/>
  <c r="AP30" i="7" s="1"/>
  <c r="CB35" i="3"/>
  <c r="CB38" i="3"/>
  <c r="CC37" i="3"/>
  <c r="CB36" i="3"/>
  <c r="AR57" i="7"/>
  <c r="BV164" i="2"/>
  <c r="BV81" i="2"/>
  <c r="BX53" i="4"/>
  <c r="BX58" i="4"/>
  <c r="BX17" i="4"/>
  <c r="BQ93" i="2"/>
  <c r="BQ94" i="2"/>
  <c r="BT60" i="2"/>
  <c r="AP36" i="7" s="1"/>
  <c r="AP35" i="7"/>
  <c r="J22" i="5"/>
  <c r="J23" i="5" s="1"/>
  <c r="BT59" i="2"/>
  <c r="AH153" i="7"/>
  <c r="BM251" i="2"/>
  <c r="BV169" i="2"/>
  <c r="AR79" i="7" s="1"/>
  <c r="AQ125" i="7"/>
  <c r="BN138" i="2"/>
  <c r="BN160" i="2"/>
  <c r="AJ63" i="7"/>
  <c r="BS287" i="2"/>
  <c r="AO75" i="7"/>
  <c r="BT164" i="2"/>
  <c r="BU59" i="2"/>
  <c r="AQ35" i="7"/>
  <c r="AQ33" i="7"/>
  <c r="BU52" i="2"/>
  <c r="BO138" i="2"/>
  <c r="E26" i="1"/>
  <c r="E27" i="1" s="1"/>
  <c r="AK63" i="7"/>
  <c r="AN129" i="7"/>
  <c r="BS227" i="2"/>
  <c r="BV186" i="2"/>
  <c r="AR95" i="7" s="1"/>
  <c r="AR89" i="7"/>
  <c r="AR125" i="7"/>
  <c r="BW58" i="4"/>
  <c r="BW53" i="4"/>
  <c r="BW17" i="4"/>
  <c r="BX58" i="3"/>
  <c r="BX59" i="3" s="1"/>
  <c r="BX61" i="3"/>
  <c r="BX62" i="3"/>
  <c r="AT10" i="7" s="1"/>
  <c r="BR252" i="2"/>
  <c r="AM154" i="7"/>
  <c r="BT53" i="2"/>
  <c r="AP34" i="7" s="1"/>
  <c r="AP33" i="7"/>
  <c r="BT52" i="2"/>
  <c r="J25" i="5"/>
  <c r="AN133" i="7"/>
  <c r="BS231" i="2"/>
  <c r="BQ114" i="2"/>
  <c r="BT46" i="2"/>
  <c r="AP32" i="7" s="1"/>
  <c r="J19" i="5"/>
  <c r="J20" i="5" s="1"/>
  <c r="BT45" i="2"/>
  <c r="AP31" i="7"/>
  <c r="BP118" i="2"/>
  <c r="AL53" i="7"/>
  <c r="BP105" i="2"/>
  <c r="BS23" i="4"/>
  <c r="AO26" i="7"/>
  <c r="BL208" i="2"/>
  <c r="AH86" i="7"/>
  <c r="BL200" i="2"/>
  <c r="AQ140" i="7"/>
  <c r="BU173" i="2"/>
  <c r="BU243" i="2"/>
  <c r="BU142" i="2"/>
  <c r="BV142" i="2" s="1"/>
  <c r="AQ57" i="7"/>
  <c r="BU164" i="2"/>
  <c r="BU81" i="2"/>
  <c r="AQ81" i="7"/>
  <c r="AQ89" i="7"/>
  <c r="BU186" i="2"/>
  <c r="AQ95" i="7" s="1"/>
  <c r="BS143" i="2"/>
  <c r="BP112" i="2"/>
  <c r="BT270" i="2"/>
  <c r="AP143" i="7"/>
  <c r="BV175" i="2"/>
  <c r="AR84" i="7" s="1"/>
  <c r="AR143" i="7"/>
  <c r="AR140" i="7"/>
  <c r="BV243" i="2"/>
  <c r="BV173" i="2"/>
  <c r="AR82" i="7" s="1"/>
  <c r="BU169" i="2"/>
  <c r="BT267" i="2"/>
  <c r="AP125" i="7"/>
  <c r="AO145" i="7"/>
  <c r="BS247" i="2"/>
  <c r="F35" i="1"/>
  <c r="F36" i="1" s="1"/>
  <c r="J61" i="5"/>
  <c r="BT269" i="2"/>
  <c r="BT186" i="2"/>
  <c r="AP95" i="7" s="1"/>
  <c r="AP89" i="7"/>
  <c r="AN126" i="7"/>
  <c r="BS223" i="2"/>
  <c r="BU141" i="2"/>
  <c r="BV141" i="2" s="1"/>
  <c r="AI86" i="7" l="1"/>
  <c r="BM200" i="2"/>
  <c r="AI108" i="7" s="1"/>
  <c r="BM208" i="2"/>
  <c r="BM211" i="2" s="1"/>
  <c r="BQ106" i="2"/>
  <c r="I72" i="5"/>
  <c r="E37" i="1" s="1"/>
  <c r="BX19" i="4"/>
  <c r="AM54" i="7"/>
  <c r="BQ137" i="2"/>
  <c r="BQ138" i="2" s="1"/>
  <c r="AO126" i="7"/>
  <c r="BT223" i="2"/>
  <c r="AQ145" i="7"/>
  <c r="BU247" i="2"/>
  <c r="BL265" i="2"/>
  <c r="BL261" i="2"/>
  <c r="AH156" i="7"/>
  <c r="AH157" i="7"/>
  <c r="AP75" i="7"/>
  <c r="BT287" i="2"/>
  <c r="AO149" i="7"/>
  <c r="AQ79" i="7"/>
  <c r="BL211" i="2"/>
  <c r="BL209" i="2"/>
  <c r="AH114" i="7" s="1"/>
  <c r="AH113" i="7"/>
  <c r="BP106" i="2"/>
  <c r="AL54" i="7"/>
  <c r="AM58" i="7"/>
  <c r="BQ115" i="2"/>
  <c r="BM254" i="2"/>
  <c r="AI153" i="7"/>
  <c r="BN251" i="2"/>
  <c r="AP27" i="7"/>
  <c r="BZ55" i="4"/>
  <c r="BZ57" i="3"/>
  <c r="BZ46" i="3"/>
  <c r="BZ47" i="3" s="1"/>
  <c r="BZ8" i="2"/>
  <c r="J63" i="5"/>
  <c r="J64" i="5" s="1"/>
  <c r="AP79" i="7"/>
  <c r="CA46" i="3"/>
  <c r="CA47" i="3" s="1"/>
  <c r="CA8" i="2"/>
  <c r="CA55" i="4"/>
  <c r="CA57" i="3"/>
  <c r="BR114" i="2"/>
  <c r="BY58" i="4"/>
  <c r="BY17" i="4"/>
  <c r="BY53" i="4"/>
  <c r="BS99" i="2"/>
  <c r="BS101" i="2"/>
  <c r="AO49" i="7"/>
  <c r="AO133" i="7"/>
  <c r="BT231" i="2"/>
  <c r="AN154" i="7"/>
  <c r="BS252" i="2"/>
  <c r="AO129" i="7"/>
  <c r="BT227" i="2"/>
  <c r="BN177" i="2"/>
  <c r="AJ71" i="7"/>
  <c r="BO160" i="2"/>
  <c r="BO177" i="2" s="1"/>
  <c r="CC38" i="3"/>
  <c r="CC35" i="3"/>
  <c r="CC25" i="3" s="1"/>
  <c r="CC36" i="3"/>
  <c r="AP26" i="7"/>
  <c r="BT23" i="4"/>
  <c r="AQ84" i="7"/>
  <c r="AP145" i="7"/>
  <c r="BT247" i="2"/>
  <c r="BY14" i="2"/>
  <c r="AU12" i="7"/>
  <c r="BY9" i="2"/>
  <c r="AU13" i="7" s="1"/>
  <c r="J62" i="5"/>
  <c r="BV247" i="2"/>
  <c r="AR145" i="7"/>
  <c r="BU143" i="2"/>
  <c r="BT143" i="2"/>
  <c r="BU287" i="2"/>
  <c r="AQ75" i="7"/>
  <c r="AQ82" i="7"/>
  <c r="AH108" i="7"/>
  <c r="BL204" i="2"/>
  <c r="BP119" i="2"/>
  <c r="AJ64" i="7"/>
  <c r="BN139" i="2"/>
  <c r="AJ65" i="7" s="1"/>
  <c r="BV287" i="2"/>
  <c r="AR75" i="7"/>
  <c r="J34" i="5"/>
  <c r="AL63" i="7"/>
  <c r="BP138" i="2"/>
  <c r="BP160" i="2"/>
  <c r="BR135" i="2"/>
  <c r="BR137" i="2" s="1"/>
  <c r="BU98" i="2"/>
  <c r="AQ40" i="7"/>
  <c r="BU84" i="2"/>
  <c r="BU77" i="2"/>
  <c r="AQ41" i="7" s="1"/>
  <c r="BU78" i="2"/>
  <c r="BW181" i="2"/>
  <c r="AS17" i="7"/>
  <c r="BW80" i="2"/>
  <c r="BW141" i="2" s="1"/>
  <c r="BW15" i="2"/>
  <c r="BW238" i="2"/>
  <c r="BW58" i="2"/>
  <c r="BW74" i="2"/>
  <c r="AS38" i="7" s="1"/>
  <c r="BW44" i="2"/>
  <c r="BW172" i="2"/>
  <c r="BW241" i="2"/>
  <c r="BW51" i="2"/>
  <c r="BW37" i="2"/>
  <c r="BW180" i="2"/>
  <c r="BW33" i="2"/>
  <c r="BW222" i="2"/>
  <c r="BY47" i="3"/>
  <c r="AR40" i="7"/>
  <c r="BV78" i="2"/>
  <c r="BV84" i="2"/>
  <c r="BV77" i="2"/>
  <c r="AR41" i="7" s="1"/>
  <c r="BV98" i="2"/>
  <c r="AO42" i="7"/>
  <c r="AK60" i="7"/>
  <c r="BP116" i="2"/>
  <c r="AL60" i="7" s="1"/>
  <c r="AL59" i="7"/>
  <c r="J40" i="5"/>
  <c r="J26" i="5"/>
  <c r="BW19" i="4"/>
  <c r="BO139" i="2"/>
  <c r="AK65" i="7" s="1"/>
  <c r="AK64" i="7"/>
  <c r="CB25" i="3"/>
  <c r="J17" i="5"/>
  <c r="I8" i="35"/>
  <c r="I25" i="35" s="1"/>
  <c r="BT84" i="2"/>
  <c r="BT77" i="2"/>
  <c r="BT98" i="2"/>
  <c r="F23" i="1"/>
  <c r="AP40" i="7"/>
  <c r="BT78" i="2"/>
  <c r="H8" i="35"/>
  <c r="BR118" i="2"/>
  <c r="BR119" i="2" s="1"/>
  <c r="AN53" i="7"/>
  <c r="BR105" i="2"/>
  <c r="BX181" i="2"/>
  <c r="AT90" i="7" s="1"/>
  <c r="BX44" i="2"/>
  <c r="BX80" i="2"/>
  <c r="BX180" i="2"/>
  <c r="BX222" i="2"/>
  <c r="AT17" i="7"/>
  <c r="BX241" i="2"/>
  <c r="BX58" i="2"/>
  <c r="BX15" i="2"/>
  <c r="BX238" i="2"/>
  <c r="BX33" i="2"/>
  <c r="BX51" i="2"/>
  <c r="BX172" i="2"/>
  <c r="AT81" i="7" s="1"/>
  <c r="BX74" i="2"/>
  <c r="AT38" i="7" s="1"/>
  <c r="BX37" i="2"/>
  <c r="BU23" i="4"/>
  <c r="AQ26" i="7"/>
  <c r="AU9" i="7"/>
  <c r="BY27" i="3"/>
  <c r="BY28" i="3" s="1"/>
  <c r="BY26" i="3"/>
  <c r="BY62" i="3"/>
  <c r="BY58" i="3"/>
  <c r="BY61" i="3"/>
  <c r="AR26" i="7"/>
  <c r="BV23" i="4"/>
  <c r="BR93" i="2"/>
  <c r="BR94" i="2"/>
  <c r="BS85" i="2"/>
  <c r="BS88" i="2"/>
  <c r="BS86" i="2"/>
  <c r="BS108" i="2"/>
  <c r="BM209" i="2" l="1"/>
  <c r="AI114" i="7" s="1"/>
  <c r="AI113" i="7"/>
  <c r="AS18" i="7"/>
  <c r="AQ42" i="7"/>
  <c r="AT18" i="7"/>
  <c r="AR42" i="7"/>
  <c r="AM55" i="7"/>
  <c r="I73" i="5"/>
  <c r="AM63" i="7"/>
  <c r="BQ160" i="2"/>
  <c r="AM71" i="7" s="1"/>
  <c r="BX141" i="2"/>
  <c r="BY141" i="2" s="1"/>
  <c r="CD35" i="3"/>
  <c r="BS92" i="2"/>
  <c r="BS89" i="2"/>
  <c r="AO45" i="7" s="1"/>
  <c r="AO44" i="7"/>
  <c r="BS90" i="2"/>
  <c r="AO46" i="7" s="1"/>
  <c r="BS263" i="2"/>
  <c r="AT143" i="7"/>
  <c r="BY241" i="2"/>
  <c r="BX175" i="2"/>
  <c r="AT84" i="7" s="1"/>
  <c r="BX243" i="2"/>
  <c r="AT140" i="7"/>
  <c r="BX173" i="2"/>
  <c r="AT82" i="7" s="1"/>
  <c r="BY238" i="2"/>
  <c r="BX45" i="2"/>
  <c r="AT31" i="7"/>
  <c r="AR49" i="7"/>
  <c r="BV99" i="2"/>
  <c r="BV101" i="2"/>
  <c r="AR50" i="7" s="1"/>
  <c r="BW76" i="2"/>
  <c r="AS25" i="7"/>
  <c r="BW35" i="2"/>
  <c r="AS27" i="7" s="1"/>
  <c r="BW22" i="4"/>
  <c r="BW34" i="2"/>
  <c r="BW175" i="2"/>
  <c r="AS143" i="7"/>
  <c r="AS35" i="7"/>
  <c r="BW59" i="2"/>
  <c r="BY58" i="2"/>
  <c r="BU85" i="2"/>
  <c r="BU86" i="2"/>
  <c r="BU88" i="2"/>
  <c r="BU108" i="2"/>
  <c r="BR286" i="2"/>
  <c r="BP139" i="2"/>
  <c r="AL65" i="7" s="1"/>
  <c r="AL64" i="7"/>
  <c r="AI116" i="7"/>
  <c r="BM212" i="2"/>
  <c r="AI117" i="7" s="1"/>
  <c r="BL220" i="2"/>
  <c r="AH111" i="7"/>
  <c r="BM202" i="2"/>
  <c r="BV143" i="2"/>
  <c r="AU17" i="7"/>
  <c r="BY74" i="2"/>
  <c r="AU38" i="7" s="1"/>
  <c r="CE14" i="2"/>
  <c r="BK61" i="3" s="1"/>
  <c r="BY15" i="2"/>
  <c r="L4" i="35"/>
  <c r="BY33" i="2"/>
  <c r="K4" i="35"/>
  <c r="K9" i="5"/>
  <c r="AK71" i="7"/>
  <c r="BS104" i="2"/>
  <c r="AO50" i="7"/>
  <c r="BT101" i="2"/>
  <c r="BY19" i="4"/>
  <c r="AW12" i="7"/>
  <c r="CA9" i="2"/>
  <c r="AW13" i="7" s="1"/>
  <c r="CA14" i="2"/>
  <c r="BZ17" i="4"/>
  <c r="BZ53" i="4"/>
  <c r="BZ58" i="4"/>
  <c r="BQ116" i="2"/>
  <c r="AM60" i="7" s="1"/>
  <c r="AM59" i="7"/>
  <c r="AQ149" i="7"/>
  <c r="BX38" i="2"/>
  <c r="AT29" i="7"/>
  <c r="BX164" i="2"/>
  <c r="BX81" i="2"/>
  <c r="AT57" i="7"/>
  <c r="BQ139" i="2"/>
  <c r="AM65" i="7" s="1"/>
  <c r="AM64" i="7"/>
  <c r="AU10" i="7"/>
  <c r="AP49" i="7"/>
  <c r="BT99" i="2"/>
  <c r="BS134" i="2"/>
  <c r="BS135" i="2" s="1"/>
  <c r="BT135" i="2" s="1"/>
  <c r="BS109" i="2"/>
  <c r="BS111" i="2"/>
  <c r="BT108" i="2"/>
  <c r="AT125" i="7"/>
  <c r="BY222" i="2"/>
  <c r="AP42" i="7"/>
  <c r="F24" i="1"/>
  <c r="AP41" i="7"/>
  <c r="CB45" i="3"/>
  <c r="CB26" i="3"/>
  <c r="CB27" i="3"/>
  <c r="AX9" i="7"/>
  <c r="AS89" i="7"/>
  <c r="BW186" i="2"/>
  <c r="AS95" i="7" s="1"/>
  <c r="BY180" i="2"/>
  <c r="AS81" i="7"/>
  <c r="BY172" i="2"/>
  <c r="AU81" i="7" s="1"/>
  <c r="AS140" i="7"/>
  <c r="BW173" i="2"/>
  <c r="BW243" i="2"/>
  <c r="AS90" i="7"/>
  <c r="BY181" i="2"/>
  <c r="AU90" i="7" s="1"/>
  <c r="F42" i="1"/>
  <c r="AP149" i="7"/>
  <c r="BT252" i="2"/>
  <c r="AO154" i="7"/>
  <c r="BR115" i="2"/>
  <c r="AN58" i="7"/>
  <c r="BZ9" i="2"/>
  <c r="AV13" i="7" s="1"/>
  <c r="AV12" i="7"/>
  <c r="BZ14" i="2"/>
  <c r="AJ153" i="7"/>
  <c r="BO251" i="2"/>
  <c r="BN254" i="2"/>
  <c r="BN265" i="2" s="1"/>
  <c r="BY59" i="3"/>
  <c r="I26" i="35"/>
  <c r="H25" i="35"/>
  <c r="H29" i="35"/>
  <c r="BX52" i="2"/>
  <c r="AT33" i="7"/>
  <c r="BX59" i="2"/>
  <c r="AT35" i="7"/>
  <c r="BX186" i="2"/>
  <c r="AT95" i="7" s="1"/>
  <c r="AT89" i="7"/>
  <c r="AN54" i="7"/>
  <c r="BR106" i="2"/>
  <c r="BT88" i="2"/>
  <c r="BT86" i="2"/>
  <c r="BT85" i="2"/>
  <c r="BV86" i="2"/>
  <c r="BV88" i="2"/>
  <c r="BV85" i="2"/>
  <c r="BV108" i="2"/>
  <c r="AS29" i="7"/>
  <c r="BW38" i="2"/>
  <c r="BY37" i="2"/>
  <c r="BW45" i="2"/>
  <c r="AS31" i="7"/>
  <c r="BY44" i="2"/>
  <c r="AQ49" i="7"/>
  <c r="BU99" i="2"/>
  <c r="BU101" i="2"/>
  <c r="J36" i="5"/>
  <c r="J42" i="5"/>
  <c r="J43" i="5" s="1"/>
  <c r="J44" i="5" s="1"/>
  <c r="J49" i="5"/>
  <c r="J35" i="5"/>
  <c r="J37" i="5" s="1"/>
  <c r="AR149" i="7"/>
  <c r="CC26" i="3"/>
  <c r="AY9" i="7"/>
  <c r="CC27" i="3"/>
  <c r="CC45" i="3"/>
  <c r="BN200" i="2"/>
  <c r="BN208" i="2"/>
  <c r="AJ86" i="7"/>
  <c r="CA61" i="3"/>
  <c r="CA58" i="3"/>
  <c r="CA59" i="3" s="1"/>
  <c r="CA62" i="3"/>
  <c r="AW10" i="7" s="1"/>
  <c r="AP126" i="7"/>
  <c r="BU223" i="2"/>
  <c r="AT25" i="7"/>
  <c r="BX76" i="2"/>
  <c r="BX34" i="2"/>
  <c r="BX35" i="2"/>
  <c r="AT27" i="7" s="1"/>
  <c r="BX22" i="4"/>
  <c r="AS125" i="7"/>
  <c r="BX169" i="2"/>
  <c r="AT79" i="7" s="1"/>
  <c r="BW169" i="2"/>
  <c r="AS33" i="7"/>
  <c r="BW52" i="2"/>
  <c r="BY51" i="2"/>
  <c r="BW142" i="2"/>
  <c r="BX142" i="2" s="1"/>
  <c r="BW164" i="2"/>
  <c r="BW81" i="2"/>
  <c r="AS57" i="7"/>
  <c r="BY80" i="2"/>
  <c r="BR160" i="2"/>
  <c r="BR138" i="2"/>
  <c r="AN63" i="7"/>
  <c r="BP177" i="2"/>
  <c r="AL71" i="7"/>
  <c r="K31" i="35"/>
  <c r="L31" i="35" s="1"/>
  <c r="E31" i="35"/>
  <c r="F31" i="35" s="1"/>
  <c r="H31" i="35"/>
  <c r="I31" i="35" s="1"/>
  <c r="BU227" i="2"/>
  <c r="AP129" i="7"/>
  <c r="BU231" i="2"/>
  <c r="AP133" i="7"/>
  <c r="CA17" i="4"/>
  <c r="CA53" i="4"/>
  <c r="CA58" i="4"/>
  <c r="BZ61" i="3"/>
  <c r="BZ62" i="3"/>
  <c r="AV10" i="7" s="1"/>
  <c r="BZ58" i="3"/>
  <c r="BZ59" i="3" s="1"/>
  <c r="BM265" i="2"/>
  <c r="BM261" i="2"/>
  <c r="AI156" i="7"/>
  <c r="BM255" i="2"/>
  <c r="AI157" i="7" s="1"/>
  <c r="AL55" i="7"/>
  <c r="AH116" i="7"/>
  <c r="BL212" i="2"/>
  <c r="AH117" i="7" s="1"/>
  <c r="BQ177" i="2" l="1"/>
  <c r="AM86" i="7" s="1"/>
  <c r="CA19" i="4"/>
  <c r="BV104" i="2"/>
  <c r="BV118" i="2" s="1"/>
  <c r="BV119" i="2" s="1"/>
  <c r="BY82" i="2"/>
  <c r="AU57" i="7"/>
  <c r="BY81" i="2"/>
  <c r="K31" i="5"/>
  <c r="K32" i="5" s="1"/>
  <c r="AS79" i="7"/>
  <c r="BY169" i="2"/>
  <c r="BZ181" i="2"/>
  <c r="BZ172" i="2"/>
  <c r="BZ180" i="2"/>
  <c r="BZ80" i="2"/>
  <c r="BZ142" i="2" s="1"/>
  <c r="AV17" i="7"/>
  <c r="BZ15" i="2"/>
  <c r="AV18" i="7" s="1"/>
  <c r="BZ58" i="2"/>
  <c r="BZ37" i="2"/>
  <c r="BZ51" i="2"/>
  <c r="BZ74" i="2"/>
  <c r="AV38" i="7" s="1"/>
  <c r="BZ238" i="2"/>
  <c r="BZ33" i="2"/>
  <c r="BZ44" i="2"/>
  <c r="BZ241" i="2"/>
  <c r="BZ222" i="2"/>
  <c r="AU33" i="7"/>
  <c r="BY53" i="2"/>
  <c r="AU34" i="7" s="1"/>
  <c r="BY52" i="2"/>
  <c r="K25" i="5"/>
  <c r="AT26" i="7"/>
  <c r="BX23" i="4"/>
  <c r="BN211" i="2"/>
  <c r="AJ113" i="7"/>
  <c r="BN209" i="2"/>
  <c r="AJ114" i="7" s="1"/>
  <c r="L7" i="35"/>
  <c r="AU29" i="7"/>
  <c r="BY39" i="2"/>
  <c r="AU30" i="7" s="1"/>
  <c r="BY38" i="2"/>
  <c r="K16" i="5"/>
  <c r="K7" i="35"/>
  <c r="AK153" i="7"/>
  <c r="BO254" i="2"/>
  <c r="BP251" i="2"/>
  <c r="AS145" i="7"/>
  <c r="BW247" i="2"/>
  <c r="BT109" i="2"/>
  <c r="BT134" i="2"/>
  <c r="BT136" i="2" s="1"/>
  <c r="CA181" i="2"/>
  <c r="AW90" i="7" s="1"/>
  <c r="CA51" i="2"/>
  <c r="CA80" i="2"/>
  <c r="CA241" i="2"/>
  <c r="CA172" i="2"/>
  <c r="AW81" i="7" s="1"/>
  <c r="CA44" i="2"/>
  <c r="CA58" i="2"/>
  <c r="CA222" i="2"/>
  <c r="AW17" i="7"/>
  <c r="CA180" i="2"/>
  <c r="CA238" i="2"/>
  <c r="CA33" i="2"/>
  <c r="CA37" i="2"/>
  <c r="CA15" i="2"/>
  <c r="AW18" i="7" s="1"/>
  <c r="CA74" i="2"/>
  <c r="AW38" i="7" s="1"/>
  <c r="BT104" i="2"/>
  <c r="AP50" i="7"/>
  <c r="BT102" i="2"/>
  <c r="AK86" i="7"/>
  <c r="BO208" i="2"/>
  <c r="BO200" i="2"/>
  <c r="BO204" i="2" s="1"/>
  <c r="BL206" i="2"/>
  <c r="AH123" i="7"/>
  <c r="BL260" i="2"/>
  <c r="BL262" i="2" s="1"/>
  <c r="BL228" i="2"/>
  <c r="BU92" i="2"/>
  <c r="BU89" i="2"/>
  <c r="AQ45" i="7" s="1"/>
  <c r="BU263" i="2"/>
  <c r="BU90" i="2"/>
  <c r="AQ46" i="7" s="1"/>
  <c r="AQ44" i="7"/>
  <c r="BW23" i="4"/>
  <c r="AS26" i="7"/>
  <c r="AS40" i="7"/>
  <c r="BW77" i="2"/>
  <c r="AS41" i="7" s="1"/>
  <c r="BW78" i="2"/>
  <c r="BW98" i="2"/>
  <c r="BW84" i="2"/>
  <c r="BY270" i="2"/>
  <c r="AU143" i="7"/>
  <c r="CB8" i="2"/>
  <c r="CB46" i="3"/>
  <c r="CB47" i="3" s="1"/>
  <c r="CB57" i="3"/>
  <c r="CB55" i="4"/>
  <c r="CD45" i="3"/>
  <c r="BR139" i="2"/>
  <c r="AN65" i="7" s="1"/>
  <c r="AN64" i="7"/>
  <c r="AT40" i="7"/>
  <c r="BX78" i="2"/>
  <c r="BX98" i="2"/>
  <c r="BX84" i="2"/>
  <c r="BX77" i="2"/>
  <c r="AT41" i="7" s="1"/>
  <c r="AQ126" i="7"/>
  <c r="BV223" i="2"/>
  <c r="AJ108" i="7"/>
  <c r="AU31" i="7"/>
  <c r="BY46" i="2"/>
  <c r="AU32" i="7" s="1"/>
  <c r="K19" i="5"/>
  <c r="K20" i="5" s="1"/>
  <c r="BY45" i="2"/>
  <c r="BV89" i="2"/>
  <c r="AR45" i="7" s="1"/>
  <c r="BV263" i="2"/>
  <c r="AR44" i="7"/>
  <c r="BV90" i="2"/>
  <c r="AR46" i="7" s="1"/>
  <c r="BV92" i="2"/>
  <c r="AN55" i="7"/>
  <c r="BU252" i="2"/>
  <c r="AP154" i="7"/>
  <c r="AS82" i="7"/>
  <c r="BY173" i="2"/>
  <c r="AU82" i="7" s="1"/>
  <c r="AU89" i="7"/>
  <c r="K61" i="5"/>
  <c r="BY269" i="2"/>
  <c r="BY186" i="2"/>
  <c r="AU95" i="7" s="1"/>
  <c r="BS114" i="2"/>
  <c r="BS112" i="2"/>
  <c r="BT111" i="2"/>
  <c r="BZ19" i="4"/>
  <c r="K29" i="5"/>
  <c r="K47" i="5"/>
  <c r="K11" i="5"/>
  <c r="K70" i="5"/>
  <c r="K10" i="5"/>
  <c r="K66" i="5"/>
  <c r="K60" i="5"/>
  <c r="BW143" i="2"/>
  <c r="AQ133" i="7"/>
  <c r="BV231" i="2"/>
  <c r="BP200" i="2"/>
  <c r="BP208" i="2"/>
  <c r="AL86" i="7"/>
  <c r="AQ129" i="7"/>
  <c r="BV227" i="2"/>
  <c r="BR177" i="2"/>
  <c r="AN71" i="7"/>
  <c r="AS75" i="7"/>
  <c r="BW287" i="2"/>
  <c r="BY164" i="2"/>
  <c r="CC46" i="3"/>
  <c r="CC47" i="3" s="1"/>
  <c r="CC8" i="2"/>
  <c r="CC57" i="3"/>
  <c r="CC55" i="4"/>
  <c r="BU104" i="2"/>
  <c r="AQ50" i="7"/>
  <c r="F20" i="1"/>
  <c r="AP44" i="7"/>
  <c r="BT89" i="2"/>
  <c r="BT92" i="2"/>
  <c r="BT263" i="2"/>
  <c r="BT90" i="2"/>
  <c r="I29" i="35"/>
  <c r="AU125" i="7"/>
  <c r="BY267" i="2"/>
  <c r="AT75" i="7"/>
  <c r="BX287" i="2"/>
  <c r="AO53" i="7"/>
  <c r="BS118" i="2"/>
  <c r="BS105" i="2"/>
  <c r="AU18" i="7"/>
  <c r="AI110" i="7"/>
  <c r="BM204" i="2"/>
  <c r="AT145" i="7"/>
  <c r="BX247" i="2"/>
  <c r="BS94" i="2"/>
  <c r="BS93" i="2"/>
  <c r="BY142" i="2"/>
  <c r="BV134" i="2"/>
  <c r="BV109" i="2"/>
  <c r="BV111" i="2"/>
  <c r="BV112" i="2" s="1"/>
  <c r="AJ156" i="7"/>
  <c r="BN261" i="2"/>
  <c r="BN255" i="2"/>
  <c r="AJ157" i="7" s="1"/>
  <c r="AN59" i="7"/>
  <c r="BR116" i="2"/>
  <c r="AN60" i="7" s="1"/>
  <c r="BS137" i="2"/>
  <c r="BS286" i="2"/>
  <c r="BY34" i="2"/>
  <c r="BY22" i="4"/>
  <c r="BY35" i="2"/>
  <c r="L6" i="35"/>
  <c r="K6" i="35" s="1"/>
  <c r="AU25" i="7"/>
  <c r="BY76" i="2"/>
  <c r="BU134" i="2"/>
  <c r="BU135" i="2" s="1"/>
  <c r="BU111" i="2"/>
  <c r="BU109" i="2"/>
  <c r="AU35" i="7"/>
  <c r="BY59" i="2"/>
  <c r="BY60" i="2"/>
  <c r="AU36" i="7" s="1"/>
  <c r="K22" i="5"/>
  <c r="K23" i="5" s="1"/>
  <c r="AS84" i="7"/>
  <c r="BY175" i="2"/>
  <c r="AU84" i="7" s="1"/>
  <c r="AU140" i="7"/>
  <c r="BY243" i="2"/>
  <c r="BY268" i="2"/>
  <c r="AT42" i="7" l="1"/>
  <c r="AS42" i="7"/>
  <c r="BQ208" i="2"/>
  <c r="BQ209" i="2" s="1"/>
  <c r="AM114" i="7" s="1"/>
  <c r="BQ200" i="2"/>
  <c r="AM108" i="7" s="1"/>
  <c r="BV105" i="2"/>
  <c r="BV114" i="2"/>
  <c r="AR58" i="7" s="1"/>
  <c r="AR53" i="7"/>
  <c r="BT137" i="2"/>
  <c r="AP46" i="7"/>
  <c r="BV135" i="2"/>
  <c r="BV286" i="2" s="1"/>
  <c r="BX143" i="2"/>
  <c r="BY143" i="2" s="1"/>
  <c r="BS115" i="2"/>
  <c r="AO58" i="7"/>
  <c r="BX88" i="2"/>
  <c r="BX108" i="2"/>
  <c r="BX86" i="2"/>
  <c r="BX85" i="2"/>
  <c r="CB58" i="3"/>
  <c r="CB59" i="3" s="1"/>
  <c r="CB61" i="3"/>
  <c r="CB62" i="3"/>
  <c r="AX10" i="7" s="1"/>
  <c r="F29" i="1"/>
  <c r="F30" i="1" s="1"/>
  <c r="AP53" i="7"/>
  <c r="BT105" i="2"/>
  <c r="CA186" i="2"/>
  <c r="AW95" i="7" s="1"/>
  <c r="AW89" i="7"/>
  <c r="AW31" i="7"/>
  <c r="CA45" i="2"/>
  <c r="AW33" i="7"/>
  <c r="CA52" i="2"/>
  <c r="E44" i="1"/>
  <c r="BO261" i="2"/>
  <c r="AK156" i="7"/>
  <c r="BO255" i="2"/>
  <c r="AK157" i="7" s="1"/>
  <c r="BO265" i="2"/>
  <c r="BZ169" i="2"/>
  <c r="AV125" i="7"/>
  <c r="CA169" i="2"/>
  <c r="AW79" i="7" s="1"/>
  <c r="AV140" i="7"/>
  <c r="BZ243" i="2"/>
  <c r="BZ173" i="2"/>
  <c r="BZ59" i="2"/>
  <c r="AV35" i="7"/>
  <c r="BZ186" i="2"/>
  <c r="AV95" i="7" s="1"/>
  <c r="AV89" i="7"/>
  <c r="BY78" i="2"/>
  <c r="BY77" i="2"/>
  <c r="BY84" i="2"/>
  <c r="CE84" i="2" s="1"/>
  <c r="K8" i="35"/>
  <c r="AU40" i="7"/>
  <c r="BY98" i="2"/>
  <c r="L8" i="35"/>
  <c r="L25" i="35" s="1"/>
  <c r="CN201" i="2"/>
  <c r="AI111" i="7"/>
  <c r="BN202" i="2"/>
  <c r="BM220" i="2"/>
  <c r="BM206" i="2" s="1"/>
  <c r="AY12" i="7"/>
  <c r="CC14" i="2"/>
  <c r="CC9" i="2"/>
  <c r="AY13" i="7" s="1"/>
  <c r="BW231" i="2"/>
  <c r="AR133" i="7"/>
  <c r="BU114" i="2"/>
  <c r="BU112" i="2"/>
  <c r="BU137" i="2"/>
  <c r="BU286" i="2"/>
  <c r="AU26" i="7"/>
  <c r="BY23" i="4"/>
  <c r="AO63" i="7"/>
  <c r="BS138" i="2"/>
  <c r="BS160" i="2"/>
  <c r="CA142" i="2"/>
  <c r="AT149" i="7"/>
  <c r="BT93" i="2"/>
  <c r="BT94" i="2"/>
  <c r="CC53" i="4"/>
  <c r="CC58" i="4"/>
  <c r="CC17" i="4"/>
  <c r="BY287" i="2"/>
  <c r="AU75" i="7"/>
  <c r="BR200" i="2"/>
  <c r="BR208" i="2"/>
  <c r="AN86" i="7"/>
  <c r="BP211" i="2"/>
  <c r="BP209" i="2"/>
  <c r="AL114" i="7" s="1"/>
  <c r="AL113" i="7"/>
  <c r="K34" i="5"/>
  <c r="K62" i="5"/>
  <c r="BV94" i="2"/>
  <c r="BV93" i="2"/>
  <c r="AR126" i="7"/>
  <c r="BW223" i="2"/>
  <c r="BX101" i="2"/>
  <c r="AT50" i="7" s="1"/>
  <c r="AT49" i="7"/>
  <c r="BX99" i="2"/>
  <c r="BU94" i="2"/>
  <c r="BU93" i="2"/>
  <c r="E30" i="35"/>
  <c r="AP51" i="7"/>
  <c r="H30" i="35"/>
  <c r="K30" i="35"/>
  <c r="L30" i="35" s="1"/>
  <c r="CA38" i="2"/>
  <c r="AW29" i="7"/>
  <c r="AS149" i="7"/>
  <c r="K17" i="5"/>
  <c r="AJ116" i="7"/>
  <c r="BN212" i="2"/>
  <c r="AJ117" i="7" s="1"/>
  <c r="BZ175" i="2"/>
  <c r="AV143" i="7"/>
  <c r="AV81" i="7"/>
  <c r="K63" i="5"/>
  <c r="K64" i="5" s="1"/>
  <c r="AU79" i="7"/>
  <c r="BS119" i="2"/>
  <c r="BT118" i="2"/>
  <c r="BT119" i="2" s="1"/>
  <c r="AQ53" i="7"/>
  <c r="BU105" i="2"/>
  <c r="BU118" i="2"/>
  <c r="AU145" i="7"/>
  <c r="BY247" i="2"/>
  <c r="AU27" i="7"/>
  <c r="F21" i="1"/>
  <c r="AP45" i="7"/>
  <c r="CC62" i="3"/>
  <c r="AY10" i="7" s="1"/>
  <c r="CC58" i="3"/>
  <c r="CC59" i="3" s="1"/>
  <c r="CC61" i="3"/>
  <c r="AR129" i="7"/>
  <c r="BW227" i="2"/>
  <c r="AL108" i="7"/>
  <c r="BT114" i="2"/>
  <c r="BT112" i="2"/>
  <c r="J51" i="5"/>
  <c r="AQ154" i="7"/>
  <c r="BV252" i="2"/>
  <c r="CD25" i="3"/>
  <c r="CD57" i="3"/>
  <c r="CD46" i="3"/>
  <c r="CD55" i="4"/>
  <c r="CD8" i="2"/>
  <c r="CB9" i="2"/>
  <c r="AX13" i="7" s="1"/>
  <c r="CB14" i="2"/>
  <c r="AX12" i="7"/>
  <c r="BW108" i="2"/>
  <c r="BW85" i="2"/>
  <c r="BW86" i="2"/>
  <c r="BW88" i="2"/>
  <c r="BL235" i="2"/>
  <c r="BL256" i="2" s="1"/>
  <c r="AH130" i="7"/>
  <c r="AK108" i="7"/>
  <c r="CA22" i="4"/>
  <c r="AW25" i="7"/>
  <c r="CA35" i="2"/>
  <c r="AW27" i="7" s="1"/>
  <c r="CA34" i="2"/>
  <c r="CA76" i="2"/>
  <c r="AW125" i="7"/>
  <c r="CA175" i="2"/>
  <c r="AW84" i="7" s="1"/>
  <c r="AW143" i="7"/>
  <c r="BQ211" i="2"/>
  <c r="BZ45" i="2"/>
  <c r="AV31" i="7"/>
  <c r="AV33" i="7"/>
  <c r="BZ52" i="2"/>
  <c r="AV90" i="7"/>
  <c r="BT286" i="2"/>
  <c r="AO54" i="7"/>
  <c r="BS106" i="2"/>
  <c r="CB17" i="4"/>
  <c r="CB58" i="4"/>
  <c r="CB53" i="4"/>
  <c r="BW99" i="2"/>
  <c r="AS49" i="7"/>
  <c r="BW101" i="2"/>
  <c r="BO211" i="2"/>
  <c r="BO209" i="2"/>
  <c r="AK114" i="7" s="1"/>
  <c r="AK113" i="7"/>
  <c r="AW140" i="7"/>
  <c r="CA243" i="2"/>
  <c r="CA173" i="2"/>
  <c r="AW82" i="7" s="1"/>
  <c r="CA59" i="2"/>
  <c r="AW35" i="7"/>
  <c r="CA164" i="2"/>
  <c r="CA81" i="2"/>
  <c r="AW57" i="7"/>
  <c r="BQ251" i="2"/>
  <c r="AL153" i="7"/>
  <c r="BP254" i="2"/>
  <c r="BP265" i="2" s="1"/>
  <c r="K40" i="5"/>
  <c r="K26" i="5"/>
  <c r="BZ22" i="4"/>
  <c r="BZ34" i="2"/>
  <c r="BZ35" i="2"/>
  <c r="AV27" i="7" s="1"/>
  <c r="AV25" i="7"/>
  <c r="BZ76" i="2"/>
  <c r="AV29" i="7"/>
  <c r="BZ38" i="2"/>
  <c r="AV57" i="7"/>
  <c r="BZ164" i="2"/>
  <c r="BZ81" i="2"/>
  <c r="BZ141" i="2"/>
  <c r="CA141" i="2" s="1"/>
  <c r="AM113" i="7" l="1"/>
  <c r="AR54" i="7"/>
  <c r="BV106" i="2"/>
  <c r="BZ143" i="2"/>
  <c r="CA143" i="2" s="1"/>
  <c r="BV115" i="2"/>
  <c r="AR59" i="7" s="1"/>
  <c r="BT138" i="2"/>
  <c r="BT139" i="2" s="1"/>
  <c r="AP65" i="7" s="1"/>
  <c r="F26" i="1"/>
  <c r="F27" i="1" s="1"/>
  <c r="CB19" i="4"/>
  <c r="BV137" i="2"/>
  <c r="AR63" i="7" s="1"/>
  <c r="AP63" i="7"/>
  <c r="AK116" i="7"/>
  <c r="BO212" i="2"/>
  <c r="AK117" i="7" s="1"/>
  <c r="AH137" i="7"/>
  <c r="BL264" i="2"/>
  <c r="BW111" i="2"/>
  <c r="BW109" i="2"/>
  <c r="BW134" i="2"/>
  <c r="BY108" i="2"/>
  <c r="AZ12" i="7"/>
  <c r="CD14" i="2"/>
  <c r="CD9" i="2"/>
  <c r="AZ13" i="7" s="1"/>
  <c r="CD27" i="3"/>
  <c r="CD28" i="3" s="1"/>
  <c r="AZ9" i="7"/>
  <c r="CD26" i="3"/>
  <c r="J52" i="5"/>
  <c r="J54" i="5"/>
  <c r="BX227" i="2"/>
  <c r="AS129" i="7"/>
  <c r="AN108" i="7"/>
  <c r="CC19" i="4"/>
  <c r="BV116" i="2"/>
  <c r="AR60" i="7" s="1"/>
  <c r="AO64" i="7"/>
  <c r="BS139" i="2"/>
  <c r="AO65" i="7" s="1"/>
  <c r="BX231" i="2"/>
  <c r="AS133" i="7"/>
  <c r="K29" i="35"/>
  <c r="K25" i="35"/>
  <c r="L26" i="35"/>
  <c r="AU42" i="7"/>
  <c r="AV145" i="7"/>
  <c r="BZ247" i="2"/>
  <c r="AV79" i="7"/>
  <c r="BZ287" i="2"/>
  <c r="AV75" i="7"/>
  <c r="AV26" i="7"/>
  <c r="BZ23" i="4"/>
  <c r="BW104" i="2"/>
  <c r="AS50" i="7"/>
  <c r="BY101" i="2"/>
  <c r="BY104" i="2" s="1"/>
  <c r="BQ212" i="2"/>
  <c r="AM117" i="7" s="1"/>
  <c r="AM116" i="7"/>
  <c r="AK111" i="7"/>
  <c r="BO220" i="2"/>
  <c r="BO206" i="2" s="1"/>
  <c r="BP202" i="2"/>
  <c r="BW263" i="2"/>
  <c r="BW89" i="2"/>
  <c r="AS45" i="7" s="1"/>
  <c r="AS44" i="7"/>
  <c r="BW92" i="2"/>
  <c r="BW90" i="2"/>
  <c r="AS46" i="7" s="1"/>
  <c r="CD17" i="4"/>
  <c r="CD53" i="4"/>
  <c r="CD58" i="4"/>
  <c r="BU119" i="2"/>
  <c r="AV84" i="7"/>
  <c r="BX104" i="2"/>
  <c r="AS126" i="7"/>
  <c r="BX223" i="2"/>
  <c r="BP212" i="2"/>
  <c r="AL117" i="7" s="1"/>
  <c r="AL116" i="7"/>
  <c r="AI123" i="7"/>
  <c r="C22" i="6"/>
  <c r="C23" i="6" s="1"/>
  <c r="C24" i="6" s="1"/>
  <c r="BM228" i="2"/>
  <c r="BM260" i="2"/>
  <c r="BM262" i="2" s="1"/>
  <c r="BY86" i="2"/>
  <c r="BY88" i="2"/>
  <c r="BY85" i="2"/>
  <c r="AP54" i="7"/>
  <c r="I9" i="35"/>
  <c r="BT106" i="2"/>
  <c r="C15" i="6"/>
  <c r="F32" i="1"/>
  <c r="F33" i="1" s="1"/>
  <c r="AO59" i="7"/>
  <c r="BS116" i="2"/>
  <c r="AO60" i="7" s="1"/>
  <c r="AM153" i="7"/>
  <c r="BQ254" i="2"/>
  <c r="BR251" i="2"/>
  <c r="BZ77" i="2"/>
  <c r="AV41" i="7" s="1"/>
  <c r="BZ98" i="2"/>
  <c r="BZ84" i="2"/>
  <c r="BZ78" i="2"/>
  <c r="AV42" i="7" s="1"/>
  <c r="AV40" i="7"/>
  <c r="AL156" i="7"/>
  <c r="BP261" i="2"/>
  <c r="BP255" i="2"/>
  <c r="AL157" i="7" s="1"/>
  <c r="CA78" i="2"/>
  <c r="AW42" i="7" s="1"/>
  <c r="CA77" i="2"/>
  <c r="AW41" i="7" s="1"/>
  <c r="AW40" i="7"/>
  <c r="CA84" i="2"/>
  <c r="CA98" i="2"/>
  <c r="CB181" i="2"/>
  <c r="CB80" i="2"/>
  <c r="CB142" i="2" s="1"/>
  <c r="CB58" i="2"/>
  <c r="CB222" i="2"/>
  <c r="CB172" i="2"/>
  <c r="CB44" i="2"/>
  <c r="CB74" i="2"/>
  <c r="AX38" i="7" s="1"/>
  <c r="AX17" i="7"/>
  <c r="CB238" i="2"/>
  <c r="CB15" i="2"/>
  <c r="AX18" i="7" s="1"/>
  <c r="CB37" i="2"/>
  <c r="CB51" i="2"/>
  <c r="CB241" i="2"/>
  <c r="CB33" i="2"/>
  <c r="CB180" i="2"/>
  <c r="CD47" i="3"/>
  <c r="AR154" i="7"/>
  <c r="BW252" i="2"/>
  <c r="AQ54" i="7"/>
  <c r="BU106" i="2"/>
  <c r="F30" i="35"/>
  <c r="F32" i="35" s="1"/>
  <c r="E32" i="35"/>
  <c r="K36" i="5"/>
  <c r="K35" i="5"/>
  <c r="K37" i="5" s="1"/>
  <c r="K49" i="5"/>
  <c r="K42" i="5"/>
  <c r="K43" i="5" s="1"/>
  <c r="K44" i="5" s="1"/>
  <c r="BU115" i="2"/>
  <c r="AQ58" i="7"/>
  <c r="CC181" i="2"/>
  <c r="AY90" i="7" s="1"/>
  <c r="CC58" i="2"/>
  <c r="CC44" i="2"/>
  <c r="CC172" i="2"/>
  <c r="AY81" i="7" s="1"/>
  <c r="CC180" i="2"/>
  <c r="CC37" i="2"/>
  <c r="CC74" i="2"/>
  <c r="AY38" i="7" s="1"/>
  <c r="CC241" i="2"/>
  <c r="AY17" i="7"/>
  <c r="CC238" i="2"/>
  <c r="CC51" i="2"/>
  <c r="CC80" i="2"/>
  <c r="CC15" i="2"/>
  <c r="AY18" i="7" s="1"/>
  <c r="CC33" i="2"/>
  <c r="CC222" i="2"/>
  <c r="AJ110" i="7"/>
  <c r="BN204" i="2"/>
  <c r="AU49" i="7"/>
  <c r="BY99" i="2"/>
  <c r="AU41" i="7"/>
  <c r="BX111" i="2"/>
  <c r="BX112" i="2" s="1"/>
  <c r="BX134" i="2"/>
  <c r="BX109" i="2"/>
  <c r="AW75" i="7"/>
  <c r="CA287" i="2"/>
  <c r="AW145" i="7"/>
  <c r="CA247" i="2"/>
  <c r="AO55" i="7"/>
  <c r="AW26" i="7"/>
  <c r="CA23" i="4"/>
  <c r="CD61" i="3"/>
  <c r="CD62" i="3"/>
  <c r="AZ10" i="7" s="1"/>
  <c r="CD58" i="3"/>
  <c r="BT115" i="2"/>
  <c r="AP58" i="7"/>
  <c r="AU149" i="7"/>
  <c r="I30" i="35"/>
  <c r="I32" i="35" s="1"/>
  <c r="H32" i="35"/>
  <c r="AN113" i="7"/>
  <c r="BR211" i="2"/>
  <c r="BR209" i="2"/>
  <c r="AN114" i="7" s="1"/>
  <c r="BT160" i="2"/>
  <c r="BS177" i="2"/>
  <c r="AO71" i="7"/>
  <c r="BU160" i="2"/>
  <c r="AQ63" i="7"/>
  <c r="BU138" i="2"/>
  <c r="AV82" i="7"/>
  <c r="BX263" i="2"/>
  <c r="BX89" i="2"/>
  <c r="AT45" i="7" s="1"/>
  <c r="AT44" i="7"/>
  <c r="BX92" i="2"/>
  <c r="BX90" i="2"/>
  <c r="AT46" i="7" s="1"/>
  <c r="AR55" i="7" l="1"/>
  <c r="AQ55" i="7"/>
  <c r="CD19" i="4"/>
  <c r="AP64" i="7"/>
  <c r="BV160" i="2"/>
  <c r="BV177" i="2" s="1"/>
  <c r="BV138" i="2"/>
  <c r="BV139" i="2" s="1"/>
  <c r="AR65" i="7" s="1"/>
  <c r="BX135" i="2"/>
  <c r="BX286" i="2" s="1"/>
  <c r="BN220" i="2"/>
  <c r="BN206" i="2" s="1"/>
  <c r="AJ111" i="7"/>
  <c r="AY89" i="7"/>
  <c r="CC186" i="2"/>
  <c r="AY95" i="7" s="1"/>
  <c r="F33" i="35"/>
  <c r="AX33" i="7"/>
  <c r="CB52" i="2"/>
  <c r="CD51" i="2"/>
  <c r="AX125" i="7"/>
  <c r="CC169" i="2"/>
  <c r="AY79" i="7" s="1"/>
  <c r="CB169" i="2"/>
  <c r="CA99" i="2"/>
  <c r="AW49" i="7"/>
  <c r="CA101" i="2"/>
  <c r="AW50" i="7" s="1"/>
  <c r="BW93" i="2"/>
  <c r="BW94" i="2"/>
  <c r="AS53" i="7"/>
  <c r="BW118" i="2"/>
  <c r="BW105" i="2"/>
  <c r="AT129" i="7"/>
  <c r="BY227" i="2"/>
  <c r="CD33" i="2"/>
  <c r="AZ17" i="7"/>
  <c r="L9" i="5"/>
  <c r="O4" i="35"/>
  <c r="CD15" i="2"/>
  <c r="AZ18" i="7" s="1"/>
  <c r="CD74" i="2"/>
  <c r="AZ38" i="7" s="1"/>
  <c r="N4" i="35"/>
  <c r="AQ71" i="7"/>
  <c r="BU177" i="2"/>
  <c r="AN116" i="7"/>
  <c r="BR212" i="2"/>
  <c r="AN117" i="7" s="1"/>
  <c r="BT116" i="2"/>
  <c r="AP59" i="7"/>
  <c r="CE116" i="2"/>
  <c r="AY57" i="7"/>
  <c r="CC164" i="2"/>
  <c r="CC81" i="2"/>
  <c r="AY143" i="7"/>
  <c r="CD241" i="2"/>
  <c r="CC175" i="2"/>
  <c r="AY84" i="7" s="1"/>
  <c r="BX252" i="2"/>
  <c r="AS154" i="7"/>
  <c r="CB186" i="2"/>
  <c r="AX95" i="7" s="1"/>
  <c r="AX89" i="7"/>
  <c r="CD180" i="2"/>
  <c r="CB38" i="2"/>
  <c r="AX29" i="7"/>
  <c r="CD37" i="2"/>
  <c r="AX35" i="7"/>
  <c r="CB59" i="2"/>
  <c r="CD58" i="2"/>
  <c r="CA108" i="2"/>
  <c r="CA85" i="2"/>
  <c r="CA86" i="2"/>
  <c r="CA88" i="2"/>
  <c r="BS251" i="2"/>
  <c r="BR254" i="2"/>
  <c r="BR265" i="2" s="1"/>
  <c r="AN153" i="7"/>
  <c r="BY223" i="2"/>
  <c r="AT126" i="7"/>
  <c r="AL110" i="7"/>
  <c r="BT202" i="2"/>
  <c r="AP110" i="7" s="1"/>
  <c r="BP204" i="2"/>
  <c r="AV149" i="7"/>
  <c r="AT133" i="7"/>
  <c r="BY231" i="2"/>
  <c r="J72" i="5"/>
  <c r="J56" i="5"/>
  <c r="BW114" i="2"/>
  <c r="BW112" i="2"/>
  <c r="BY111" i="2"/>
  <c r="BY114" i="2" s="1"/>
  <c r="BX93" i="2"/>
  <c r="BX94" i="2"/>
  <c r="I33" i="35"/>
  <c r="BY105" i="2"/>
  <c r="AU53" i="7"/>
  <c r="BU139" i="2"/>
  <c r="AQ65" i="7" s="1"/>
  <c r="AQ64" i="7"/>
  <c r="BS208" i="2"/>
  <c r="BS200" i="2"/>
  <c r="AO86" i="7"/>
  <c r="CD59" i="3"/>
  <c r="AW149" i="7"/>
  <c r="BX114" i="2"/>
  <c r="AY125" i="7"/>
  <c r="CD222" i="2"/>
  <c r="CC52" i="2"/>
  <c r="AY33" i="7"/>
  <c r="AY31" i="7"/>
  <c r="CC45" i="2"/>
  <c r="AQ59" i="7"/>
  <c r="BU116" i="2"/>
  <c r="AQ60" i="7" s="1"/>
  <c r="CB35" i="2"/>
  <c r="AX27" i="7" s="1"/>
  <c r="AX25" i="7"/>
  <c r="CB76" i="2"/>
  <c r="CB22" i="4"/>
  <c r="CB34" i="2"/>
  <c r="AX31" i="7"/>
  <c r="CB45" i="2"/>
  <c r="CD44" i="2"/>
  <c r="CB141" i="2"/>
  <c r="CC141" i="2" s="1"/>
  <c r="CD141" i="2" s="1"/>
  <c r="AX57" i="7"/>
  <c r="CB164" i="2"/>
  <c r="CB81" i="2"/>
  <c r="CD80" i="2"/>
  <c r="BZ88" i="2"/>
  <c r="BZ108" i="2"/>
  <c r="BZ86" i="2"/>
  <c r="BZ85" i="2"/>
  <c r="BQ265" i="2"/>
  <c r="AM156" i="7"/>
  <c r="BQ261" i="2"/>
  <c r="BQ255" i="2"/>
  <c r="AM157" i="7" s="1"/>
  <c r="C20" i="6"/>
  <c r="C11" i="6" s="1"/>
  <c r="C12" i="6" s="1"/>
  <c r="D20" i="6" s="1"/>
  <c r="C31" i="6"/>
  <c r="D15" i="6"/>
  <c r="BY89" i="2"/>
  <c r="AU44" i="7"/>
  <c r="BY263" i="2"/>
  <c r="BY90" i="2"/>
  <c r="BY92" i="2"/>
  <c r="BM235" i="2"/>
  <c r="AI130" i="7"/>
  <c r="AK123" i="7"/>
  <c r="E40" i="1"/>
  <c r="BO228" i="2"/>
  <c r="BO260" i="2"/>
  <c r="BO262" i="2" s="1"/>
  <c r="AU50" i="7"/>
  <c r="BY102" i="2"/>
  <c r="BY109" i="2"/>
  <c r="BY134" i="2"/>
  <c r="BT177" i="2"/>
  <c r="AP71" i="7"/>
  <c r="AY25" i="7"/>
  <c r="CC35" i="2"/>
  <c r="AY27" i="7" s="1"/>
  <c r="CC34" i="2"/>
  <c r="CC76" i="2"/>
  <c r="CC22" i="4"/>
  <c r="CC173" i="2"/>
  <c r="AY82" i="7" s="1"/>
  <c r="CD238" i="2"/>
  <c r="AY140" i="7"/>
  <c r="CC243" i="2"/>
  <c r="CC38" i="2"/>
  <c r="AY29" i="7"/>
  <c r="AY35" i="7"/>
  <c r="CC59" i="2"/>
  <c r="CB143" i="2"/>
  <c r="CC142" i="2"/>
  <c r="CD142" i="2" s="1"/>
  <c r="AX143" i="7"/>
  <c r="CB175" i="2"/>
  <c r="CB173" i="2"/>
  <c r="CB243" i="2"/>
  <c r="AX140" i="7"/>
  <c r="AX81" i="7"/>
  <c r="CD172" i="2"/>
  <c r="AZ81" i="7" s="1"/>
  <c r="AX90" i="7"/>
  <c r="CD181" i="2"/>
  <c r="AZ90" i="7" s="1"/>
  <c r="BZ99" i="2"/>
  <c r="AV49" i="7"/>
  <c r="BZ101" i="2"/>
  <c r="AP55" i="7"/>
  <c r="BX105" i="2"/>
  <c r="BX118" i="2"/>
  <c r="BX119" i="2" s="1"/>
  <c r="AT53" i="7"/>
  <c r="K32" i="35"/>
  <c r="L29" i="35"/>
  <c r="L32" i="35" s="1"/>
  <c r="BW135" i="2"/>
  <c r="BW137" i="2" s="1"/>
  <c r="AR64" i="7" l="1"/>
  <c r="AR71" i="7"/>
  <c r="L33" i="35"/>
  <c r="D16" i="6"/>
  <c r="BT200" i="2"/>
  <c r="BT208" i="2"/>
  <c r="AP86" i="7"/>
  <c r="BZ92" i="2"/>
  <c r="BZ90" i="2"/>
  <c r="AV46" i="7" s="1"/>
  <c r="AV44" i="7"/>
  <c r="BZ263" i="2"/>
  <c r="BZ89" i="2"/>
  <c r="AV45" i="7" s="1"/>
  <c r="BY106" i="2"/>
  <c r="L9" i="35"/>
  <c r="AU54" i="7"/>
  <c r="BT251" i="2"/>
  <c r="BS254" i="2"/>
  <c r="AO153" i="7"/>
  <c r="CA111" i="2"/>
  <c r="CA112" i="2" s="1"/>
  <c r="CA134" i="2"/>
  <c r="CA109" i="2"/>
  <c r="N7" i="35"/>
  <c r="CE29" i="2"/>
  <c r="AZ29" i="7"/>
  <c r="L16" i="5"/>
  <c r="CD38" i="2"/>
  <c r="O7" i="35"/>
  <c r="CD39" i="2"/>
  <c r="AZ30" i="7" s="1"/>
  <c r="CC287" i="2"/>
  <c r="AY75" i="7"/>
  <c r="L47" i="5"/>
  <c r="L66" i="5"/>
  <c r="M66" i="5" s="1"/>
  <c r="L29" i="5"/>
  <c r="L60" i="5"/>
  <c r="L11" i="5"/>
  <c r="M11" i="5" s="1"/>
  <c r="L10" i="5"/>
  <c r="L70" i="5"/>
  <c r="M70" i="5" s="1"/>
  <c r="AZ25" i="7"/>
  <c r="CD76" i="2"/>
  <c r="O6" i="35"/>
  <c r="CD22" i="4"/>
  <c r="CD34" i="2"/>
  <c r="CD35" i="2"/>
  <c r="N6" i="35"/>
  <c r="AU129" i="7"/>
  <c r="BZ227" i="2"/>
  <c r="AR86" i="7"/>
  <c r="BV208" i="2"/>
  <c r="BV200" i="2"/>
  <c r="BX106" i="2"/>
  <c r="AT54" i="7"/>
  <c r="CB247" i="2"/>
  <c r="AX145" i="7"/>
  <c r="AX82" i="7"/>
  <c r="CD173" i="2"/>
  <c r="AZ82" i="7" s="1"/>
  <c r="CD268" i="2"/>
  <c r="AZ140" i="7"/>
  <c r="CD243" i="2"/>
  <c r="AX84" i="7"/>
  <c r="CD175" i="2"/>
  <c r="AZ84" i="7" s="1"/>
  <c r="CC143" i="2"/>
  <c r="CD143" i="2" s="1"/>
  <c r="AU58" i="7"/>
  <c r="BY115" i="2"/>
  <c r="AU51" i="7"/>
  <c r="BO235" i="2"/>
  <c r="AK130" i="7"/>
  <c r="BM256" i="2"/>
  <c r="AI137" i="7"/>
  <c r="BM264" i="2"/>
  <c r="CD82" i="2"/>
  <c r="AZ57" i="7"/>
  <c r="CD81" i="2"/>
  <c r="L31" i="5"/>
  <c r="L32" i="5" s="1"/>
  <c r="M32" i="5" s="1"/>
  <c r="CB23" i="4"/>
  <c r="AX26" i="7"/>
  <c r="CD267" i="2"/>
  <c r="AZ125" i="7"/>
  <c r="AO108" i="7"/>
  <c r="BY112" i="2"/>
  <c r="K51" i="5"/>
  <c r="F37" i="1"/>
  <c r="J76" i="5"/>
  <c r="J73" i="5"/>
  <c r="BQ202" i="2"/>
  <c r="BP220" i="2"/>
  <c r="AL111" i="7"/>
  <c r="AU126" i="7"/>
  <c r="BZ223" i="2"/>
  <c r="AW44" i="7"/>
  <c r="CA90" i="2"/>
  <c r="AW46" i="7" s="1"/>
  <c r="CA92" i="2"/>
  <c r="CA89" i="2"/>
  <c r="AW45" i="7" s="1"/>
  <c r="CA263" i="2"/>
  <c r="CD60" i="2"/>
  <c r="AZ36" i="7" s="1"/>
  <c r="L22" i="5"/>
  <c r="L23" i="5" s="1"/>
  <c r="M23" i="5" s="1"/>
  <c r="CD59" i="2"/>
  <c r="AZ35" i="7"/>
  <c r="AZ143" i="7"/>
  <c r="CD270" i="2"/>
  <c r="AS54" i="7"/>
  <c r="BW106" i="2"/>
  <c r="L25" i="5"/>
  <c r="AZ33" i="7"/>
  <c r="CD52" i="2"/>
  <c r="CD53" i="2"/>
  <c r="AZ34" i="7" s="1"/>
  <c r="BN228" i="2"/>
  <c r="AJ123" i="7"/>
  <c r="BN260" i="2"/>
  <c r="BN262" i="2" s="1"/>
  <c r="BZ104" i="2"/>
  <c r="AV50" i="7"/>
  <c r="CC77" i="2"/>
  <c r="AY41" i="7" s="1"/>
  <c r="CC78" i="2"/>
  <c r="AY42" i="7" s="1"/>
  <c r="CC84" i="2"/>
  <c r="AY40" i="7"/>
  <c r="CC98" i="2"/>
  <c r="CC23" i="4"/>
  <c r="AY26" i="7"/>
  <c r="AS63" i="7"/>
  <c r="BW138" i="2"/>
  <c r="BW160" i="2"/>
  <c r="BW286" i="2"/>
  <c r="BY135" i="2"/>
  <c r="C25" i="6"/>
  <c r="C28" i="6" s="1"/>
  <c r="C29" i="6" s="1"/>
  <c r="AY145" i="7"/>
  <c r="CC247" i="2"/>
  <c r="BY94" i="2"/>
  <c r="BY93" i="2"/>
  <c r="L19" i="5"/>
  <c r="L20" i="5" s="1"/>
  <c r="M20" i="5" s="1"/>
  <c r="AZ31" i="7"/>
  <c r="CD45" i="2"/>
  <c r="CD46" i="2"/>
  <c r="AZ32" i="7" s="1"/>
  <c r="AO113" i="7"/>
  <c r="BS209" i="2"/>
  <c r="AO114" i="7" s="1"/>
  <c r="BS211" i="2"/>
  <c r="AP60" i="7"/>
  <c r="BU208" i="2"/>
  <c r="BU200" i="2"/>
  <c r="AQ86" i="7"/>
  <c r="BW119" i="2"/>
  <c r="BY118" i="2"/>
  <c r="BY119" i="2" s="1"/>
  <c r="CA104" i="2"/>
  <c r="AX79" i="7"/>
  <c r="CD169" i="2"/>
  <c r="BX137" i="2"/>
  <c r="AU46" i="7"/>
  <c r="AU45" i="7"/>
  <c r="BZ111" i="2"/>
  <c r="BZ114" i="2" s="1"/>
  <c r="BZ109" i="2"/>
  <c r="BZ134" i="2"/>
  <c r="BZ135" i="2" s="1"/>
  <c r="CB287" i="2"/>
  <c r="AX75" i="7"/>
  <c r="CD164" i="2"/>
  <c r="CB98" i="2"/>
  <c r="AX40" i="7"/>
  <c r="CB84" i="2"/>
  <c r="CB77" i="2"/>
  <c r="AX41" i="7" s="1"/>
  <c r="CB78" i="2"/>
  <c r="AX42" i="7" s="1"/>
  <c r="BX115" i="2"/>
  <c r="AT58" i="7"/>
  <c r="BW115" i="2"/>
  <c r="AS58" i="7"/>
  <c r="BZ231" i="2"/>
  <c r="AU133" i="7"/>
  <c r="AN156" i="7"/>
  <c r="BR261" i="2"/>
  <c r="BR255" i="2"/>
  <c r="AN157" i="7" s="1"/>
  <c r="AZ89" i="7"/>
  <c r="CD269" i="2"/>
  <c r="L61" i="5"/>
  <c r="CD186" i="2"/>
  <c r="AZ95" i="7" s="1"/>
  <c r="BY252" i="2"/>
  <c r="AT154" i="7"/>
  <c r="AS55" i="7" l="1"/>
  <c r="AT55" i="7"/>
  <c r="CA114" i="2"/>
  <c r="AW58" i="7" s="1"/>
  <c r="AJ130" i="7"/>
  <c r="BN235" i="2"/>
  <c r="N23" i="5"/>
  <c r="BP228" i="2"/>
  <c r="AL123" i="7"/>
  <c r="BP260" i="2"/>
  <c r="BP262" i="2" s="1"/>
  <c r="N20" i="5"/>
  <c r="BW177" i="2"/>
  <c r="AS71" i="7"/>
  <c r="AV53" i="7"/>
  <c r="BZ105" i="2"/>
  <c r="BZ118" i="2"/>
  <c r="CA93" i="2"/>
  <c r="CA94" i="2"/>
  <c r="AM110" i="7"/>
  <c r="BQ204" i="2"/>
  <c r="K52" i="5"/>
  <c r="K54" i="5"/>
  <c r="BO256" i="2"/>
  <c r="AK137" i="7"/>
  <c r="E39" i="1"/>
  <c r="BO264" i="2"/>
  <c r="AZ27" i="7"/>
  <c r="N70" i="5"/>
  <c r="BS265" i="2"/>
  <c r="BS261" i="2"/>
  <c r="AO156" i="7"/>
  <c r="BS255" i="2"/>
  <c r="AO157" i="7" s="1"/>
  <c r="AU55" i="7"/>
  <c r="BZ94" i="2"/>
  <c r="BZ93" i="2"/>
  <c r="BZ115" i="2"/>
  <c r="AV58" i="7"/>
  <c r="AU154" i="7"/>
  <c r="BZ252" i="2"/>
  <c r="CB85" i="2"/>
  <c r="CB88" i="2"/>
  <c r="CB108" i="2"/>
  <c r="CB86" i="2"/>
  <c r="L63" i="5"/>
  <c r="L64" i="5" s="1"/>
  <c r="M64" i="5" s="1"/>
  <c r="AZ79" i="7"/>
  <c r="AV133" i="7"/>
  <c r="CA231" i="2"/>
  <c r="BY137" i="2"/>
  <c r="BY136" i="2"/>
  <c r="BY286" i="2"/>
  <c r="AS64" i="7"/>
  <c r="BW139" i="2"/>
  <c r="AS65" i="7" s="1"/>
  <c r="CC99" i="2"/>
  <c r="AY49" i="7"/>
  <c r="CC101" i="2"/>
  <c r="AY50" i="7" s="1"/>
  <c r="BP206" i="2"/>
  <c r="N32" i="5"/>
  <c r="AZ145" i="7"/>
  <c r="CD247" i="2"/>
  <c r="CA227" i="2"/>
  <c r="AV129" i="7"/>
  <c r="L17" i="5"/>
  <c r="M17" i="5" s="1"/>
  <c r="CA135" i="2"/>
  <c r="CA286" i="2" s="1"/>
  <c r="AP153" i="7"/>
  <c r="BU251" i="2"/>
  <c r="BT254" i="2"/>
  <c r="BW116" i="2"/>
  <c r="AS60" i="7" s="1"/>
  <c r="AS59" i="7"/>
  <c r="AZ75" i="7"/>
  <c r="CD287" i="2"/>
  <c r="AQ113" i="7"/>
  <c r="BU209" i="2"/>
  <c r="AQ114" i="7" s="1"/>
  <c r="BU211" i="2"/>
  <c r="CC85" i="2"/>
  <c r="CC108" i="2"/>
  <c r="CC86" i="2"/>
  <c r="CC88" i="2"/>
  <c r="BZ137" i="2"/>
  <c r="BZ286" i="2"/>
  <c r="AT59" i="7"/>
  <c r="BX116" i="2"/>
  <c r="AT60" i="7" s="1"/>
  <c r="L62" i="5"/>
  <c r="M62" i="5" s="1"/>
  <c r="CB99" i="2"/>
  <c r="CB101" i="2"/>
  <c r="AX49" i="7"/>
  <c r="BZ112" i="2"/>
  <c r="CA118" i="2"/>
  <c r="CA119" i="2" s="1"/>
  <c r="CA105" i="2"/>
  <c r="AW53" i="7"/>
  <c r="AQ108" i="7"/>
  <c r="AO116" i="7"/>
  <c r="BS212" i="2"/>
  <c r="AO117" i="7" s="1"/>
  <c r="AY149" i="7"/>
  <c r="N31" i="35"/>
  <c r="O31" i="35" s="1"/>
  <c r="AR108" i="7"/>
  <c r="AZ40" i="7"/>
  <c r="CD78" i="2"/>
  <c r="CD98" i="2"/>
  <c r="O8" i="35"/>
  <c r="O25" i="35" s="1"/>
  <c r="CD77" i="2"/>
  <c r="CD84" i="2"/>
  <c r="N8" i="35"/>
  <c r="N66" i="5"/>
  <c r="BT211" i="2"/>
  <c r="BT209" i="2"/>
  <c r="AP114" i="7" s="1"/>
  <c r="AP113" i="7"/>
  <c r="BX138" i="2"/>
  <c r="BX160" i="2"/>
  <c r="AT63" i="7"/>
  <c r="L40" i="5"/>
  <c r="M40" i="5" s="1"/>
  <c r="N40" i="5" s="1"/>
  <c r="O40" i="5" s="1"/>
  <c r="P40" i="5" s="1"/>
  <c r="L26" i="5"/>
  <c r="M26" i="5" s="1"/>
  <c r="CA223" i="2"/>
  <c r="AV126" i="7"/>
  <c r="CE115" i="2"/>
  <c r="BY116" i="2"/>
  <c r="AU59" i="7"/>
  <c r="AX149" i="7"/>
  <c r="AR113" i="7"/>
  <c r="BV211" i="2"/>
  <c r="BV209" i="2"/>
  <c r="AR114" i="7" s="1"/>
  <c r="AZ26" i="7"/>
  <c r="CD23" i="4"/>
  <c r="L34" i="5"/>
  <c r="N11" i="5"/>
  <c r="M9" i="5"/>
  <c r="M22" i="5" s="1"/>
  <c r="AP108" i="7"/>
  <c r="BT204" i="2"/>
  <c r="CA115" i="2" l="1"/>
  <c r="AW59" i="7" s="1"/>
  <c r="CA137" i="2"/>
  <c r="CA160" i="2" s="1"/>
  <c r="M69" i="5"/>
  <c r="M31" i="5"/>
  <c r="AZ42" i="7"/>
  <c r="CB227" i="2"/>
  <c r="AW129" i="7"/>
  <c r="AT71" i="7"/>
  <c r="BX177" i="2"/>
  <c r="CC109" i="2"/>
  <c r="CC134" i="2"/>
  <c r="CC111" i="2"/>
  <c r="CC112" i="2" s="1"/>
  <c r="N17" i="5"/>
  <c r="M16" i="5"/>
  <c r="AZ149" i="7"/>
  <c r="O32" i="5"/>
  <c r="CB231" i="2"/>
  <c r="AW133" i="7"/>
  <c r="AV154" i="7"/>
  <c r="CA252" i="2"/>
  <c r="O70" i="5"/>
  <c r="AV54" i="7"/>
  <c r="BZ106" i="2"/>
  <c r="AV55" i="7" s="1"/>
  <c r="AS86" i="7"/>
  <c r="BW208" i="2"/>
  <c r="BW200" i="2"/>
  <c r="O11" i="5"/>
  <c r="N9" i="5"/>
  <c r="N69" i="5" s="1"/>
  <c r="CB223" i="2"/>
  <c r="AW126" i="7"/>
  <c r="O66" i="5"/>
  <c r="L36" i="5"/>
  <c r="L49" i="5"/>
  <c r="L35" i="5"/>
  <c r="L37" i="5" s="1"/>
  <c r="L42" i="5"/>
  <c r="L43" i="5" s="1"/>
  <c r="L44" i="5" s="1"/>
  <c r="AP116" i="7"/>
  <c r="BT212" i="2"/>
  <c r="AP117" i="7" s="1"/>
  <c r="CD85" i="2"/>
  <c r="CD86" i="2"/>
  <c r="CD88" i="2"/>
  <c r="AT64" i="7"/>
  <c r="BX139" i="2"/>
  <c r="AT65" i="7" s="1"/>
  <c r="AZ41" i="7"/>
  <c r="AW54" i="7"/>
  <c r="CA106" i="2"/>
  <c r="AW55" i="7" s="1"/>
  <c r="BZ138" i="2"/>
  <c r="AV63" i="7"/>
  <c r="BZ160" i="2"/>
  <c r="F44" i="1"/>
  <c r="BT261" i="2"/>
  <c r="AP156" i="7"/>
  <c r="BT255" i="2"/>
  <c r="AP157" i="7" s="1"/>
  <c r="BT265" i="2"/>
  <c r="CB134" i="2"/>
  <c r="CB135" i="2" s="1"/>
  <c r="CB109" i="2"/>
  <c r="CB111" i="2"/>
  <c r="CD108" i="2"/>
  <c r="BZ116" i="2"/>
  <c r="AV60" i="7" s="1"/>
  <c r="AV59" i="7"/>
  <c r="K72" i="5"/>
  <c r="K56" i="5"/>
  <c r="O23" i="5"/>
  <c r="BT220" i="2"/>
  <c r="AP111" i="7"/>
  <c r="BU202" i="2"/>
  <c r="N26" i="5"/>
  <c r="M25" i="5"/>
  <c r="M39" i="5" s="1"/>
  <c r="CD99" i="2"/>
  <c r="AZ49" i="7"/>
  <c r="BV212" i="2"/>
  <c r="AR117" i="7" s="1"/>
  <c r="AR116" i="7"/>
  <c r="M10" i="5"/>
  <c r="M46" i="5"/>
  <c r="AU60" i="7"/>
  <c r="M65" i="5"/>
  <c r="M67" i="5" s="1"/>
  <c r="O26" i="35"/>
  <c r="N29" i="35"/>
  <c r="N25" i="35"/>
  <c r="CB104" i="2"/>
  <c r="AX50" i="7"/>
  <c r="CD101" i="2"/>
  <c r="CD104" i="2" s="1"/>
  <c r="M61" i="5"/>
  <c r="N62" i="5"/>
  <c r="AY44" i="7"/>
  <c r="CC92" i="2"/>
  <c r="CC89" i="2"/>
  <c r="AY45" i="7" s="1"/>
  <c r="CC263" i="2"/>
  <c r="CC90" i="2"/>
  <c r="AY46" i="7" s="1"/>
  <c r="AQ116" i="7"/>
  <c r="BU212" i="2"/>
  <c r="AQ117" i="7" s="1"/>
  <c r="AQ153" i="7"/>
  <c r="BU254" i="2"/>
  <c r="BV251" i="2"/>
  <c r="CC104" i="2"/>
  <c r="AU63" i="7"/>
  <c r="BY138" i="2"/>
  <c r="AX44" i="7"/>
  <c r="CB90" i="2"/>
  <c r="AX46" i="7" s="1"/>
  <c r="CB263" i="2"/>
  <c r="CB92" i="2"/>
  <c r="CB89" i="2"/>
  <c r="AX45" i="7" s="1"/>
  <c r="BY160" i="2"/>
  <c r="M19" i="5"/>
  <c r="AL130" i="7"/>
  <c r="BP235" i="2"/>
  <c r="AJ137" i="7"/>
  <c r="BN256" i="2"/>
  <c r="BN264" i="2"/>
  <c r="M63" i="5"/>
  <c r="N64" i="5"/>
  <c r="BQ220" i="2"/>
  <c r="AM111" i="7"/>
  <c r="BR202" i="2"/>
  <c r="BZ119" i="2"/>
  <c r="O20" i="5"/>
  <c r="N65" i="5" l="1"/>
  <c r="N67" i="5" s="1"/>
  <c r="CA116" i="2"/>
  <c r="AW60" i="7" s="1"/>
  <c r="N19" i="5"/>
  <c r="AW63" i="7"/>
  <c r="CA138" i="2"/>
  <c r="AW64" i="7" s="1"/>
  <c r="CC114" i="2"/>
  <c r="AY58" i="7" s="1"/>
  <c r="AZ53" i="7"/>
  <c r="CD105" i="2"/>
  <c r="N63" i="5"/>
  <c r="O64" i="5"/>
  <c r="AY53" i="7"/>
  <c r="CC118" i="2"/>
  <c r="CC119" i="2" s="1"/>
  <c r="CC105" i="2"/>
  <c r="CC94" i="2"/>
  <c r="CC93" i="2"/>
  <c r="AN110" i="7"/>
  <c r="BR204" i="2"/>
  <c r="AU64" i="7"/>
  <c r="BY139" i="2"/>
  <c r="AU65" i="7" s="1"/>
  <c r="F40" i="1"/>
  <c r="AP123" i="7"/>
  <c r="BT260" i="2"/>
  <c r="BT262" i="2" s="1"/>
  <c r="BT228" i="2"/>
  <c r="CD109" i="2"/>
  <c r="CD134" i="2"/>
  <c r="N46" i="5"/>
  <c r="N10" i="5"/>
  <c r="P70" i="5"/>
  <c r="AX133" i="7"/>
  <c r="CC231" i="2"/>
  <c r="CC115" i="2"/>
  <c r="BW251" i="2"/>
  <c r="BV254" i="2"/>
  <c r="AR153" i="7"/>
  <c r="BY177" i="2"/>
  <c r="AU71" i="7"/>
  <c r="CB118" i="2"/>
  <c r="AX53" i="7"/>
  <c r="CB105" i="2"/>
  <c r="BT206" i="2"/>
  <c r="K73" i="5"/>
  <c r="K76" i="5"/>
  <c r="I81" i="5" s="1"/>
  <c r="CB114" i="2"/>
  <c r="CB112" i="2"/>
  <c r="CD111" i="2"/>
  <c r="CD114" i="2" s="1"/>
  <c r="BZ139" i="2"/>
  <c r="AV65" i="7" s="1"/>
  <c r="AV64" i="7"/>
  <c r="CD92" i="2"/>
  <c r="CD263" i="2"/>
  <c r="CD89" i="2"/>
  <c r="AZ44" i="7"/>
  <c r="CD90" i="2"/>
  <c r="P66" i="5"/>
  <c r="O9" i="5"/>
  <c r="O65" i="5" s="1"/>
  <c r="O67" i="5" s="1"/>
  <c r="P11" i="5"/>
  <c r="P9" i="5" s="1"/>
  <c r="AW154" i="7"/>
  <c r="CB252" i="2"/>
  <c r="N31" i="5"/>
  <c r="CA139" i="2"/>
  <c r="AW65" i="7" s="1"/>
  <c r="O29" i="35"/>
  <c r="BU265" i="2"/>
  <c r="AQ156" i="7"/>
  <c r="BU261" i="2"/>
  <c r="BU255" i="2"/>
  <c r="AQ157" i="7" s="1"/>
  <c r="P20" i="5"/>
  <c r="O62" i="5"/>
  <c r="N61" i="5"/>
  <c r="BQ206" i="2"/>
  <c r="BQ228" i="2"/>
  <c r="AM123" i="7"/>
  <c r="BQ260" i="2"/>
  <c r="BQ262" i="2" s="1"/>
  <c r="BP256" i="2"/>
  <c r="AL137" i="7"/>
  <c r="BP264" i="2"/>
  <c r="CB94" i="2"/>
  <c r="CB93" i="2"/>
  <c r="BY202" i="2"/>
  <c r="AU110" i="7" s="1"/>
  <c r="AQ110" i="7"/>
  <c r="BU204" i="2"/>
  <c r="N22" i="5"/>
  <c r="AS108" i="7"/>
  <c r="P32" i="5"/>
  <c r="O17" i="5"/>
  <c r="N16" i="5"/>
  <c r="CC135" i="2"/>
  <c r="CC286" i="2" s="1"/>
  <c r="CC227" i="2"/>
  <c r="AX129" i="7"/>
  <c r="AZ50" i="7"/>
  <c r="CD102" i="2"/>
  <c r="O26" i="5"/>
  <c r="N25" i="5"/>
  <c r="N39" i="5" s="1"/>
  <c r="P23" i="5"/>
  <c r="CB137" i="2"/>
  <c r="CB286" i="2"/>
  <c r="AV71" i="7"/>
  <c r="BZ177" i="2"/>
  <c r="AX126" i="7"/>
  <c r="CC223" i="2"/>
  <c r="BW209" i="2"/>
  <c r="AS114" i="7" s="1"/>
  <c r="BW211" i="2"/>
  <c r="AS113" i="7"/>
  <c r="AW71" i="7"/>
  <c r="CA177" i="2"/>
  <c r="BX200" i="2"/>
  <c r="AT86" i="7"/>
  <c r="BX208" i="2"/>
  <c r="P31" i="5" l="1"/>
  <c r="P22" i="5"/>
  <c r="CD135" i="2"/>
  <c r="CD137" i="2" s="1"/>
  <c r="P65" i="5"/>
  <c r="P67" i="5" s="1"/>
  <c r="P19" i="5"/>
  <c r="O22" i="5"/>
  <c r="CC137" i="2"/>
  <c r="AY63" i="7" s="1"/>
  <c r="O31" i="5"/>
  <c r="O19" i="5"/>
  <c r="P69" i="5"/>
  <c r="CD115" i="2"/>
  <c r="AZ58" i="7"/>
  <c r="CD227" i="2"/>
  <c r="AZ129" i="7" s="1"/>
  <c r="AY129" i="7"/>
  <c r="BQ235" i="2"/>
  <c r="AM130" i="7"/>
  <c r="AZ45" i="7"/>
  <c r="AX58" i="7"/>
  <c r="CB115" i="2"/>
  <c r="CB106" i="2"/>
  <c r="AX55" i="7" s="1"/>
  <c r="AX54" i="7"/>
  <c r="BY208" i="2"/>
  <c r="BY200" i="2"/>
  <c r="AU86" i="7"/>
  <c r="BV265" i="2"/>
  <c r="BV261" i="2"/>
  <c r="AR156" i="7"/>
  <c r="BV255" i="2"/>
  <c r="AR157" i="7" s="1"/>
  <c r="CD231" i="2"/>
  <c r="AZ133" i="7" s="1"/>
  <c r="AY133" i="7"/>
  <c r="BR220" i="2"/>
  <c r="BS202" i="2"/>
  <c r="AN111" i="7"/>
  <c r="CC106" i="2"/>
  <c r="AY55" i="7" s="1"/>
  <c r="AY54" i="7"/>
  <c r="AY126" i="7"/>
  <c r="CD223" i="2"/>
  <c r="AZ126" i="7" s="1"/>
  <c r="BU220" i="2"/>
  <c r="AQ111" i="7"/>
  <c r="BV202" i="2"/>
  <c r="AS116" i="7"/>
  <c r="BW212" i="2"/>
  <c r="AS117" i="7" s="1"/>
  <c r="C83" i="5"/>
  <c r="P46" i="5"/>
  <c r="P10" i="5"/>
  <c r="AZ46" i="7"/>
  <c r="AS153" i="7"/>
  <c r="BX251" i="2"/>
  <c r="BW254" i="2"/>
  <c r="BT235" i="2"/>
  <c r="AP130" i="7"/>
  <c r="CE106" i="2"/>
  <c r="O9" i="35"/>
  <c r="AZ54" i="7"/>
  <c r="CD106" i="2"/>
  <c r="N9" i="35"/>
  <c r="AT108" i="7"/>
  <c r="CA208" i="2"/>
  <c r="CA200" i="2"/>
  <c r="AW86" i="7"/>
  <c r="BZ208" i="2"/>
  <c r="AV86" i="7"/>
  <c r="BZ200" i="2"/>
  <c r="AX63" i="7"/>
  <c r="CB138" i="2"/>
  <c r="CB160" i="2"/>
  <c r="O25" i="5"/>
  <c r="O39" i="5" s="1"/>
  <c r="P26" i="5"/>
  <c r="P25" i="5" s="1"/>
  <c r="P39" i="5" s="1"/>
  <c r="AZ51" i="7"/>
  <c r="N30" i="35"/>
  <c r="P17" i="5"/>
  <c r="P16" i="5" s="1"/>
  <c r="O16" i="5"/>
  <c r="O10" i="5"/>
  <c r="O46" i="5"/>
  <c r="CD94" i="2"/>
  <c r="CD93" i="2"/>
  <c r="CD112" i="2"/>
  <c r="L51" i="5"/>
  <c r="CB119" i="2"/>
  <c r="CD118" i="2"/>
  <c r="CD119" i="2" s="1"/>
  <c r="O69" i="5"/>
  <c r="BX211" i="2"/>
  <c r="AT113" i="7"/>
  <c r="BX209" i="2"/>
  <c r="AT114" i="7" s="1"/>
  <c r="O61" i="5"/>
  <c r="P62" i="5"/>
  <c r="CC252" i="2"/>
  <c r="AX154" i="7"/>
  <c r="AY59" i="7"/>
  <c r="CC116" i="2"/>
  <c r="AY60" i="7" s="1"/>
  <c r="P64" i="5"/>
  <c r="P63" i="5" s="1"/>
  <c r="O63" i="5"/>
  <c r="CD136" i="2" l="1"/>
  <c r="CD286" i="2"/>
  <c r="CC138" i="2"/>
  <c r="CC139" i="2" s="1"/>
  <c r="AY65" i="7" s="1"/>
  <c r="CC160" i="2"/>
  <c r="AY71" i="7" s="1"/>
  <c r="AY154" i="7"/>
  <c r="CD252" i="2"/>
  <c r="AZ154" i="7" s="1"/>
  <c r="L52" i="5"/>
  <c r="L54" i="5"/>
  <c r="AR110" i="7"/>
  <c r="BV204" i="2"/>
  <c r="BY211" i="2"/>
  <c r="BY209" i="2"/>
  <c r="AU114" i="7" s="1"/>
  <c r="AU113" i="7"/>
  <c r="AM137" i="7"/>
  <c r="BQ256" i="2"/>
  <c r="BQ264" i="2"/>
  <c r="AX64" i="7"/>
  <c r="CB139" i="2"/>
  <c r="AX65" i="7" s="1"/>
  <c r="AZ63" i="7"/>
  <c r="CD138" i="2"/>
  <c r="P61" i="5"/>
  <c r="P29" i="5"/>
  <c r="AV108" i="7"/>
  <c r="AW108" i="7"/>
  <c r="F39" i="1"/>
  <c r="BT256" i="2"/>
  <c r="AP137" i="7"/>
  <c r="BT264" i="2"/>
  <c r="CD116" i="2"/>
  <c r="AZ59" i="7"/>
  <c r="AV113" i="7"/>
  <c r="BZ209" i="2"/>
  <c r="AV114" i="7" s="1"/>
  <c r="BZ211" i="2"/>
  <c r="BX254" i="2"/>
  <c r="AT153" i="7"/>
  <c r="BY251" i="2"/>
  <c r="AT116" i="7"/>
  <c r="BX212" i="2"/>
  <c r="AT117" i="7" s="1"/>
  <c r="O30" i="35"/>
  <c r="O32" i="35" s="1"/>
  <c r="N32" i="35"/>
  <c r="CB177" i="2"/>
  <c r="AX71" i="7"/>
  <c r="CA211" i="2"/>
  <c r="CA209" i="2"/>
  <c r="AW114" i="7" s="1"/>
  <c r="AW113" i="7"/>
  <c r="BW265" i="2"/>
  <c r="AS156" i="7"/>
  <c r="BW261" i="2"/>
  <c r="BW255" i="2"/>
  <c r="AS157" i="7" s="1"/>
  <c r="BU206" i="2"/>
  <c r="BU260" i="2"/>
  <c r="BU262" i="2" s="1"/>
  <c r="BU228" i="2"/>
  <c r="AQ123" i="7"/>
  <c r="AO110" i="7"/>
  <c r="BS204" i="2"/>
  <c r="AZ55" i="7"/>
  <c r="BR206" i="2"/>
  <c r="BR228" i="2"/>
  <c r="AN123" i="7"/>
  <c r="BR260" i="2"/>
  <c r="BR262" i="2" s="1"/>
  <c r="AU108" i="7"/>
  <c r="BY204" i="2"/>
  <c r="CB116" i="2"/>
  <c r="AX60" i="7" s="1"/>
  <c r="AX59" i="7"/>
  <c r="CD160" i="2" l="1"/>
  <c r="CD177" i="2" s="1"/>
  <c r="AY64" i="7"/>
  <c r="CC177" i="2"/>
  <c r="CC208" i="2" s="1"/>
  <c r="AQ130" i="7"/>
  <c r="BU235" i="2"/>
  <c r="L56" i="5"/>
  <c r="L72" i="5"/>
  <c r="BZ202" i="2"/>
  <c r="AU111" i="7"/>
  <c r="BY220" i="2"/>
  <c r="BY206" i="2" s="1"/>
  <c r="CB208" i="2"/>
  <c r="CB200" i="2"/>
  <c r="AX86" i="7"/>
  <c r="BX265" i="2"/>
  <c r="BX261" i="2"/>
  <c r="AT156" i="7"/>
  <c r="BX255" i="2"/>
  <c r="AT157" i="7" s="1"/>
  <c r="AU116" i="7"/>
  <c r="BY212" i="2"/>
  <c r="AU117" i="7" s="1"/>
  <c r="M52" i="5"/>
  <c r="AN130" i="7"/>
  <c r="BR235" i="2"/>
  <c r="BS220" i="2"/>
  <c r="BS206" i="2" s="1"/>
  <c r="AO111" i="7"/>
  <c r="AW116" i="7"/>
  <c r="CA212" i="2"/>
  <c r="AW117" i="7" s="1"/>
  <c r="O33" i="35"/>
  <c r="D47" i="35" s="1"/>
  <c r="BZ212" i="2"/>
  <c r="AV117" i="7" s="1"/>
  <c r="AV116" i="7"/>
  <c r="AR111" i="7"/>
  <c r="BW202" i="2"/>
  <c r="BV220" i="2"/>
  <c r="BZ251" i="2"/>
  <c r="BY254" i="2"/>
  <c r="AU153" i="7"/>
  <c r="AZ60" i="7"/>
  <c r="P28" i="5"/>
  <c r="M29" i="5"/>
  <c r="AZ64" i="7"/>
  <c r="CD139" i="2"/>
  <c r="AZ65" i="7" s="1"/>
  <c r="AZ71" i="7" l="1"/>
  <c r="AY86" i="7"/>
  <c r="CC200" i="2"/>
  <c r="AY108" i="7" s="1"/>
  <c r="N29" i="5"/>
  <c r="M28" i="5"/>
  <c r="BV260" i="2"/>
  <c r="BV262" i="2" s="1"/>
  <c r="BV228" i="2"/>
  <c r="AR123" i="7"/>
  <c r="P59" i="5"/>
  <c r="P34" i="5"/>
  <c r="AS110" i="7"/>
  <c r="BW204" i="2"/>
  <c r="BY260" i="2"/>
  <c r="BY262" i="2" s="1"/>
  <c r="BY228" i="2"/>
  <c r="AU123" i="7"/>
  <c r="AU156" i="7"/>
  <c r="BY261" i="2"/>
  <c r="BY255" i="2"/>
  <c r="AU157" i="7" s="1"/>
  <c r="BY265" i="2"/>
  <c r="BZ254" i="2"/>
  <c r="BZ265" i="2" s="1"/>
  <c r="CA251" i="2"/>
  <c r="AV153" i="7"/>
  <c r="CC209" i="2"/>
  <c r="AY114" i="7" s="1"/>
  <c r="AY113" i="7"/>
  <c r="CC211" i="2"/>
  <c r="AX108" i="7"/>
  <c r="AZ86" i="7"/>
  <c r="CD208" i="2"/>
  <c r="CD200" i="2"/>
  <c r="L76" i="5"/>
  <c r="L73" i="5"/>
  <c r="BV206" i="2"/>
  <c r="BS260" i="2"/>
  <c r="BS262" i="2" s="1"/>
  <c r="AO123" i="7"/>
  <c r="BS228" i="2"/>
  <c r="AN137" i="7"/>
  <c r="BR256" i="2"/>
  <c r="BR264" i="2"/>
  <c r="N52" i="5"/>
  <c r="AX113" i="7"/>
  <c r="CB211" i="2"/>
  <c r="CB209" i="2"/>
  <c r="AX114" i="7" s="1"/>
  <c r="AV110" i="7"/>
  <c r="CD202" i="2"/>
  <c r="AZ110" i="7" s="1"/>
  <c r="BZ204" i="2"/>
  <c r="AQ137" i="7"/>
  <c r="BU256" i="2"/>
  <c r="BU264" i="2"/>
  <c r="O52" i="5" l="1"/>
  <c r="AY116" i="7"/>
  <c r="CC212" i="2"/>
  <c r="AY117" i="7" s="1"/>
  <c r="CB251" i="2"/>
  <c r="AW153" i="7"/>
  <c r="CA254" i="2"/>
  <c r="CA265" i="2" s="1"/>
  <c r="P49" i="5"/>
  <c r="P36" i="5"/>
  <c r="P35" i="5"/>
  <c r="P42" i="5"/>
  <c r="P43" i="5" s="1"/>
  <c r="BV235" i="2"/>
  <c r="AR130" i="7"/>
  <c r="BZ220" i="2"/>
  <c r="AV111" i="7"/>
  <c r="CA202" i="2"/>
  <c r="CB212" i="2"/>
  <c r="AX117" i="7" s="1"/>
  <c r="AX116" i="7"/>
  <c r="AZ108" i="7"/>
  <c r="CD204" i="2"/>
  <c r="AV156" i="7"/>
  <c r="BZ261" i="2"/>
  <c r="BZ255" i="2"/>
  <c r="AV157" i="7" s="1"/>
  <c r="AU130" i="7"/>
  <c r="BY235" i="2"/>
  <c r="BX202" i="2"/>
  <c r="AS111" i="7"/>
  <c r="BW220" i="2"/>
  <c r="BS235" i="2"/>
  <c r="AO130" i="7"/>
  <c r="CD209" i="2"/>
  <c r="AZ114" i="7" s="1"/>
  <c r="AZ113" i="7"/>
  <c r="CD211" i="2"/>
  <c r="P60" i="5"/>
  <c r="M59" i="5"/>
  <c r="M34" i="5"/>
  <c r="O29" i="5"/>
  <c r="O28" i="5" s="1"/>
  <c r="N28" i="5"/>
  <c r="AT110" i="7" l="1"/>
  <c r="BX204" i="2"/>
  <c r="M42" i="5"/>
  <c r="M43" i="5" s="1"/>
  <c r="M44" i="5" s="1"/>
  <c r="M35" i="5"/>
  <c r="M37" i="5" s="1"/>
  <c r="M36" i="5"/>
  <c r="M49" i="5"/>
  <c r="M51" i="5" s="1"/>
  <c r="M54" i="5" s="1"/>
  <c r="M72" i="5" s="1"/>
  <c r="AU137" i="7"/>
  <c r="BY256" i="2"/>
  <c r="BY264" i="2"/>
  <c r="M60" i="5"/>
  <c r="BS256" i="2"/>
  <c r="AO137" i="7"/>
  <c r="BS264" i="2"/>
  <c r="BW206" i="2"/>
  <c r="BW228" i="2"/>
  <c r="AS123" i="7"/>
  <c r="BW260" i="2"/>
  <c r="BW262" i="2" s="1"/>
  <c r="AW110" i="7"/>
  <c r="CA204" i="2"/>
  <c r="AR137" i="7"/>
  <c r="BV256" i="2"/>
  <c r="BV264" i="2"/>
  <c r="CB254" i="2"/>
  <c r="CC251" i="2"/>
  <c r="AX153" i="7"/>
  <c r="O59" i="5"/>
  <c r="O34" i="5"/>
  <c r="BZ206" i="2"/>
  <c r="BZ228" i="2"/>
  <c r="BZ260" i="2"/>
  <c r="BZ262" i="2" s="1"/>
  <c r="AV123" i="7"/>
  <c r="N59" i="5"/>
  <c r="N34" i="5"/>
  <c r="AZ111" i="7"/>
  <c r="CD220" i="2"/>
  <c r="CD206" i="2" s="1"/>
  <c r="AZ116" i="7"/>
  <c r="CD212" i="2"/>
  <c r="AZ117" i="7" s="1"/>
  <c r="AW156" i="7"/>
  <c r="CA261" i="2"/>
  <c r="CA255" i="2"/>
  <c r="AW157" i="7" s="1"/>
  <c r="P52" i="5"/>
  <c r="P51" i="5" s="1"/>
  <c r="P54" i="5" s="1"/>
  <c r="P72" i="5" s="1"/>
  <c r="P76" i="5" l="1"/>
  <c r="P78" i="5"/>
  <c r="N60" i="5"/>
  <c r="O60" i="5"/>
  <c r="AS130" i="7"/>
  <c r="BW235" i="2"/>
  <c r="N49" i="5"/>
  <c r="N51" i="5" s="1"/>
  <c r="N54" i="5" s="1"/>
  <c r="N72" i="5" s="1"/>
  <c r="N42" i="5"/>
  <c r="N43" i="5" s="1"/>
  <c r="N44" i="5" s="1"/>
  <c r="N36" i="5"/>
  <c r="N35" i="5"/>
  <c r="N37" i="5" s="1"/>
  <c r="AZ123" i="7"/>
  <c r="CD260" i="2"/>
  <c r="CD262" i="2" s="1"/>
  <c r="CD228" i="2"/>
  <c r="CC254" i="2"/>
  <c r="AY153" i="7"/>
  <c r="CD251" i="2"/>
  <c r="BZ235" i="2"/>
  <c r="AV130" i="7"/>
  <c r="CB265" i="2"/>
  <c r="AX156" i="7"/>
  <c r="CB261" i="2"/>
  <c r="CB255" i="2"/>
  <c r="AX157" i="7" s="1"/>
  <c r="M73" i="5"/>
  <c r="M76" i="5"/>
  <c r="BX220" i="2"/>
  <c r="AT111" i="7"/>
  <c r="O35" i="5"/>
  <c r="O36" i="5"/>
  <c r="O49" i="5"/>
  <c r="O51" i="5" s="1"/>
  <c r="O54" i="5" s="1"/>
  <c r="O72" i="5" s="1"/>
  <c r="O42" i="5"/>
  <c r="O43" i="5" s="1"/>
  <c r="CB202" i="2"/>
  <c r="AW111" i="7"/>
  <c r="CA220" i="2"/>
  <c r="CA206" i="2" s="1"/>
  <c r="O37" i="5" l="1"/>
  <c r="P37" i="5"/>
  <c r="CD254" i="2"/>
  <c r="AZ153" i="7"/>
  <c r="CD235" i="2"/>
  <c r="AZ130" i="7"/>
  <c r="BX206" i="2"/>
  <c r="BX228" i="2"/>
  <c r="BX260" i="2"/>
  <c r="BX262" i="2" s="1"/>
  <c r="AT123" i="7"/>
  <c r="P73" i="5"/>
  <c r="O73" i="5"/>
  <c r="O76" i="5"/>
  <c r="AV137" i="7"/>
  <c r="BZ256" i="2"/>
  <c r="BZ264" i="2"/>
  <c r="N73" i="5"/>
  <c r="N76" i="5"/>
  <c r="O44" i="5"/>
  <c r="P44" i="5"/>
  <c r="AW123" i="7"/>
  <c r="CA260" i="2"/>
  <c r="CA262" i="2" s="1"/>
  <c r="CA228" i="2"/>
  <c r="CC265" i="2"/>
  <c r="AY156" i="7"/>
  <c r="CC261" i="2"/>
  <c r="CC255" i="2"/>
  <c r="AY157" i="7" s="1"/>
  <c r="C84" i="5"/>
  <c r="I83" i="5"/>
  <c r="C85" i="5"/>
  <c r="AX110" i="7"/>
  <c r="CB204" i="2"/>
  <c r="AS137" i="7"/>
  <c r="BW256" i="2"/>
  <c r="BW264" i="2"/>
  <c r="I82" i="5" l="1"/>
  <c r="I84" i="5" s="1"/>
  <c r="I88" i="5" s="1"/>
  <c r="I90" i="5" s="1"/>
  <c r="L83" i="5" s="1"/>
  <c r="AW130" i="7"/>
  <c r="CA235" i="2"/>
  <c r="BX235" i="2"/>
  <c r="AT130" i="7"/>
  <c r="AX111" i="7"/>
  <c r="CC202" i="2"/>
  <c r="CB220" i="2"/>
  <c r="AZ137" i="7"/>
  <c r="CD264" i="2"/>
  <c r="CD261" i="2"/>
  <c r="AZ156" i="7"/>
  <c r="CD255" i="2"/>
  <c r="AZ157" i="7" s="1"/>
  <c r="CD265" i="2"/>
  <c r="CD256" i="2" l="1"/>
  <c r="C10" i="6"/>
  <c r="CB206" i="2"/>
  <c r="AX123" i="7"/>
  <c r="CB228" i="2"/>
  <c r="CB260" i="2"/>
  <c r="CB262" i="2" s="1"/>
  <c r="AY110" i="7"/>
  <c r="CC204" i="2"/>
  <c r="AT137" i="7"/>
  <c r="BX256" i="2"/>
  <c r="BX264" i="2"/>
  <c r="CA256" i="2"/>
  <c r="AW137" i="7"/>
  <c r="CA264" i="2"/>
  <c r="CC220" i="2" l="1"/>
  <c r="CC206" i="2" s="1"/>
  <c r="AY111" i="7"/>
  <c r="AX130" i="7"/>
  <c r="CB235" i="2"/>
  <c r="CC260" i="2" l="1"/>
  <c r="CC262" i="2" s="1"/>
  <c r="CC228" i="2"/>
  <c r="AY123" i="7"/>
  <c r="AX137" i="7"/>
  <c r="CB256" i="2"/>
  <c r="CB264" i="2"/>
  <c r="AY130" i="7" l="1"/>
  <c r="CC235" i="2"/>
  <c r="AY137" i="7" l="1"/>
  <c r="CC256" i="2"/>
  <c r="CC264" i="2"/>
</calcChain>
</file>

<file path=xl/comments1.xml><?xml version="1.0" encoding="utf-8"?>
<comments xmlns="http://schemas.openxmlformats.org/spreadsheetml/2006/main">
  <authors>
    <author>Hussain, Danyal (Research)</author>
    <author>Govil, Vasundhara (Research)</author>
    <author>Russo, Priscilla (Research)</author>
    <author xml:space="preserve"> </author>
  </authors>
  <commentList>
    <comment ref="AO3" authorId="0">
      <text>
        <r>
          <rPr>
            <b/>
            <sz val="9"/>
            <color indexed="81"/>
            <rFont val="Tahoma"/>
            <family val="2"/>
          </rPr>
          <t>Hussain, Danyal (Research):</t>
        </r>
        <r>
          <rPr>
            <sz val="9"/>
            <color indexed="81"/>
            <rFont val="Tahoma"/>
            <family val="2"/>
          </rPr>
          <t xml:space="preserve">
Braintree acquisition closed Dec 19, 2013.</t>
        </r>
      </text>
    </comment>
    <comment ref="AR8" authorId="0">
      <text>
        <r>
          <rPr>
            <b/>
            <sz val="9"/>
            <color indexed="81"/>
            <rFont val="Tahoma"/>
            <family val="2"/>
          </rPr>
          <t>Hussain, Danyal (Research):</t>
        </r>
        <r>
          <rPr>
            <sz val="9"/>
            <color indexed="81"/>
            <rFont val="Tahoma"/>
            <family val="2"/>
          </rPr>
          <t xml:space="preserve">
May 2014 eBay data breach, impacted volumes.</t>
        </r>
      </text>
    </comment>
    <comment ref="AV8" authorId="1">
      <text>
        <r>
          <rPr>
            <b/>
            <sz val="9"/>
            <color indexed="81"/>
            <rFont val="Tahoma"/>
            <family val="2"/>
          </rPr>
          <t>Govil, Vasundhara (Research):</t>
        </r>
        <r>
          <rPr>
            <sz val="9"/>
            <color indexed="81"/>
            <rFont val="Tahoma"/>
            <family val="2"/>
          </rPr>
          <t xml:space="preserve">
$3mn adjustment for lower txn revs from eBay as a result of certain comemrcial agreements negotiated b/w the parties that stipulate lower txn fees than historically charged to ebay</t>
        </r>
      </text>
    </comment>
    <comment ref="BE9" authorId="0">
      <text>
        <r>
          <rPr>
            <b/>
            <sz val="9"/>
            <color indexed="81"/>
            <rFont val="Tahoma"/>
            <family val="2"/>
          </rPr>
          <t>Hussain, Danyal (Research):</t>
        </r>
        <r>
          <rPr>
            <sz val="9"/>
            <color indexed="81"/>
            <rFont val="Tahoma"/>
            <family val="2"/>
          </rPr>
          <t xml:space="preserve">
</t>
        </r>
      </text>
    </comment>
    <comment ref="BI11" authorId="1">
      <text>
        <r>
          <rPr>
            <b/>
            <sz val="9"/>
            <color indexed="81"/>
            <rFont val="Tahoma"/>
            <family val="2"/>
          </rPr>
          <t>Govil, Vasundhara (Research):</t>
        </r>
        <r>
          <rPr>
            <sz val="9"/>
            <color indexed="81"/>
            <rFont val="Tahoma"/>
            <family val="2"/>
          </rPr>
          <t xml:space="preserve">
elimination of allowance on interest receivable due to US credit portfolio designated for sale</t>
        </r>
      </text>
    </comment>
    <comment ref="AY15" authorId="0">
      <text>
        <r>
          <rPr>
            <b/>
            <sz val="9"/>
            <color indexed="81"/>
            <rFont val="Tahoma"/>
            <family val="2"/>
          </rPr>
          <t>Hussain, Danyal (Research):</t>
        </r>
        <r>
          <rPr>
            <sz val="9"/>
            <color indexed="81"/>
            <rFont val="Tahoma"/>
            <family val="2"/>
          </rPr>
          <t xml:space="preserve">
Includes 1% growth from Xoom</t>
        </r>
      </text>
    </comment>
    <comment ref="AZ15" authorId="0">
      <text>
        <r>
          <rPr>
            <b/>
            <sz val="9"/>
            <color indexed="81"/>
            <rFont val="Tahoma"/>
            <family val="2"/>
          </rPr>
          <t>Hussain, Danyal (Research):</t>
        </r>
        <r>
          <rPr>
            <sz val="9"/>
            <color indexed="81"/>
            <rFont val="Tahoma"/>
            <family val="2"/>
          </rPr>
          <t xml:space="preserve">
12-15% guided (incl FX)</t>
        </r>
      </text>
    </comment>
    <comment ref="BA15" authorId="0">
      <text>
        <r>
          <rPr>
            <b/>
            <sz val="9"/>
            <color indexed="81"/>
            <rFont val="Tahoma"/>
            <family val="2"/>
          </rPr>
          <t>Hussain, Danyal (Research):</t>
        </r>
        <r>
          <rPr>
            <sz val="9"/>
            <color indexed="81"/>
            <rFont val="Tahoma"/>
            <family val="2"/>
          </rPr>
          <t xml:space="preserve">
16 - 18%</t>
        </r>
      </text>
    </comment>
    <comment ref="BB15" authorId="0">
      <text>
        <r>
          <rPr>
            <b/>
            <sz val="9"/>
            <color indexed="81"/>
            <rFont val="Tahoma"/>
            <family val="2"/>
          </rPr>
          <t>Hussain, Danyal (Research):</t>
        </r>
        <r>
          <rPr>
            <sz val="9"/>
            <color indexed="81"/>
            <rFont val="Tahoma"/>
            <family val="2"/>
          </rPr>
          <t xml:space="preserve">
Expect a 6 point decline from 1Q to 2Q</t>
        </r>
      </text>
    </comment>
    <comment ref="BE15" authorId="0">
      <text>
        <r>
          <rPr>
            <b/>
            <sz val="9"/>
            <color indexed="81"/>
            <rFont val="Tahoma"/>
            <family val="2"/>
          </rPr>
          <t>Hussain, Danyal (Research):</t>
        </r>
        <r>
          <rPr>
            <sz val="9"/>
            <color indexed="81"/>
            <rFont val="Tahoma"/>
            <family val="2"/>
          </rPr>
          <t xml:space="preserve">
Guidance:14-16% reported revenue growth;16-19% (ex FX)</t>
        </r>
      </text>
    </comment>
    <comment ref="BA16" authorId="0">
      <text>
        <r>
          <rPr>
            <b/>
            <sz val="9"/>
            <color indexed="81"/>
            <rFont val="Tahoma"/>
            <family val="2"/>
          </rPr>
          <t>Hussain, Danyal (Research):</t>
        </r>
        <r>
          <rPr>
            <sz val="9"/>
            <color indexed="81"/>
            <rFont val="Tahoma"/>
            <family val="2"/>
          </rPr>
          <t xml:space="preserve">
19% - 21%</t>
        </r>
      </text>
    </comment>
    <comment ref="A18" authorId="0">
      <text>
        <r>
          <rPr>
            <b/>
            <sz val="9"/>
            <color indexed="81"/>
            <rFont val="Tahoma"/>
            <family val="2"/>
          </rPr>
          <t xml:space="preserve">Includes:
</t>
        </r>
        <r>
          <rPr>
            <sz val="9"/>
            <color indexed="81"/>
            <rFont val="Tahoma"/>
            <family val="2"/>
          </rPr>
          <t>- MDR for credit/debit txns
- ACH fees to WFC
- Interest expense on borrowings to finance PayPal Credit
Will benefit as intl TPV shifts internationally, due to lower credit/debit costs.</t>
        </r>
      </text>
    </comment>
    <comment ref="AX20" authorId="0">
      <text>
        <r>
          <rPr>
            <b/>
            <sz val="9"/>
            <color indexed="81"/>
            <rFont val="Tahoma"/>
            <family val="2"/>
          </rPr>
          <t>Hussain, Danyal (Research):</t>
        </r>
        <r>
          <rPr>
            <sz val="9"/>
            <color indexed="81"/>
            <rFont val="Tahoma"/>
            <family val="2"/>
          </rPr>
          <t xml:space="preserve">
Upward impact from Braintree since all card funded</t>
        </r>
      </text>
    </comment>
    <comment ref="A25" authorId="0">
      <text>
        <r>
          <rPr>
            <b/>
            <sz val="9"/>
            <color indexed="81"/>
            <rFont val="Tahoma"/>
            <family val="2"/>
          </rPr>
          <t xml:space="preserve">Includes:
</t>
        </r>
        <r>
          <rPr>
            <sz val="9"/>
            <color indexed="81"/>
            <rFont val="Tahoma"/>
            <family val="2"/>
          </rPr>
          <t>- Customer protection program
- Fraud
- Chargebacks
- Loan losses from PayPal credit
"payments under these [customer protection] protections have ranged between 0.08% and 0.12% of TPV"</t>
        </r>
      </text>
    </comment>
    <comment ref="AV25" authorId="1">
      <text>
        <r>
          <rPr>
            <b/>
            <sz val="9"/>
            <color indexed="81"/>
            <rFont val="Tahoma"/>
            <family val="2"/>
          </rPr>
          <t>Govil, Vasundhara (Research):</t>
        </r>
        <r>
          <rPr>
            <sz val="9"/>
            <color indexed="81"/>
            <rFont val="Tahoma"/>
            <family val="2"/>
          </rPr>
          <t xml:space="preserve">
10mn adjustment reflects protection program losses and service costs that were historically reimbursed to PayPal. Program will no longer be administered by PayPal and hence not reimbursed by eBay.  PayPal will however extend its customer protection program to customers' purchases on eBay and will incur incremental cost.</t>
        </r>
      </text>
    </comment>
    <comment ref="AW25" authorId="1">
      <text>
        <r>
          <rPr>
            <b/>
            <sz val="9"/>
            <color indexed="81"/>
            <rFont val="Tahoma"/>
            <family val="2"/>
          </rPr>
          <t>Govil, Vasundhara (Research):</t>
        </r>
        <r>
          <rPr>
            <sz val="9"/>
            <color indexed="81"/>
            <rFont val="Tahoma"/>
            <family val="2"/>
          </rPr>
          <t xml:space="preserve">
protection program to eBay related</t>
        </r>
      </text>
    </comment>
    <comment ref="BD25" authorId="0">
      <text>
        <r>
          <rPr>
            <b/>
            <sz val="9"/>
            <color indexed="81"/>
            <rFont val="Tahoma"/>
            <family val="2"/>
          </rPr>
          <t>Hussain, Danyal (Research):</t>
        </r>
        <r>
          <rPr>
            <sz val="9"/>
            <color indexed="81"/>
            <rFont val="Tahoma"/>
            <family val="2"/>
          </rPr>
          <t xml:space="preserve">
123mn loan losses</t>
        </r>
      </text>
    </comment>
    <comment ref="BK25" authorId="1">
      <text>
        <r>
          <rPr>
            <b/>
            <sz val="9"/>
            <color indexed="81"/>
            <rFont val="Tahoma"/>
            <family val="2"/>
          </rPr>
          <t>Govil, Vasundhara (Research):</t>
        </r>
        <r>
          <rPr>
            <sz val="9"/>
            <color indexed="81"/>
            <rFont val="Tahoma"/>
            <family val="2"/>
          </rPr>
          <t xml:space="preserve">
$111mn benefit related to not recognizing reserves on receivables. Txn loss was 243mn</t>
        </r>
      </text>
    </comment>
    <comment ref="AU27" authorId="0">
      <text>
        <r>
          <rPr>
            <b/>
            <sz val="9"/>
            <color indexed="81"/>
            <rFont val="Tahoma"/>
            <family val="2"/>
          </rPr>
          <t>Hussain, Danyal (Research):</t>
        </r>
        <r>
          <rPr>
            <sz val="9"/>
            <color indexed="81"/>
            <rFont val="Tahoma"/>
            <family val="2"/>
          </rPr>
          <t xml:space="preserve">
5.67% Charge-off rate.
0.08-0.12% of TPV historically is fraud-related.</t>
        </r>
      </text>
    </comment>
    <comment ref="AX27" authorId="0">
      <text>
        <r>
          <rPr>
            <sz val="9"/>
            <color indexed="81"/>
            <rFont val="Tahoma"/>
            <family val="2"/>
          </rPr>
          <t xml:space="preserve">Additionally, we recover certain amounts from eBay related to customer protection programs offered on eligible eBay purchases made with PayPal. These amounts include the transaction losses associated with customer claims and are included as a reduction of transaction and loan losses in the combined statement of income. Our transaction losses </t>
        </r>
        <r>
          <rPr>
            <b/>
            <u/>
            <sz val="9"/>
            <color indexed="81"/>
            <rFont val="Tahoma"/>
            <family val="2"/>
          </rPr>
          <t>will be impacted by the cancellation to this arrangement</t>
        </r>
        <r>
          <rPr>
            <sz val="9"/>
            <color indexed="81"/>
            <rFont val="Tahoma"/>
            <family val="2"/>
          </rPr>
          <t xml:space="preserve"> with eBay following our separation.</t>
        </r>
      </text>
    </comment>
    <comment ref="BK27" authorId="2">
      <text>
        <r>
          <rPr>
            <b/>
            <sz val="9"/>
            <color indexed="81"/>
            <rFont val="Tahoma"/>
            <family val="2"/>
          </rPr>
          <t>Russo, Priscilla (Research):</t>
        </r>
        <r>
          <rPr>
            <sz val="9"/>
            <color indexed="81"/>
            <rFont val="Tahoma"/>
            <family val="2"/>
          </rPr>
          <t xml:space="preserve">
loan losses were 5bps of TPV; expect to be flat</t>
        </r>
      </text>
    </comment>
    <comment ref="BG29" authorId="0">
      <text>
        <r>
          <rPr>
            <b/>
            <sz val="9"/>
            <color indexed="81"/>
            <rFont val="Tahoma"/>
            <family val="2"/>
          </rPr>
          <t>Hussain, Danyal (Research):</t>
        </r>
        <r>
          <rPr>
            <sz val="9"/>
            <color indexed="81"/>
            <rFont val="Tahoma"/>
            <family val="2"/>
          </rPr>
          <t xml:space="preserve">
Down slightly as funding shifts away from ACH. Lower ACH loss.</t>
        </r>
      </text>
    </comment>
    <comment ref="AX34" authorId="0">
      <text>
        <r>
          <rPr>
            <b/>
            <sz val="9"/>
            <color indexed="81"/>
            <rFont val="Tahoma"/>
            <family val="2"/>
          </rPr>
          <t>Hussain, Danyal (Research):</t>
        </r>
        <r>
          <rPr>
            <sz val="9"/>
            <color indexed="81"/>
            <rFont val="Tahoma"/>
            <family val="2"/>
          </rPr>
          <t xml:space="preserve">
Declined due to large merchant mix and Braintree.</t>
        </r>
      </text>
    </comment>
    <comment ref="BB34" authorId="0">
      <text>
        <r>
          <rPr>
            <b/>
            <sz val="9"/>
            <color indexed="81"/>
            <rFont val="Tahoma"/>
            <family val="2"/>
          </rPr>
          <t>Hussain, Danyal (Research):</t>
        </r>
        <r>
          <rPr>
            <sz val="9"/>
            <color indexed="81"/>
            <rFont val="Tahoma"/>
            <family val="2"/>
          </rPr>
          <t xml:space="preserve">
Strong performance from braintree, lower take rate.</t>
        </r>
      </text>
    </comment>
    <comment ref="BC34" authorId="0">
      <text>
        <r>
          <rPr>
            <b/>
            <sz val="9"/>
            <color indexed="81"/>
            <rFont val="Tahoma"/>
            <family val="2"/>
          </rPr>
          <t>Hussain, Danyal (Research):</t>
        </r>
        <r>
          <rPr>
            <sz val="9"/>
            <color indexed="81"/>
            <rFont val="Tahoma"/>
            <family val="2"/>
          </rPr>
          <t xml:space="preserve">
Driven down from mix shift towards braintree and higher provisions in credit, partially offset by Xoom</t>
        </r>
      </text>
    </comment>
    <comment ref="AK37" authorId="3">
      <text>
        <r>
          <rPr>
            <sz val="9"/>
            <color indexed="81"/>
            <rFont val="Tahoma"/>
            <family val="2"/>
          </rPr>
          <t>Excludes SBC: $49.0m
Source: Pg F-33, Form 10</t>
        </r>
      </text>
    </comment>
    <comment ref="AP37" authorId="3">
      <text>
        <r>
          <rPr>
            <sz val="9"/>
            <color indexed="81"/>
            <rFont val="Tahoma"/>
            <family val="2"/>
          </rPr>
          <t>Excludes SBC: $74.0m
Source: Pg F-33, Form 10</t>
        </r>
      </text>
    </comment>
    <comment ref="AU37" authorId="3">
      <text>
        <r>
          <rPr>
            <sz val="9"/>
            <color indexed="81"/>
            <rFont val="Tahoma"/>
            <family val="2"/>
          </rPr>
          <t>Excludes SBC: $63.0m
Source: Pg F-33, Form 10</t>
        </r>
      </text>
    </comment>
    <comment ref="AV37" authorId="3">
      <text>
        <r>
          <rPr>
            <sz val="9"/>
            <color indexed="81"/>
            <rFont val="Tahoma"/>
            <family val="2"/>
          </rPr>
          <t>Excludes SBC</t>
        </r>
      </text>
    </comment>
    <comment ref="AW37" authorId="1">
      <text>
        <r>
          <rPr>
            <b/>
            <sz val="9"/>
            <color indexed="81"/>
            <rFont val="Tahoma"/>
            <family val="2"/>
          </rPr>
          <t>Govil, Vasundhara (Research):</t>
        </r>
        <r>
          <rPr>
            <sz val="9"/>
            <color indexed="81"/>
            <rFont val="Tahoma"/>
            <family val="2"/>
          </rPr>
          <t xml:space="preserve">
adjusted for SBC + protection program to eBay related</t>
        </r>
      </text>
    </comment>
    <comment ref="AK44" authorId="3">
      <text>
        <r>
          <rPr>
            <sz val="9"/>
            <color indexed="81"/>
            <rFont val="Tahoma"/>
            <family val="2"/>
          </rPr>
          <t>Excludes SBC: $43.0m
Source: Pg F-33, Form 10</t>
        </r>
      </text>
    </comment>
    <comment ref="AP44" authorId="3">
      <text>
        <r>
          <rPr>
            <sz val="9"/>
            <color indexed="81"/>
            <rFont val="Tahoma"/>
            <family val="2"/>
          </rPr>
          <t>Excludes SBC: $46.0m
Source: Pg F-33, Form 10</t>
        </r>
      </text>
    </comment>
    <comment ref="AU44" authorId="3">
      <text>
        <r>
          <rPr>
            <sz val="9"/>
            <color indexed="81"/>
            <rFont val="Tahoma"/>
            <family val="2"/>
          </rPr>
          <t>Excludes SBC: $55.0m
Source: Pg F-33, Form 10</t>
        </r>
      </text>
    </comment>
    <comment ref="AV44" authorId="3">
      <text>
        <r>
          <rPr>
            <sz val="9"/>
            <color indexed="81"/>
            <rFont val="Tahoma"/>
            <family val="2"/>
          </rPr>
          <t>Excludes SBC and impact of shared data centers and IT facilities</t>
        </r>
      </text>
    </comment>
    <comment ref="AW44" authorId="1">
      <text>
        <r>
          <rPr>
            <b/>
            <sz val="9"/>
            <color indexed="81"/>
            <rFont val="Tahoma"/>
            <family val="2"/>
          </rPr>
          <t>Govil, Vasundhara (Research):</t>
        </r>
        <r>
          <rPr>
            <sz val="9"/>
            <color indexed="81"/>
            <rFont val="Tahoma"/>
            <family val="2"/>
          </rPr>
          <t xml:space="preserve">
SBC adjustment + net reduction of costs charged to PayPal by eBay for referral services and user penetration</t>
        </r>
      </text>
    </comment>
    <comment ref="AK51" authorId="3">
      <text>
        <r>
          <rPr>
            <sz val="9"/>
            <color indexed="81"/>
            <rFont val="Tahoma"/>
            <family val="2"/>
          </rPr>
          <t>Excludes SBC: $60.0m
Source: Pg F-33, Form 10</t>
        </r>
      </text>
    </comment>
    <comment ref="AP51" authorId="3">
      <text>
        <r>
          <rPr>
            <sz val="9"/>
            <color indexed="81"/>
            <rFont val="Tahoma"/>
            <family val="2"/>
          </rPr>
          <t>Excludes SBC: $87.0m
Source: Pg F-33, Form 10</t>
        </r>
      </text>
    </comment>
    <comment ref="AU51" authorId="3">
      <text>
        <r>
          <rPr>
            <sz val="9"/>
            <color indexed="81"/>
            <rFont val="Tahoma"/>
            <family val="2"/>
          </rPr>
          <t>Excludes SBC: $109.0m
Source: Pg F-33, Form 10</t>
        </r>
      </text>
    </comment>
    <comment ref="AV51" authorId="3">
      <text>
        <r>
          <rPr>
            <sz val="9"/>
            <color indexed="81"/>
            <rFont val="Tahoma"/>
            <family val="2"/>
          </rPr>
          <t>Excludes SBC</t>
        </r>
      </text>
    </comment>
    <comment ref="AW51" authorId="1">
      <text>
        <r>
          <rPr>
            <b/>
            <sz val="9"/>
            <color indexed="81"/>
            <rFont val="Tahoma"/>
            <family val="2"/>
          </rPr>
          <t>Govil, Vasundhara (Research):</t>
        </r>
        <r>
          <rPr>
            <sz val="9"/>
            <color indexed="81"/>
            <rFont val="Tahoma"/>
            <family val="2"/>
          </rPr>
          <t xml:space="preserve">
SBC adjustment</t>
        </r>
      </text>
    </comment>
    <comment ref="AU52" authorId="0">
      <text>
        <r>
          <rPr>
            <b/>
            <sz val="9"/>
            <color indexed="81"/>
            <rFont val="Tahoma"/>
            <family val="2"/>
          </rPr>
          <t>Hussain, Danyal (Research):</t>
        </r>
        <r>
          <rPr>
            <sz val="9"/>
            <color indexed="81"/>
            <rFont val="Tahoma"/>
            <family val="2"/>
          </rPr>
          <t xml:space="preserve">
Significant jump due to Braintree.</t>
        </r>
      </text>
    </comment>
    <comment ref="AK58" authorId="3">
      <text>
        <r>
          <rPr>
            <sz val="9"/>
            <color indexed="81"/>
            <rFont val="Tahoma"/>
            <family val="2"/>
          </rPr>
          <t>Excludes 
SBC: $38.0m
Related employer payroll taxes: $(210.0-190.0)m
Please note: We have assumed "Related employer payroll taxes" to be part of G&amp;A expense. PayPal does not disclose which expense head it's included in.</t>
        </r>
      </text>
    </comment>
    <comment ref="AP58" authorId="3">
      <text>
        <r>
          <rPr>
            <sz val="9"/>
            <color indexed="81"/>
            <rFont val="Tahoma"/>
            <family val="2"/>
          </rPr>
          <t>Excludes 
SBC: $27.0m
Restructuring: $4.0m
Related employer payroll taxes: $(269.0-234.0)m
Please note: We have assumed "Related employer payroll taxes" to be part of G&amp;A expense. PayPal does not disclose which expense head it's included in.</t>
        </r>
      </text>
    </comment>
    <comment ref="AU58" authorId="3">
      <text>
        <r>
          <rPr>
            <sz val="9"/>
            <color indexed="81"/>
            <rFont val="Tahoma"/>
            <family val="2"/>
          </rPr>
          <t>Excludes 
SBC: $55.0m
Restructuring: $1.0m
Related employer payroll taxes: $(309.0-282.0)m
Please note: We have assumed "Related employer payroll taxes" to be part of G&amp;A expense. PayPal does not disclose which expense head it's included in.</t>
        </r>
      </text>
    </comment>
    <comment ref="AV58" authorId="3">
      <text>
        <r>
          <rPr>
            <sz val="9"/>
            <color indexed="81"/>
            <rFont val="Tahoma"/>
            <family val="2"/>
          </rPr>
          <t>Excludes SBC and separation</t>
        </r>
      </text>
    </comment>
    <comment ref="AW58" authorId="1">
      <text>
        <r>
          <rPr>
            <b/>
            <sz val="9"/>
            <color indexed="81"/>
            <rFont val="Tahoma"/>
            <family val="2"/>
          </rPr>
          <t>Govil, Vasundhara (Research):</t>
        </r>
        <r>
          <rPr>
            <sz val="9"/>
            <color indexed="81"/>
            <rFont val="Tahoma"/>
            <family val="2"/>
          </rPr>
          <t xml:space="preserve">
SBC and employer payroll tax for SBC adjustment+ separation expenses</t>
        </r>
      </text>
    </comment>
    <comment ref="BG58" authorId="0">
      <text>
        <r>
          <rPr>
            <b/>
            <sz val="9"/>
            <color indexed="81"/>
            <rFont val="Tahoma"/>
            <family val="2"/>
          </rPr>
          <t>Hussain, Danyal (Research):</t>
        </r>
        <r>
          <rPr>
            <sz val="9"/>
            <color indexed="81"/>
            <rFont val="Tahoma"/>
            <family val="2"/>
          </rPr>
          <t xml:space="preserve">
Impairment of investment</t>
        </r>
      </text>
    </comment>
    <comment ref="BM65" authorId="0">
      <text>
        <r>
          <rPr>
            <b/>
            <sz val="9"/>
            <color indexed="81"/>
            <rFont val="Tahoma"/>
            <family val="2"/>
          </rPr>
          <t>Hussain, Danyal (Research):</t>
        </r>
        <r>
          <rPr>
            <sz val="9"/>
            <color indexed="81"/>
            <rFont val="Tahoma"/>
            <family val="2"/>
          </rPr>
          <t xml:space="preserve">
No longer recognizing charge-offs once SYF takes on credit balance</t>
        </r>
      </text>
    </comment>
    <comment ref="AW72" authorId="1">
      <text>
        <r>
          <rPr>
            <b/>
            <sz val="9"/>
            <color indexed="81"/>
            <rFont val="Tahoma"/>
            <family val="2"/>
          </rPr>
          <t>Govil, Vasundhara (Research):</t>
        </r>
        <r>
          <rPr>
            <sz val="9"/>
            <color indexed="81"/>
            <rFont val="Tahoma"/>
            <family val="2"/>
          </rPr>
          <t xml:space="preserve">
excludes amortization of acquired intangibles</t>
        </r>
      </text>
    </comment>
    <comment ref="AZ76" authorId="0">
      <text>
        <r>
          <rPr>
            <b/>
            <sz val="9"/>
            <color indexed="81"/>
            <rFont val="Tahoma"/>
            <family val="2"/>
          </rPr>
          <t>Hussain, Danyal (Research):</t>
        </r>
        <r>
          <rPr>
            <sz val="9"/>
            <color indexed="81"/>
            <rFont val="Tahoma"/>
            <family val="2"/>
          </rPr>
          <t xml:space="preserve">
1975 per co.</t>
        </r>
      </text>
    </comment>
    <comment ref="AZ78" authorId="0">
      <text>
        <r>
          <rPr>
            <b/>
            <sz val="9"/>
            <color indexed="81"/>
            <rFont val="Tahoma"/>
            <family val="2"/>
          </rPr>
          <t>Hussain, Danyal (Research):</t>
        </r>
        <r>
          <rPr>
            <sz val="9"/>
            <color indexed="81"/>
            <rFont val="Tahoma"/>
            <family val="2"/>
          </rPr>
          <t xml:space="preserve">
20-21% guided
21.4% per 4Q</t>
        </r>
      </text>
    </comment>
    <comment ref="BC78" authorId="0">
      <text>
        <r>
          <rPr>
            <b/>
            <sz val="9"/>
            <color indexed="81"/>
            <rFont val="Tahoma"/>
            <family val="2"/>
          </rPr>
          <t>Hussain, Danyal (Research):</t>
        </r>
        <r>
          <rPr>
            <sz val="9"/>
            <color indexed="81"/>
            <rFont val="Tahoma"/>
            <family val="2"/>
          </rPr>
          <t xml:space="preserve">
"Gained 200 bps leverage on Other Expenses through continued cost control."
"operating margin decline driven by product and merchant mix"</t>
        </r>
      </text>
    </comment>
    <comment ref="BI80" authorId="0">
      <text>
        <r>
          <rPr>
            <b/>
            <sz val="9"/>
            <color indexed="81"/>
            <rFont val="Tahoma"/>
            <family val="2"/>
          </rPr>
          <t>Hussain, Danyal (Research):</t>
        </r>
        <r>
          <rPr>
            <sz val="9"/>
            <color indexed="81"/>
            <rFont val="Tahoma"/>
            <family val="2"/>
          </rPr>
          <t xml:space="preserve">
205-215</t>
        </r>
      </text>
    </comment>
    <comment ref="B96" authorId="1">
      <text>
        <r>
          <rPr>
            <b/>
            <sz val="9"/>
            <color indexed="81"/>
            <rFont val="Tahoma"/>
            <family val="2"/>
          </rPr>
          <t>Govil, Vasundhara (Research):</t>
        </r>
        <r>
          <rPr>
            <sz val="9"/>
            <color indexed="81"/>
            <rFont val="Tahoma"/>
            <family val="2"/>
          </rPr>
          <t xml:space="preserve">
non-GAAP</t>
        </r>
      </text>
    </comment>
    <comment ref="AP96" authorId="3">
      <text>
        <r>
          <rPr>
            <sz val="9"/>
            <color indexed="81"/>
            <rFont val="Tahoma"/>
            <family val="2"/>
          </rPr>
          <t xml:space="preserve">Adjusted for
Amortization of intangibles of investments: $7.0m
</t>
        </r>
      </text>
    </comment>
    <comment ref="AS96" authorId="0">
      <text>
        <r>
          <rPr>
            <b/>
            <sz val="9"/>
            <color indexed="81"/>
            <rFont val="Tahoma"/>
            <family val="2"/>
          </rPr>
          <t>Hussain, Danyal (Research):</t>
        </r>
        <r>
          <rPr>
            <sz val="9"/>
            <color indexed="81"/>
            <rFont val="Tahoma"/>
            <family val="2"/>
          </rPr>
          <t xml:space="preserve">
Includes -1mn hedge benefit not accounted for as cash flow hedge</t>
        </r>
      </text>
    </comment>
    <comment ref="AX96" authorId="0">
      <text>
        <r>
          <rPr>
            <b/>
            <sz val="9"/>
            <color indexed="81"/>
            <rFont val="Tahoma"/>
            <family val="2"/>
          </rPr>
          <t>Hussain, Danyal (Research):</t>
        </r>
        <r>
          <rPr>
            <sz val="9"/>
            <color indexed="81"/>
            <rFont val="Tahoma"/>
            <family val="2"/>
          </rPr>
          <t xml:space="preserve">
Includes 14mn hedge benefit not accounted for as cash flow hedge</t>
        </r>
      </text>
    </comment>
    <comment ref="AZ102" authorId="0">
      <text>
        <r>
          <rPr>
            <b/>
            <sz val="9"/>
            <color indexed="81"/>
            <rFont val="Tahoma"/>
            <family val="2"/>
          </rPr>
          <t>Hussain, Danyal (Research):</t>
        </r>
        <r>
          <rPr>
            <sz val="9"/>
            <color indexed="81"/>
            <rFont val="Tahoma"/>
            <family val="2"/>
          </rPr>
          <t xml:space="preserve">
19-20%</t>
        </r>
      </text>
    </comment>
    <comment ref="BI104" authorId="0">
      <text>
        <r>
          <rPr>
            <b/>
            <sz val="9"/>
            <color indexed="81"/>
            <rFont val="Tahoma"/>
            <family val="2"/>
          </rPr>
          <t>Hussain, Danyal (Research):</t>
        </r>
        <r>
          <rPr>
            <sz val="9"/>
            <color indexed="81"/>
            <rFont val="Tahoma"/>
            <family val="2"/>
          </rPr>
          <t xml:space="preserve">
670</t>
        </r>
      </text>
    </comment>
    <comment ref="BA105" authorId="0">
      <text>
        <r>
          <rPr>
            <b/>
            <sz val="9"/>
            <color indexed="81"/>
            <rFont val="Tahoma"/>
            <family val="2"/>
          </rPr>
          <t>Hussain, Danyal (Research):</t>
        </r>
        <r>
          <rPr>
            <sz val="9"/>
            <color indexed="81"/>
            <rFont val="Tahoma"/>
            <family val="2"/>
          </rPr>
          <t xml:space="preserve">
0.34-0.36</t>
        </r>
      </text>
    </comment>
    <comment ref="BE105" authorId="0">
      <text>
        <r>
          <rPr>
            <b/>
            <sz val="9"/>
            <color indexed="81"/>
            <rFont val="Tahoma"/>
            <family val="2"/>
          </rPr>
          <t>Hussain, Danyal (Research):</t>
        </r>
        <r>
          <rPr>
            <sz val="9"/>
            <color indexed="81"/>
            <rFont val="Tahoma"/>
            <family val="2"/>
          </rPr>
          <t xml:space="preserve">
1.45-1.50</t>
        </r>
      </text>
    </comment>
    <comment ref="BC112" authorId="0">
      <text>
        <r>
          <rPr>
            <b/>
            <sz val="9"/>
            <color indexed="81"/>
            <rFont val="Tahoma"/>
            <family val="2"/>
          </rPr>
          <t>Hussain, Danyal (Research):</t>
        </r>
        <r>
          <rPr>
            <sz val="9"/>
            <color indexed="81"/>
            <rFont val="Tahoma"/>
            <family val="2"/>
          </rPr>
          <t xml:space="preserve">
Down due to discrete tax items</t>
        </r>
      </text>
    </comment>
    <comment ref="AZ122" authorId="3">
      <text>
        <r>
          <rPr>
            <sz val="9"/>
            <color indexed="81"/>
            <rFont val="Tahoma"/>
            <family val="2"/>
          </rPr>
          <t xml:space="preserve">Company guidance
Pg F-18, form 10
</t>
        </r>
      </text>
    </comment>
    <comment ref="AZ123" authorId="1">
      <text>
        <r>
          <rPr>
            <b/>
            <sz val="9"/>
            <color indexed="81"/>
            <rFont val="Tahoma"/>
            <family val="2"/>
          </rPr>
          <t>Govil, Vasundhara (Research):</t>
        </r>
        <r>
          <rPr>
            <sz val="9"/>
            <color indexed="81"/>
            <rFont val="Tahoma"/>
            <family val="2"/>
          </rPr>
          <t xml:space="preserve">
$70mn as per Form 10 + Xoom</t>
        </r>
      </text>
    </comment>
    <comment ref="BE123" authorId="1">
      <text>
        <r>
          <rPr>
            <b/>
            <sz val="9"/>
            <color indexed="81"/>
            <rFont val="Tahoma"/>
            <family val="2"/>
          </rPr>
          <t>Govil, Vasundhara (Research):</t>
        </r>
        <r>
          <rPr>
            <sz val="9"/>
            <color indexed="81"/>
            <rFont val="Tahoma"/>
            <family val="2"/>
          </rPr>
          <t xml:space="preserve">
$57mn as per Form 10 + Xoom</t>
        </r>
      </text>
    </comment>
    <comment ref="BJ123" authorId="1">
      <text>
        <r>
          <rPr>
            <b/>
            <sz val="9"/>
            <color indexed="81"/>
            <rFont val="Tahoma"/>
            <family val="2"/>
          </rPr>
          <t>Govil, Vasundhara (Research):</t>
        </r>
        <r>
          <rPr>
            <sz val="9"/>
            <color indexed="81"/>
            <rFont val="Tahoma"/>
            <family val="2"/>
          </rPr>
          <t xml:space="preserve">
$12mn as per Form 10 + Xoom</t>
        </r>
      </text>
    </comment>
    <comment ref="BO123" authorId="1">
      <text>
        <r>
          <rPr>
            <b/>
            <sz val="9"/>
            <color indexed="81"/>
            <rFont val="Tahoma"/>
            <family val="2"/>
          </rPr>
          <t>Govil, Vasundhara (Research):</t>
        </r>
        <r>
          <rPr>
            <sz val="9"/>
            <color indexed="81"/>
            <rFont val="Tahoma"/>
            <family val="2"/>
          </rPr>
          <t xml:space="preserve">
$12mn as per Form 10 + Xoom</t>
        </r>
      </text>
    </comment>
    <comment ref="BT123" authorId="1">
      <text>
        <r>
          <rPr>
            <b/>
            <sz val="9"/>
            <color indexed="81"/>
            <rFont val="Tahoma"/>
            <family val="2"/>
          </rPr>
          <t>Govil, Vasundhara (Research):</t>
        </r>
        <r>
          <rPr>
            <sz val="9"/>
            <color indexed="81"/>
            <rFont val="Tahoma"/>
            <family val="2"/>
          </rPr>
          <t xml:space="preserve">
$12mn as per Form 10 + Xoom</t>
        </r>
      </text>
    </comment>
    <comment ref="BY123" authorId="1">
      <text>
        <r>
          <rPr>
            <b/>
            <sz val="9"/>
            <color indexed="81"/>
            <rFont val="Tahoma"/>
            <family val="2"/>
          </rPr>
          <t>Govil, Vasundhara (Research):</t>
        </r>
        <r>
          <rPr>
            <sz val="9"/>
            <color indexed="81"/>
            <rFont val="Tahoma"/>
            <family val="2"/>
          </rPr>
          <t xml:space="preserve">
$12mn as per Form 10 + Xoom</t>
        </r>
      </text>
    </comment>
    <comment ref="CD123" authorId="1">
      <text>
        <r>
          <rPr>
            <b/>
            <sz val="9"/>
            <color indexed="81"/>
            <rFont val="Tahoma"/>
            <family val="2"/>
          </rPr>
          <t>Govil, Vasundhara (Research):</t>
        </r>
        <r>
          <rPr>
            <sz val="9"/>
            <color indexed="81"/>
            <rFont val="Tahoma"/>
            <family val="2"/>
          </rPr>
          <t xml:space="preserve">
$12mn as per Form 10 + Xoom</t>
        </r>
      </text>
    </comment>
    <comment ref="BI124" authorId="0">
      <text>
        <r>
          <rPr>
            <b/>
            <sz val="9"/>
            <color indexed="81"/>
            <rFont val="Tahoma"/>
            <family val="2"/>
          </rPr>
          <t>Hussain, Danyal (Research):</t>
        </r>
        <r>
          <rPr>
            <sz val="9"/>
            <color indexed="81"/>
            <rFont val="Tahoma"/>
            <family val="2"/>
          </rPr>
          <t xml:space="preserve">
45mn revenue and 255mn expense benefit from credit portfolio conversion to </t>
        </r>
      </text>
    </comment>
    <comment ref="AX134" authorId="0">
      <text>
        <r>
          <rPr>
            <b/>
            <sz val="9"/>
            <color indexed="81"/>
            <rFont val="Tahoma"/>
            <family val="2"/>
          </rPr>
          <t>Hussain, Danyal (Research):</t>
        </r>
        <r>
          <rPr>
            <sz val="9"/>
            <color indexed="81"/>
            <rFont val="Tahoma"/>
            <family val="2"/>
          </rPr>
          <t xml:space="preserve">
350</t>
        </r>
      </text>
    </comment>
    <comment ref="BI134" authorId="0">
      <text>
        <r>
          <rPr>
            <b/>
            <sz val="9"/>
            <color indexed="81"/>
            <rFont val="Tahoma"/>
            <family val="2"/>
          </rPr>
          <t>Hussain, Danyal (Research):</t>
        </r>
        <r>
          <rPr>
            <sz val="9"/>
            <color indexed="81"/>
            <rFont val="Tahoma"/>
            <family val="2"/>
          </rPr>
          <t xml:space="preserve">
864</t>
        </r>
      </text>
    </comment>
    <comment ref="AK137" authorId="0">
      <text>
        <r>
          <rPr>
            <b/>
            <sz val="9"/>
            <color indexed="81"/>
            <rFont val="Tahoma"/>
            <family val="2"/>
          </rPr>
          <t>Hussain, Danyal (Research):</t>
        </r>
        <r>
          <rPr>
            <sz val="9"/>
            <color indexed="81"/>
            <rFont val="Tahoma"/>
            <family val="2"/>
          </rPr>
          <t xml:space="preserve">
391 Pro Forma</t>
        </r>
      </text>
    </comment>
    <comment ref="AP137" authorId="0">
      <text>
        <r>
          <rPr>
            <b/>
            <sz val="9"/>
            <color indexed="81"/>
            <rFont val="Tahoma"/>
            <family val="2"/>
          </rPr>
          <t>Hussain, Danyal (Research):</t>
        </r>
        <r>
          <rPr>
            <sz val="9"/>
            <color indexed="81"/>
            <rFont val="Tahoma"/>
            <family val="2"/>
          </rPr>
          <t xml:space="preserve">
391 Pro Forma</t>
        </r>
      </text>
    </comment>
    <comment ref="AU137" authorId="0">
      <text>
        <r>
          <rPr>
            <b/>
            <sz val="9"/>
            <color indexed="81"/>
            <rFont val="Tahoma"/>
            <family val="2"/>
          </rPr>
          <t>Hussain, Danyal (Research):</t>
        </r>
        <r>
          <rPr>
            <sz val="9"/>
            <color indexed="81"/>
            <rFont val="Tahoma"/>
            <family val="2"/>
          </rPr>
          <t xml:space="preserve">
391 Pro Forma</t>
        </r>
      </text>
    </comment>
    <comment ref="AX137" authorId="0">
      <text>
        <r>
          <rPr>
            <b/>
            <sz val="9"/>
            <color indexed="81"/>
            <rFont val="Tahoma"/>
            <family val="2"/>
          </rPr>
          <t>Hussain, Danyal (Research):</t>
        </r>
        <r>
          <rPr>
            <sz val="9"/>
            <color indexed="81"/>
            <rFont val="Tahoma"/>
            <family val="2"/>
          </rPr>
          <t xml:space="preserve">
301</t>
        </r>
      </text>
    </comment>
    <comment ref="AY137" authorId="0">
      <text>
        <r>
          <rPr>
            <b/>
            <sz val="9"/>
            <color indexed="81"/>
            <rFont val="Tahoma"/>
            <family val="2"/>
          </rPr>
          <t>Hussain, Danyal (Research):</t>
        </r>
        <r>
          <rPr>
            <sz val="9"/>
            <color indexed="81"/>
            <rFont val="Tahoma"/>
            <family val="2"/>
          </rPr>
          <t xml:space="preserve">
367</t>
        </r>
      </text>
    </comment>
    <comment ref="AX138" authorId="0">
      <text>
        <r>
          <rPr>
            <b/>
            <sz val="9"/>
            <color indexed="81"/>
            <rFont val="Tahoma"/>
            <family val="2"/>
          </rPr>
          <t>Hussain, Danyal (Research):</t>
        </r>
        <r>
          <rPr>
            <sz val="9"/>
            <color indexed="81"/>
            <rFont val="Tahoma"/>
            <family val="2"/>
          </rPr>
          <t xml:space="preserve">
0.25</t>
        </r>
      </text>
    </comment>
    <comment ref="AT151" authorId="3">
      <text>
        <r>
          <rPr>
            <sz val="9"/>
            <color indexed="81"/>
            <rFont val="Tahoma"/>
            <family val="2"/>
          </rPr>
          <t xml:space="preserve">Placeholders
</t>
        </r>
      </text>
    </comment>
    <comment ref="A175" authorId="0">
      <text>
        <r>
          <rPr>
            <b/>
            <sz val="9"/>
            <color indexed="81"/>
            <rFont val="Tahoma"/>
            <family val="2"/>
          </rPr>
          <t>Hussain, Danyal (Research):</t>
        </r>
        <r>
          <rPr>
            <sz val="9"/>
            <color indexed="81"/>
            <rFont val="Tahoma"/>
            <family val="2"/>
          </rPr>
          <t xml:space="preserve">
The expenses recognized for provision for transaction losses are estimates of the transaction losses incurred during the period but for which cash has not been paid. The cash impact from </t>
        </r>
        <r>
          <rPr>
            <b/>
            <u/>
            <sz val="9"/>
            <color indexed="81"/>
            <rFont val="Tahoma"/>
            <family val="2"/>
          </rPr>
          <t xml:space="preserve">actual transaction losses </t>
        </r>
        <r>
          <rPr>
            <sz val="9"/>
            <color indexed="81"/>
            <rFont val="Tahoma"/>
            <family val="2"/>
          </rPr>
          <t>paid during a period are reflected through free cash flows as a negative impact to cash from operating activities.</t>
        </r>
      </text>
    </comment>
    <comment ref="A181" authorId="0">
      <text>
        <r>
          <rPr>
            <b/>
            <sz val="9"/>
            <color indexed="81"/>
            <rFont val="Tahoma"/>
            <family val="2"/>
          </rPr>
          <t>Hussain, Danyal (Research):</t>
        </r>
        <r>
          <rPr>
            <sz val="9"/>
            <color indexed="81"/>
            <rFont val="Tahoma"/>
            <family val="2"/>
          </rPr>
          <t xml:space="preserve">
Charge-offs included here. "The expenses recognized during the period for provision for loan losses are estimates of probable losses on our PayPal Credit products for which the receivable has not been charged off. </t>
        </r>
        <r>
          <rPr>
            <b/>
            <u/>
            <sz val="9"/>
            <color indexed="81"/>
            <rFont val="Tahoma"/>
            <family val="2"/>
          </rPr>
          <t xml:space="preserve">Actual charge offs of receivables related to our PayPal Credit products are reflected as a reduction in changes in principal loans receivable impacting investing activities </t>
        </r>
        <r>
          <rPr>
            <sz val="9"/>
            <color indexed="81"/>
            <rFont val="Tahoma"/>
            <family val="2"/>
          </rPr>
          <t>and thus have no impact on free cash flows."</t>
        </r>
      </text>
    </comment>
    <comment ref="AP181" authorId="0">
      <text>
        <r>
          <rPr>
            <b/>
            <sz val="9"/>
            <color indexed="81"/>
            <rFont val="Tahoma"/>
            <family val="2"/>
          </rPr>
          <t>Hussain, Danyal (Research):</t>
        </r>
        <r>
          <rPr>
            <sz val="9"/>
            <color indexed="81"/>
            <rFont val="Tahoma"/>
            <family val="2"/>
          </rPr>
          <t xml:space="preserve">
Loan NCOs 218</t>
        </r>
      </text>
    </comment>
    <comment ref="AR181" authorId="0">
      <text>
        <r>
          <rPr>
            <b/>
            <sz val="9"/>
            <color indexed="81"/>
            <rFont val="Tahoma"/>
            <family val="2"/>
          </rPr>
          <t>Hussain, Danyal (Research):</t>
        </r>
        <r>
          <rPr>
            <sz val="9"/>
            <color indexed="81"/>
            <rFont val="Tahoma"/>
            <family val="2"/>
          </rPr>
          <t xml:space="preserve">
PayPal Total F6M NCOs $126mn
</t>
        </r>
      </text>
    </comment>
    <comment ref="AS181" authorId="0">
      <text>
        <r>
          <rPr>
            <b/>
            <sz val="9"/>
            <color indexed="81"/>
            <rFont val="Tahoma"/>
            <family val="2"/>
          </rPr>
          <t>Hussain, Danyal (Research):</t>
        </r>
        <r>
          <rPr>
            <sz val="9"/>
            <color indexed="81"/>
            <rFont val="Tahoma"/>
            <family val="2"/>
          </rPr>
          <t xml:space="preserve">
PayPal Credit F9M NCOs $189mn
PayPal Credit F9M NCOs $1mn
Total NCOs for quarter: $64mn</t>
        </r>
      </text>
    </comment>
    <comment ref="AU181" authorId="0">
      <text>
        <r>
          <rPr>
            <b/>
            <sz val="9"/>
            <color indexed="81"/>
            <rFont val="Tahoma"/>
            <family val="2"/>
          </rPr>
          <t>Hussain, Danyal (Research):</t>
        </r>
        <r>
          <rPr>
            <sz val="9"/>
            <color indexed="81"/>
            <rFont val="Tahoma"/>
            <family val="2"/>
          </rPr>
          <t xml:space="preserve">
PayPal Credit NCOs 269mn
PayPal Working Cap NCOs</t>
        </r>
      </text>
    </comment>
    <comment ref="AW181" authorId="0">
      <text>
        <r>
          <rPr>
            <b/>
            <sz val="9"/>
            <color indexed="81"/>
            <rFont val="Tahoma"/>
            <family val="2"/>
          </rPr>
          <t>Hussain, Danyal (Research):</t>
        </r>
        <r>
          <rPr>
            <sz val="9"/>
            <color indexed="81"/>
            <rFont val="Tahoma"/>
            <family val="2"/>
          </rPr>
          <t xml:space="preserve">
PayPal Total NCOs F6M $150mn
</t>
        </r>
      </text>
    </comment>
    <comment ref="AX181" authorId="0">
      <text>
        <r>
          <rPr>
            <b/>
            <sz val="9"/>
            <color indexed="81"/>
            <rFont val="Tahoma"/>
            <family val="2"/>
          </rPr>
          <t>Hussain, Danyal (Research):</t>
        </r>
        <r>
          <rPr>
            <sz val="9"/>
            <color indexed="81"/>
            <rFont val="Tahoma"/>
            <family val="2"/>
          </rPr>
          <t xml:space="preserve">
PayPal Credit NCOs F9M $209mn
PayPal Working Cap NCOs F9M $9mn
Total NCOs for quarter: $68mn</t>
        </r>
      </text>
    </comment>
    <comment ref="BA185" authorId="0">
      <text>
        <r>
          <rPr>
            <b/>
            <sz val="9"/>
            <color indexed="81"/>
            <rFont val="Tahoma"/>
            <family val="2"/>
          </rPr>
          <t>Hussain, Danyal (Research):</t>
        </r>
        <r>
          <rPr>
            <sz val="9"/>
            <color indexed="81"/>
            <rFont val="Tahoma"/>
            <family val="2"/>
          </rPr>
          <t xml:space="preserve">
Funds receivable and customer accounts</t>
        </r>
      </text>
    </comment>
    <comment ref="BD185" authorId="0">
      <text>
        <r>
          <rPr>
            <b/>
            <sz val="9"/>
            <color indexed="81"/>
            <rFont val="Tahoma"/>
            <family val="2"/>
          </rPr>
          <t>Hussain, Danyal (Research):</t>
        </r>
        <r>
          <rPr>
            <sz val="9"/>
            <color indexed="81"/>
            <rFont val="Tahoma"/>
            <family val="2"/>
          </rPr>
          <t xml:space="preserve">
Funds receivable and customer accounts</t>
        </r>
      </text>
    </comment>
    <comment ref="AV190" authorId="1">
      <text>
        <r>
          <rPr>
            <b/>
            <sz val="9"/>
            <color indexed="81"/>
            <rFont val="Tahoma"/>
            <family val="2"/>
          </rPr>
          <t>Govil, Vasundhara (Research):</t>
        </r>
        <r>
          <rPr>
            <sz val="9"/>
            <color indexed="81"/>
            <rFont val="Tahoma"/>
            <family val="2"/>
          </rPr>
          <t xml:space="preserve">
adjusted for cash and plug</t>
        </r>
      </text>
    </comment>
    <comment ref="AV218" authorId="3">
      <text>
        <r>
          <rPr>
            <b/>
            <sz val="9"/>
            <color indexed="81"/>
            <rFont val="Tahoma"/>
            <family val="2"/>
          </rPr>
          <t>Pro-Forma</t>
        </r>
      </text>
    </comment>
    <comment ref="AP220" authorId="0">
      <text>
        <r>
          <rPr>
            <b/>
            <sz val="9"/>
            <color indexed="81"/>
            <rFont val="Tahoma"/>
            <family val="2"/>
          </rPr>
          <t>Hussain, Danyal (Research):</t>
        </r>
        <r>
          <rPr>
            <sz val="9"/>
            <color indexed="81"/>
            <rFont val="Tahoma"/>
            <family val="2"/>
          </rPr>
          <t xml:space="preserve">
1.8bn international cash, cash equivalents, and ST investments.</t>
        </r>
      </text>
    </comment>
    <comment ref="AU220" authorId="0">
      <text>
        <r>
          <rPr>
            <b/>
            <sz val="9"/>
            <color indexed="81"/>
            <rFont val="Tahoma"/>
            <family val="2"/>
          </rPr>
          <t>Hussain, Danyal (Research):</t>
        </r>
        <r>
          <rPr>
            <sz val="9"/>
            <color indexed="81"/>
            <rFont val="Tahoma"/>
            <family val="2"/>
          </rPr>
          <t xml:space="preserve">
2.0bn international cash, cash equivalents, and ST investments.</t>
        </r>
      </text>
    </comment>
    <comment ref="AX220" authorId="0">
      <text>
        <r>
          <rPr>
            <b/>
            <sz val="9"/>
            <color indexed="81"/>
            <rFont val="Tahoma"/>
            <family val="2"/>
          </rPr>
          <t>Hussain, Danyal (Research):</t>
        </r>
        <r>
          <rPr>
            <sz val="9"/>
            <color indexed="81"/>
            <rFont val="Tahoma"/>
            <family val="2"/>
          </rPr>
          <t xml:space="preserve">
2.4bn US</t>
        </r>
      </text>
    </comment>
    <comment ref="BC220" authorId="0">
      <text>
        <r>
          <rPr>
            <b/>
            <sz val="9"/>
            <color indexed="81"/>
            <rFont val="Tahoma"/>
            <family val="2"/>
          </rPr>
          <t>Hussain, Danyal (Research):</t>
        </r>
        <r>
          <rPr>
            <sz val="9"/>
            <color indexed="81"/>
            <rFont val="Tahoma"/>
            <family val="2"/>
          </rPr>
          <t xml:space="preserve">
5.1bn cash intl, 1.3bn US.</t>
        </r>
      </text>
    </comment>
    <comment ref="AW223" authorId="0">
      <text>
        <r>
          <rPr>
            <b/>
            <sz val="9"/>
            <color indexed="81"/>
            <rFont val="Tahoma"/>
            <family val="2"/>
          </rPr>
          <t>Hussain, Danyal (Research):</t>
        </r>
        <r>
          <rPr>
            <sz val="9"/>
            <color indexed="81"/>
            <rFont val="Tahoma"/>
            <family val="2"/>
          </rPr>
          <t xml:space="preserve">
In April 2015, we concluded an arrangement with certain investors under which we sold a participation interest of approximately $700 million in a portion of our purchased consumer receivables arising from loans made by our partner chartered financial institution of individual consumers to purchase goods and services using our PayPal Credit products. </t>
        </r>
      </text>
    </comment>
    <comment ref="BD223" authorId="0">
      <text>
        <r>
          <rPr>
            <b/>
            <sz val="9"/>
            <color indexed="81"/>
            <rFont val="Tahoma"/>
            <family val="2"/>
          </rPr>
          <t>Hussain, Danyal (Research):</t>
        </r>
        <r>
          <rPr>
            <sz val="9"/>
            <color indexed="81"/>
            <rFont val="Tahoma"/>
            <family val="2"/>
          </rPr>
          <t xml:space="preserve">
In June 2014, we agreed, subject to certain conditions, that we, one of our affiliates or a third party partner will purchase a portfolio of consumer loan receivables relating to the customer accounts arising out of our current credit program agreement with Synchrony (formerly GE Capital Retail Bank) for a price based on the book value of the consumer loan receivables portfolio at the time of the purchase (expected to be the fourth quarter of 2016), subject to certain adjustments and exclusions. As of December 31, 2014, Synchrony had a net receivables portfolio under the credit program agreement of approximately $1.5 billion</t>
        </r>
      </text>
    </comment>
    <comment ref="B240" authorId="3">
      <text>
        <r>
          <rPr>
            <sz val="9"/>
            <color indexed="81"/>
            <rFont val="Tahoma"/>
            <family val="2"/>
          </rPr>
          <t>Debt is included in this.</t>
        </r>
      </text>
    </comment>
    <comment ref="BA251" authorId="0">
      <text>
        <r>
          <rPr>
            <b/>
            <sz val="9"/>
            <color indexed="81"/>
            <rFont val="Tahoma"/>
            <family val="2"/>
          </rPr>
          <t>Hussain, Danyal (Research):</t>
        </r>
        <r>
          <rPr>
            <sz val="9"/>
            <color indexed="81"/>
            <rFont val="Tahoma"/>
            <family val="2"/>
          </rPr>
          <t xml:space="preserve">
Net of treasury stock</t>
        </r>
      </text>
    </comment>
  </commentList>
</comments>
</file>

<file path=xl/comments2.xml><?xml version="1.0" encoding="utf-8"?>
<comments xmlns="http://schemas.openxmlformats.org/spreadsheetml/2006/main">
  <authors>
    <author>Hussain, Danyal (Research)</author>
    <author>Govil, Vasundhara (Research)</author>
    <author>Russo, Priscilla (Research)</author>
    <author>Costantini, Michael (Research)</author>
  </authors>
  <commentList>
    <comment ref="AO4" authorId="0">
      <text>
        <r>
          <rPr>
            <b/>
            <sz val="9"/>
            <color indexed="81"/>
            <rFont val="Tahoma"/>
            <family val="2"/>
          </rPr>
          <t>Hussain, Danyal (Research):</t>
        </r>
        <r>
          <rPr>
            <sz val="9"/>
            <color indexed="81"/>
            <rFont val="Tahoma"/>
            <family val="2"/>
          </rPr>
          <t xml:space="preserve">
Braintree acquisition closed Dec 19, 2013.</t>
        </r>
      </text>
    </comment>
    <comment ref="A6" authorId="0">
      <text>
        <r>
          <rPr>
            <b/>
            <sz val="9"/>
            <color indexed="81"/>
            <rFont val="Tahoma"/>
            <family val="2"/>
          </rPr>
          <t xml:space="preserve">Includes:
</t>
        </r>
        <r>
          <rPr>
            <sz val="9"/>
            <color indexed="81"/>
            <rFont val="Tahoma"/>
            <family val="2"/>
          </rPr>
          <t>- PayPal
- PayPal Credit
- Venmo
- Braintree (where providing acquiring)</t>
        </r>
        <r>
          <rPr>
            <b/>
            <sz val="9"/>
            <color indexed="81"/>
            <rFont val="Tahoma"/>
            <family val="2"/>
          </rPr>
          <t xml:space="preserve">
Excludes:
</t>
        </r>
        <r>
          <rPr>
            <sz val="9"/>
            <color indexed="81"/>
            <rFont val="Tahoma"/>
            <family val="2"/>
          </rPr>
          <t>- Gateway (e.g. Braintree where only providing gateway service)</t>
        </r>
        <r>
          <rPr>
            <b/>
            <sz val="9"/>
            <color indexed="81"/>
            <rFont val="Tahoma"/>
            <family val="2"/>
          </rPr>
          <t xml:space="preserve">
</t>
        </r>
      </text>
    </comment>
    <comment ref="AY6" authorId="0">
      <text>
        <r>
          <rPr>
            <b/>
            <sz val="9"/>
            <color indexed="81"/>
            <rFont val="Tahoma"/>
            <family val="2"/>
          </rPr>
          <t>Hussain, Danyal (Research):</t>
        </r>
        <r>
          <rPr>
            <sz val="9"/>
            <color indexed="81"/>
            <rFont val="Tahoma"/>
            <family val="2"/>
          </rPr>
          <t xml:space="preserve">
Includes Xoom</t>
        </r>
      </text>
    </comment>
    <comment ref="AZ7" authorId="1">
      <text>
        <r>
          <rPr>
            <b/>
            <sz val="9"/>
            <color indexed="81"/>
            <rFont val="Tahoma"/>
            <family val="2"/>
          </rPr>
          <t>Govil, Vasundhara (Research):</t>
        </r>
        <r>
          <rPr>
            <sz val="9"/>
            <color indexed="81"/>
            <rFont val="Tahoma"/>
            <family val="2"/>
          </rPr>
          <t xml:space="preserve">
Mid -20% on FX adjusted basis</t>
        </r>
      </text>
    </comment>
    <comment ref="BJ7" authorId="0">
      <text>
        <r>
          <rPr>
            <b/>
            <sz val="9"/>
            <color indexed="81"/>
            <rFont val="Tahoma"/>
            <family val="2"/>
          </rPr>
          <t>Hussain, Danyal (Research):</t>
        </r>
        <r>
          <rPr>
            <sz val="9"/>
            <color indexed="81"/>
            <rFont val="Tahoma"/>
            <family val="2"/>
          </rPr>
          <t xml:space="preserve">
Mid 20s guidance over "medium term" from June 8, 2015</t>
        </r>
      </text>
    </comment>
    <comment ref="BO7" authorId="0">
      <text>
        <r>
          <rPr>
            <b/>
            <sz val="9"/>
            <color indexed="81"/>
            <rFont val="Tahoma"/>
            <family val="2"/>
          </rPr>
          <t>Hussain, Danyal (Research):</t>
        </r>
        <r>
          <rPr>
            <sz val="9"/>
            <color indexed="81"/>
            <rFont val="Tahoma"/>
            <family val="2"/>
          </rPr>
          <t xml:space="preserve">
Mid 20s guidance over "medium term" from June 8, 2015</t>
        </r>
      </text>
    </comment>
    <comment ref="BT7" authorId="0">
      <text>
        <r>
          <rPr>
            <b/>
            <sz val="9"/>
            <color indexed="81"/>
            <rFont val="Tahoma"/>
            <family val="2"/>
          </rPr>
          <t>Hussain, Danyal (Research):</t>
        </r>
        <r>
          <rPr>
            <sz val="9"/>
            <color indexed="81"/>
            <rFont val="Tahoma"/>
            <family val="2"/>
          </rPr>
          <t xml:space="preserve">
Mid 20s guidance over "medium term" from June 8, 2015</t>
        </r>
      </text>
    </comment>
    <comment ref="BY7" authorId="0">
      <text>
        <r>
          <rPr>
            <b/>
            <sz val="9"/>
            <color indexed="81"/>
            <rFont val="Tahoma"/>
            <family val="2"/>
          </rPr>
          <t>Hussain, Danyal (Research):</t>
        </r>
        <r>
          <rPr>
            <sz val="9"/>
            <color indexed="81"/>
            <rFont val="Tahoma"/>
            <family val="2"/>
          </rPr>
          <t xml:space="preserve">
Mid 20s guidance over "medium term" from June 8, 2015</t>
        </r>
      </text>
    </comment>
    <comment ref="CD7" authorId="0">
      <text>
        <r>
          <rPr>
            <b/>
            <sz val="9"/>
            <color indexed="81"/>
            <rFont val="Tahoma"/>
            <family val="2"/>
          </rPr>
          <t>Hussain, Danyal (Research):</t>
        </r>
        <r>
          <rPr>
            <sz val="9"/>
            <color indexed="81"/>
            <rFont val="Tahoma"/>
            <family val="2"/>
          </rPr>
          <t xml:space="preserve">
Mid 20s guidance over "medium term" from June 8, 2015</t>
        </r>
      </text>
    </comment>
    <comment ref="BD8" authorId="0">
      <text>
        <r>
          <rPr>
            <b/>
            <sz val="9"/>
            <color indexed="81"/>
            <rFont val="Tahoma"/>
            <family val="2"/>
          </rPr>
          <t>Hussain, Danyal (Research):</t>
        </r>
        <r>
          <rPr>
            <sz val="9"/>
            <color indexed="81"/>
            <rFont val="Tahoma"/>
            <family val="2"/>
          </rPr>
          <t xml:space="preserve">
Ex Xoom would have been similar as last Q ex Xoom</t>
        </r>
      </text>
    </comment>
    <comment ref="BE8" authorId="0">
      <text>
        <r>
          <rPr>
            <b/>
            <sz val="9"/>
            <color indexed="81"/>
            <rFont val="Tahoma"/>
            <family val="2"/>
          </rPr>
          <t>Hussain, Danyal (Research):</t>
        </r>
        <r>
          <rPr>
            <sz val="9"/>
            <color indexed="81"/>
            <rFont val="Tahoma"/>
            <family val="2"/>
          </rPr>
          <t xml:space="preserve">
2.6% addtl growth from Xoom</t>
        </r>
      </text>
    </comment>
    <comment ref="BL10" authorId="2">
      <text>
        <r>
          <rPr>
            <b/>
            <sz val="9"/>
            <color indexed="81"/>
            <rFont val="Tahoma"/>
            <family val="2"/>
          </rPr>
          <t>Russo, Priscilla (Research):</t>
        </r>
        <r>
          <rPr>
            <sz val="9"/>
            <color indexed="81"/>
            <rFont val="Tahoma"/>
            <family val="2"/>
          </rPr>
          <t xml:space="preserve">
suggest growth is similar to 1Q</t>
        </r>
      </text>
    </comment>
    <comment ref="BM10" authorId="0">
      <text>
        <r>
          <rPr>
            <b/>
            <sz val="9"/>
            <color indexed="81"/>
            <rFont val="Tahoma"/>
            <family val="2"/>
          </rPr>
          <t>Hussain, Danyal (Research):</t>
        </r>
        <r>
          <rPr>
            <sz val="9"/>
            <color indexed="81"/>
            <rFont val="Tahoma"/>
            <family val="2"/>
          </rPr>
          <t xml:space="preserve">
including impact of eBay testing</t>
        </r>
      </text>
    </comment>
    <comment ref="A14" authorId="0">
      <text>
        <r>
          <rPr>
            <b/>
            <sz val="9"/>
            <color indexed="81"/>
            <rFont val="Tahoma"/>
            <family val="2"/>
          </rPr>
          <t>Hussain, Danyal (Research):</t>
        </r>
        <r>
          <rPr>
            <sz val="9"/>
            <color indexed="81"/>
            <rFont val="Tahoma"/>
            <family val="2"/>
          </rPr>
          <t xml:space="preserve">
"We define large merchants as merchants who have generated TPV greater than $1.2 million in the last 12 months."</t>
        </r>
      </text>
    </comment>
    <comment ref="BC16" authorId="0">
      <text>
        <r>
          <rPr>
            <b/>
            <sz val="9"/>
            <color indexed="81"/>
            <rFont val="Tahoma"/>
            <family val="2"/>
          </rPr>
          <t>Hussain, Danyal (Research):</t>
        </r>
        <r>
          <rPr>
            <sz val="9"/>
            <color indexed="81"/>
            <rFont val="Tahoma"/>
            <family val="2"/>
          </rPr>
          <t xml:space="preserve">
Est.</t>
        </r>
      </text>
    </comment>
    <comment ref="BD16" authorId="1">
      <text>
        <r>
          <rPr>
            <b/>
            <sz val="9"/>
            <color indexed="81"/>
            <rFont val="Tahoma"/>
            <family val="2"/>
          </rPr>
          <t>Govil, Vasundhara (Research):</t>
        </r>
        <r>
          <rPr>
            <sz val="9"/>
            <color indexed="81"/>
            <rFont val="Tahoma"/>
            <family val="2"/>
          </rPr>
          <t xml:space="preserve">
est</t>
        </r>
      </text>
    </comment>
    <comment ref="BB25" authorId="0">
      <text>
        <r>
          <rPr>
            <b/>
            <sz val="9"/>
            <color indexed="81"/>
            <rFont val="Tahoma"/>
            <family val="2"/>
          </rPr>
          <t>Hussain, Danyal (Research):</t>
        </r>
        <r>
          <rPr>
            <sz val="9"/>
            <color indexed="81"/>
            <rFont val="Tahoma"/>
            <family val="2"/>
          </rPr>
          <t xml:space="preserve">
down 22bps, due primarily to lower FX hedging, growth of P2P, and mix shift towards Braintree and larger merchants</t>
        </r>
      </text>
    </comment>
    <comment ref="BC25" authorId="0">
      <text>
        <r>
          <rPr>
            <b/>
            <sz val="9"/>
            <color indexed="81"/>
            <rFont val="Tahoma"/>
            <family val="2"/>
          </rPr>
          <t>Hussain, Danyal (Research):</t>
        </r>
        <r>
          <rPr>
            <sz val="9"/>
            <color indexed="81"/>
            <rFont val="Tahoma"/>
            <family val="2"/>
          </rPr>
          <t xml:space="preserve">
Transaction take rate down ~19
bps, driven by P2P growth
(including Venmo), and mix shift
towards Braintree/larger
merchants</t>
        </r>
      </text>
    </comment>
    <comment ref="A30" authorId="0">
      <text>
        <r>
          <rPr>
            <b/>
            <sz val="9"/>
            <color indexed="81"/>
            <rFont val="Tahoma"/>
            <family val="2"/>
          </rPr>
          <t>Hussain, Danyal (Research):</t>
        </r>
        <r>
          <rPr>
            <sz val="9"/>
            <color indexed="81"/>
            <rFont val="Tahoma"/>
            <family val="2"/>
          </rPr>
          <t xml:space="preserve">
Ex hedge Gains/losses</t>
        </r>
      </text>
    </comment>
    <comment ref="AQ30" authorId="0">
      <text>
        <r>
          <rPr>
            <sz val="9"/>
            <color indexed="81"/>
            <rFont val="Tahoma"/>
            <family val="2"/>
          </rPr>
          <t>These are estimates.</t>
        </r>
      </text>
    </comment>
    <comment ref="AV30" authorId="0">
      <text>
        <r>
          <rPr>
            <sz val="9"/>
            <color indexed="81"/>
            <rFont val="Tahoma"/>
            <family val="2"/>
          </rPr>
          <t>Assumed.</t>
        </r>
      </text>
    </comment>
    <comment ref="AW30" authorId="1">
      <text>
        <r>
          <rPr>
            <b/>
            <sz val="9"/>
            <color indexed="81"/>
            <rFont val="Tahoma"/>
            <family val="2"/>
          </rPr>
          <t>Govil, Vasundhara (Research):</t>
        </r>
        <r>
          <rPr>
            <sz val="9"/>
            <color indexed="81"/>
            <rFont val="Tahoma"/>
            <family val="2"/>
          </rPr>
          <t xml:space="preserve">
assumed</t>
        </r>
      </text>
    </comment>
    <comment ref="BH32" authorId="0">
      <text>
        <r>
          <rPr>
            <b/>
            <sz val="9"/>
            <color indexed="81"/>
            <rFont val="Tahoma"/>
            <family val="2"/>
          </rPr>
          <t>Hussain, Danyal (Research):</t>
        </r>
        <r>
          <rPr>
            <sz val="9"/>
            <color indexed="81"/>
            <rFont val="Tahoma"/>
            <family val="2"/>
          </rPr>
          <t xml:space="preserve">
Tio weighing by 3.5bps, we estimate</t>
        </r>
      </text>
    </comment>
    <comment ref="A35" authorId="0">
      <text>
        <r>
          <rPr>
            <b/>
            <sz val="9"/>
            <color indexed="81"/>
            <rFont val="Tahoma"/>
            <family val="2"/>
          </rPr>
          <t>Hussain, Danyal (Research):</t>
        </r>
        <r>
          <rPr>
            <sz val="9"/>
            <color indexed="81"/>
            <rFont val="Tahoma"/>
            <family val="2"/>
          </rPr>
          <t xml:space="preserve">
Ex hedge Gains/losses</t>
        </r>
      </text>
    </comment>
    <comment ref="BW37" authorId="0">
      <text>
        <r>
          <rPr>
            <b/>
            <sz val="9"/>
            <color indexed="81"/>
            <rFont val="Tahoma"/>
            <family val="2"/>
          </rPr>
          <t>Hussain, Danyal (Research):</t>
        </r>
        <r>
          <rPr>
            <sz val="9"/>
            <color indexed="81"/>
            <rFont val="Tahoma"/>
            <family val="2"/>
          </rPr>
          <t xml:space="preserve">
Assume some EBAY impact begins here. 30bps on 7% of total TPV</t>
        </r>
      </text>
    </comment>
    <comment ref="A40" authorId="0">
      <text>
        <r>
          <rPr>
            <b/>
            <sz val="9"/>
            <color indexed="81"/>
            <rFont val="Tahoma"/>
            <family val="2"/>
          </rPr>
          <t>Hussain, Danyal (Research):</t>
        </r>
        <r>
          <rPr>
            <sz val="9"/>
            <color indexed="81"/>
            <rFont val="Tahoma"/>
            <family val="2"/>
          </rPr>
          <t xml:space="preserve">
Cash flow hedges recognized in net rev.</t>
        </r>
      </text>
    </comment>
    <comment ref="AQ40" authorId="0">
      <text>
        <r>
          <rPr>
            <b/>
            <sz val="9"/>
            <color indexed="81"/>
            <rFont val="Tahoma"/>
            <family val="2"/>
          </rPr>
          <t>Hussain, Danyal (Research):</t>
        </r>
        <r>
          <rPr>
            <sz val="9"/>
            <color indexed="81"/>
            <rFont val="Tahoma"/>
            <family val="2"/>
          </rPr>
          <t xml:space="preserve">
10Q</t>
        </r>
      </text>
    </comment>
    <comment ref="AR40" authorId="0">
      <text>
        <r>
          <rPr>
            <b/>
            <sz val="9"/>
            <color indexed="81"/>
            <rFont val="Tahoma"/>
            <family val="2"/>
          </rPr>
          <t>Hussain, Danyal (Research):</t>
        </r>
        <r>
          <rPr>
            <sz val="9"/>
            <color indexed="81"/>
            <rFont val="Tahoma"/>
            <family val="2"/>
          </rPr>
          <t xml:space="preserve">
10Q</t>
        </r>
      </text>
    </comment>
    <comment ref="AS40" authorId="0">
      <text>
        <r>
          <rPr>
            <b/>
            <sz val="9"/>
            <color indexed="81"/>
            <rFont val="Tahoma"/>
            <family val="2"/>
          </rPr>
          <t>Hussain, Danyal (Research):</t>
        </r>
        <r>
          <rPr>
            <sz val="9"/>
            <color indexed="81"/>
            <rFont val="Tahoma"/>
            <family val="2"/>
          </rPr>
          <t xml:space="preserve">
10Q</t>
        </r>
      </text>
    </comment>
    <comment ref="AV40" authorId="0">
      <text>
        <r>
          <rPr>
            <b/>
            <sz val="9"/>
            <color indexed="81"/>
            <rFont val="Tahoma"/>
            <family val="2"/>
          </rPr>
          <t>Hussain, Danyal (Research):</t>
        </r>
        <r>
          <rPr>
            <sz val="9"/>
            <color indexed="81"/>
            <rFont val="Tahoma"/>
            <family val="2"/>
          </rPr>
          <t xml:space="preserve">
10Q</t>
        </r>
      </text>
    </comment>
    <comment ref="AW40" authorId="0">
      <text>
        <r>
          <rPr>
            <b/>
            <sz val="9"/>
            <color indexed="81"/>
            <rFont val="Tahoma"/>
            <family val="2"/>
          </rPr>
          <t>Hussain, Danyal (Research):</t>
        </r>
        <r>
          <rPr>
            <sz val="9"/>
            <color indexed="81"/>
            <rFont val="Tahoma"/>
            <family val="2"/>
          </rPr>
          <t xml:space="preserve">
10Q</t>
        </r>
      </text>
    </comment>
    <comment ref="AX40" authorId="0">
      <text>
        <r>
          <rPr>
            <b/>
            <sz val="9"/>
            <color indexed="81"/>
            <rFont val="Tahoma"/>
            <family val="2"/>
          </rPr>
          <t>Hussain, Danyal (Research):</t>
        </r>
        <r>
          <rPr>
            <sz val="9"/>
            <color indexed="81"/>
            <rFont val="Tahoma"/>
            <family val="2"/>
          </rPr>
          <t xml:space="preserve">
10Q</t>
        </r>
      </text>
    </comment>
    <comment ref="AY40" authorId="0">
      <text>
        <r>
          <rPr>
            <b/>
            <sz val="9"/>
            <color indexed="81"/>
            <rFont val="Tahoma"/>
            <family val="2"/>
          </rPr>
          <t>Hussain, Danyal (Research):</t>
        </r>
        <r>
          <rPr>
            <sz val="9"/>
            <color indexed="81"/>
            <rFont val="Tahoma"/>
            <family val="2"/>
          </rPr>
          <t xml:space="preserve">
65mn in gains yet to be realized on 3Q15 Balance Sheet.</t>
        </r>
      </text>
    </comment>
    <comment ref="AW41" authorId="0">
      <text>
        <r>
          <rPr>
            <b/>
            <sz val="9"/>
            <color indexed="81"/>
            <rFont val="Tahoma"/>
            <family val="2"/>
          </rPr>
          <t>Hussain, Danyal (Research):</t>
        </r>
        <r>
          <rPr>
            <sz val="9"/>
            <color indexed="81"/>
            <rFont val="Tahoma"/>
            <family val="2"/>
          </rPr>
          <t xml:space="preserve">
80 per mgmt.</t>
        </r>
      </text>
    </comment>
    <comment ref="AX41" authorId="0">
      <text>
        <r>
          <rPr>
            <b/>
            <sz val="9"/>
            <color indexed="81"/>
            <rFont val="Tahoma"/>
            <family val="2"/>
          </rPr>
          <t>Hussain, Danyal (Research):</t>
        </r>
        <r>
          <rPr>
            <sz val="9"/>
            <color indexed="81"/>
            <rFont val="Tahoma"/>
            <family val="2"/>
          </rPr>
          <t xml:space="preserve">
55 per mgmt.</t>
        </r>
      </text>
    </comment>
    <comment ref="AY41" authorId="0">
      <text>
        <r>
          <rPr>
            <b/>
            <sz val="9"/>
            <color indexed="81"/>
            <rFont val="Tahoma"/>
            <family val="2"/>
          </rPr>
          <t>Hussain, Danyal (Research):</t>
        </r>
        <r>
          <rPr>
            <sz val="9"/>
            <color indexed="81"/>
            <rFont val="Tahoma"/>
            <family val="2"/>
          </rPr>
          <t xml:space="preserve">
~30 per co.</t>
        </r>
      </text>
    </comment>
    <comment ref="A45" authorId="0">
      <text>
        <r>
          <rPr>
            <sz val="9"/>
            <color indexed="81"/>
            <rFont val="Tahoma"/>
            <family val="2"/>
          </rPr>
          <t>Net transaction fees charged to consumers and merchants based on the volume of activity processed through our Payments Platform, including PayPal, PayPal Credit, Venmo and Braintree products.</t>
        </r>
      </text>
    </comment>
    <comment ref="AV45" authorId="1">
      <text>
        <r>
          <rPr>
            <b/>
            <sz val="9"/>
            <color indexed="81"/>
            <rFont val="Tahoma"/>
            <family val="2"/>
          </rPr>
          <t>Govil, Vasundhara (Research):</t>
        </r>
        <r>
          <rPr>
            <sz val="9"/>
            <color indexed="81"/>
            <rFont val="Tahoma"/>
            <family val="2"/>
          </rPr>
          <t xml:space="preserve">
$3mn adjustment for lower txn revs from eBay as a result of certain commercial agreements negotiated b/w the parties that stipulate lower txn fees than historically charged to ebay</t>
        </r>
      </text>
    </comment>
    <comment ref="BC47" authorId="0">
      <text>
        <r>
          <rPr>
            <b/>
            <sz val="9"/>
            <color indexed="81"/>
            <rFont val="Tahoma"/>
            <family val="2"/>
          </rPr>
          <t>Hussain, Danyal (Research):</t>
        </r>
        <r>
          <rPr>
            <sz val="9"/>
            <color indexed="81"/>
            <rFont val="Tahoma"/>
            <family val="2"/>
          </rPr>
          <t xml:space="preserve">
"driven by large merchant growth
in core and Braintree"</t>
        </r>
      </text>
    </comment>
    <comment ref="A49" authorId="0">
      <text>
        <r>
          <rPr>
            <b/>
            <sz val="9"/>
            <color indexed="81"/>
            <rFont val="Tahoma"/>
            <family val="2"/>
          </rPr>
          <t xml:space="preserve">Includes:
</t>
        </r>
        <r>
          <rPr>
            <sz val="9"/>
            <color indexed="81"/>
            <rFont val="Tahoma"/>
            <family val="2"/>
          </rPr>
          <t>- Interest/fees on PayPal credit
- Subscription fees
- Gateway fees
- Rev share from partnerships and "other services"</t>
        </r>
      </text>
    </comment>
    <comment ref="AX49" authorId="0">
      <text>
        <r>
          <rPr>
            <b/>
            <sz val="9"/>
            <color indexed="81"/>
            <rFont val="Tahoma"/>
            <family val="2"/>
          </rPr>
          <t>Hussain, Danyal (Research):</t>
        </r>
        <r>
          <rPr>
            <sz val="9"/>
            <color indexed="81"/>
            <rFont val="Tahoma"/>
            <family val="2"/>
          </rPr>
          <t xml:space="preserve">
Some benefit from
Amended agreement from Syncrhony. Will now be quarterly revenue instead of 2Q. No longer requires us to buy the $1bn credit portfolio next year.
Includes $37mn from Synchrony, 25% of which is one-time. We assume $28mn going forward</t>
        </r>
      </text>
    </comment>
    <comment ref="BI49" authorId="0">
      <text>
        <r>
          <rPr>
            <b/>
            <sz val="9"/>
            <color indexed="81"/>
            <rFont val="Tahoma"/>
            <family val="2"/>
          </rPr>
          <t>Hussain, Danyal (Research):</t>
        </r>
        <r>
          <rPr>
            <sz val="9"/>
            <color indexed="81"/>
            <rFont val="Tahoma"/>
            <family val="2"/>
          </rPr>
          <t xml:space="preserve">
Changing reporting to AFS, no longer recording 25mn in interest income reserve as contra</t>
        </r>
      </text>
    </comment>
    <comment ref="BK49" authorId="1">
      <text>
        <r>
          <rPr>
            <b/>
            <sz val="9"/>
            <color indexed="81"/>
            <rFont val="Tahoma"/>
            <family val="2"/>
          </rPr>
          <t>Govil, Vasundhara (Research):</t>
        </r>
        <r>
          <rPr>
            <sz val="9"/>
            <color indexed="81"/>
            <rFont val="Tahoma"/>
            <family val="2"/>
          </rPr>
          <t xml:space="preserve">
$38mn benefit from not realizing reserves on interest receivables</t>
        </r>
      </text>
    </comment>
    <comment ref="BM49" authorId="0">
      <text>
        <r>
          <rPr>
            <b/>
            <sz val="9"/>
            <color indexed="81"/>
            <rFont val="Tahoma"/>
            <family val="2"/>
          </rPr>
          <t>Hussain, Danyal (Research):</t>
        </r>
        <r>
          <rPr>
            <sz val="9"/>
            <color indexed="81"/>
            <rFont val="Tahoma"/>
            <family val="2"/>
          </rPr>
          <t xml:space="preserve">
No longer recognizing interest income on consumer credit portfolio</t>
        </r>
      </text>
    </comment>
    <comment ref="BO49" authorId="1">
      <text>
        <r>
          <rPr>
            <b/>
            <sz val="9"/>
            <color indexed="81"/>
            <rFont val="Tahoma"/>
            <family val="2"/>
          </rPr>
          <t>Govil, Vasundhara (Research):</t>
        </r>
        <r>
          <rPr>
            <sz val="9"/>
            <color indexed="81"/>
            <rFont val="Tahoma"/>
            <family val="2"/>
          </rPr>
          <t xml:space="preserve">
Total revenue impact of $455mn = 3.5% of 2017revs </t>
        </r>
      </text>
    </comment>
    <comment ref="AP50" authorId="0">
      <text>
        <r>
          <rPr>
            <b/>
            <sz val="9"/>
            <color indexed="81"/>
            <rFont val="Tahoma"/>
            <family val="2"/>
          </rPr>
          <t>Hussain, Danyal (Research):</t>
        </r>
        <r>
          <rPr>
            <sz val="9"/>
            <color indexed="81"/>
            <rFont val="Tahoma"/>
            <family val="2"/>
          </rPr>
          <t xml:space="preserve">
Increase in credit product revs, decrease in rev share from partnerships and other services.</t>
        </r>
      </text>
    </comment>
    <comment ref="BC51" authorId="0">
      <text>
        <r>
          <rPr>
            <b/>
            <sz val="9"/>
            <color indexed="81"/>
            <rFont val="Tahoma"/>
            <family val="2"/>
          </rPr>
          <t>Hussain, Danyal (Research):</t>
        </r>
        <r>
          <rPr>
            <sz val="9"/>
            <color indexed="81"/>
            <rFont val="Tahoma"/>
            <family val="2"/>
          </rPr>
          <t xml:space="preserve">
"Driven by credit products
</t>
        </r>
      </text>
    </comment>
    <comment ref="AW53" authorId="1">
      <text>
        <r>
          <rPr>
            <b/>
            <sz val="9"/>
            <color indexed="81"/>
            <rFont val="Tahoma"/>
            <family val="2"/>
          </rPr>
          <t>Govil, Vasundhara (Research):</t>
        </r>
        <r>
          <rPr>
            <sz val="9"/>
            <color indexed="81"/>
            <rFont val="Tahoma"/>
            <family val="2"/>
          </rPr>
          <t xml:space="preserve">
tough comp offset by sale of US receivables</t>
        </r>
      </text>
    </comment>
    <comment ref="BB53" authorId="0">
      <text>
        <r>
          <rPr>
            <b/>
            <sz val="9"/>
            <color indexed="81"/>
            <rFont val="Tahoma"/>
            <family val="2"/>
          </rPr>
          <t>Hussain, Danyal (Research):</t>
        </r>
        <r>
          <rPr>
            <sz val="9"/>
            <color indexed="81"/>
            <rFont val="Tahoma"/>
            <family val="2"/>
          </rPr>
          <t xml:space="preserve">
Subtracting 84mn from change in synchrony deal</t>
        </r>
      </text>
    </comment>
    <comment ref="AX68" authorId="0">
      <text>
        <r>
          <rPr>
            <b/>
            <sz val="9"/>
            <color indexed="81"/>
            <rFont val="Tahoma"/>
            <family val="2"/>
          </rPr>
          <t>Hussain, Danyal (Research):</t>
        </r>
        <r>
          <rPr>
            <sz val="9"/>
            <color indexed="81"/>
            <rFont val="Tahoma"/>
            <family val="2"/>
          </rPr>
          <t xml:space="preserve">
68mn US.</t>
        </r>
      </text>
    </comment>
    <comment ref="AY68" authorId="0">
      <text>
        <r>
          <rPr>
            <b/>
            <sz val="9"/>
            <color indexed="81"/>
            <rFont val="Tahoma"/>
            <family val="2"/>
          </rPr>
          <t>Hussain, Danyal (Research):</t>
        </r>
        <r>
          <rPr>
            <sz val="9"/>
            <color indexed="81"/>
            <rFont val="Tahoma"/>
            <family val="2"/>
          </rPr>
          <t xml:space="preserve">
1.6mn from Xoom.</t>
        </r>
      </text>
    </comment>
    <comment ref="BG68" authorId="0">
      <text>
        <r>
          <rPr>
            <b/>
            <sz val="9"/>
            <color indexed="81"/>
            <rFont val="Tahoma"/>
            <family val="2"/>
          </rPr>
          <t>Hussain, Danyal (Research):</t>
        </r>
        <r>
          <rPr>
            <sz val="9"/>
            <color indexed="81"/>
            <rFont val="Tahoma"/>
            <family val="2"/>
          </rPr>
          <t xml:space="preserve">
includes 17M
merchant accounts
</t>
        </r>
      </text>
    </comment>
    <comment ref="AU74" authorId="0">
      <text>
        <r>
          <rPr>
            <b/>
            <sz val="9"/>
            <color indexed="81"/>
            <rFont val="Tahoma"/>
            <family val="2"/>
          </rPr>
          <t>Hussain, Danyal (Research):</t>
        </r>
        <r>
          <rPr>
            <sz val="9"/>
            <color indexed="81"/>
            <rFont val="Tahoma"/>
            <family val="2"/>
          </rPr>
          <t xml:space="preserve">
"Nearly 1bn" were mobile.</t>
        </r>
      </text>
    </comment>
    <comment ref="AX75" authorId="0">
      <text>
        <r>
          <rPr>
            <b/>
            <sz val="9"/>
            <color indexed="81"/>
            <rFont val="Tahoma"/>
            <family val="2"/>
          </rPr>
          <t>Hussain, Danyal (Research):</t>
        </r>
        <r>
          <rPr>
            <sz val="9"/>
            <color indexed="81"/>
            <rFont val="Tahoma"/>
            <family val="2"/>
          </rPr>
          <t xml:space="preserve">
Driven by media, travel, and __ verticals.</t>
        </r>
      </text>
    </comment>
    <comment ref="AX83" authorId="0">
      <text>
        <r>
          <rPr>
            <b/>
            <sz val="9"/>
            <color indexed="81"/>
            <rFont val="Tahoma"/>
            <family val="2"/>
          </rPr>
          <t>Hussain, Danyal (Research):</t>
        </r>
        <r>
          <rPr>
            <sz val="9"/>
            <color indexed="81"/>
            <rFont val="Tahoma"/>
            <family val="2"/>
          </rPr>
          <t xml:space="preserve">
50% of IR500 companies.
Rolling out to 16 countries.</t>
        </r>
      </text>
    </comment>
    <comment ref="A89" authorId="0">
      <text>
        <r>
          <rPr>
            <sz val="9"/>
            <color indexed="81"/>
            <rFont val="Tahoma"/>
            <family val="2"/>
          </rPr>
          <t xml:space="preserve">We define large merchants as merchants who have generated TPV greater than $1.2 million in the last 12 months. </t>
        </r>
      </text>
    </comment>
    <comment ref="AU90" authorId="0">
      <text>
        <r>
          <rPr>
            <b/>
            <sz val="9"/>
            <color indexed="81"/>
            <rFont val="Tahoma"/>
            <family val="2"/>
          </rPr>
          <t>Hussain, Danyal (Research):</t>
        </r>
        <r>
          <rPr>
            <sz val="9"/>
            <color indexed="81"/>
            <rFont val="Tahoma"/>
            <family val="2"/>
          </rPr>
          <t xml:space="preserve">
Approx 2% in 2014, 2013, and 2012.</t>
        </r>
      </text>
    </comment>
    <comment ref="AY92" authorId="0">
      <text>
        <r>
          <rPr>
            <b/>
            <sz val="9"/>
            <color indexed="81"/>
            <rFont val="Tahoma"/>
            <family val="2"/>
          </rPr>
          <t>Hussain, Danyal (Research):</t>
        </r>
        <r>
          <rPr>
            <sz val="9"/>
            <color indexed="81"/>
            <rFont val="Tahoma"/>
            <family val="2"/>
          </rPr>
          <t xml:space="preserve">
25% of TPV for the quarter. Up 45% YoY./</t>
        </r>
      </text>
    </comment>
    <comment ref="AU93" authorId="0">
      <text>
        <r>
          <rPr>
            <b/>
            <sz val="9"/>
            <color indexed="81"/>
            <rFont val="Tahoma"/>
            <family val="2"/>
          </rPr>
          <t>Hussain, Danyal (Research):</t>
        </r>
        <r>
          <rPr>
            <sz val="9"/>
            <color indexed="81"/>
            <rFont val="Tahoma"/>
            <family val="2"/>
          </rPr>
          <t xml:space="preserve">
21%</t>
        </r>
      </text>
    </comment>
    <comment ref="AZ93" authorId="0">
      <text>
        <r>
          <rPr>
            <b/>
            <sz val="9"/>
            <color indexed="81"/>
            <rFont val="Tahoma"/>
            <family val="2"/>
          </rPr>
          <t>Hussain, Danyal (Research):</t>
        </r>
        <r>
          <rPr>
            <sz val="9"/>
            <color indexed="81"/>
            <rFont val="Tahoma"/>
            <family val="2"/>
          </rPr>
          <t xml:space="preserve">
"25%"</t>
        </r>
      </text>
    </comment>
    <comment ref="AZ94" authorId="0">
      <text>
        <r>
          <rPr>
            <b/>
            <sz val="9"/>
            <color indexed="81"/>
            <rFont val="Tahoma"/>
            <family val="2"/>
          </rPr>
          <t>Hussain, Danyal (Research):</t>
        </r>
        <r>
          <rPr>
            <sz val="9"/>
            <color indexed="81"/>
            <rFont val="Tahoma"/>
            <family val="2"/>
          </rPr>
          <t xml:space="preserve">
"Almost 30%"</t>
        </r>
      </text>
    </comment>
    <comment ref="A96" authorId="0">
      <text>
        <r>
          <rPr>
            <b/>
            <sz val="9"/>
            <color indexed="81"/>
            <rFont val="Tahoma"/>
            <family val="2"/>
          </rPr>
          <t>Hussain, Danyal (Research):</t>
        </r>
        <r>
          <rPr>
            <sz val="9"/>
            <color indexed="81"/>
            <rFont val="Tahoma"/>
            <family val="2"/>
          </rPr>
          <t xml:space="preserve">
Uber, AirBnb, and 90k other merchants in 46 countries.</t>
        </r>
      </text>
    </comment>
    <comment ref="AP96" authorId="0">
      <text>
        <r>
          <rPr>
            <b/>
            <sz val="9"/>
            <color indexed="81"/>
            <rFont val="Tahoma"/>
            <family val="2"/>
          </rPr>
          <t>Hussain, Danyal (Research):</t>
        </r>
        <r>
          <rPr>
            <sz val="9"/>
            <color indexed="81"/>
            <rFont val="Tahoma"/>
            <family val="2"/>
          </rPr>
          <t xml:space="preserve">
$12bn Authorized Payment Volume</t>
        </r>
      </text>
    </comment>
    <comment ref="AQ96" authorId="0">
      <text>
        <r>
          <rPr>
            <b/>
            <sz val="9"/>
            <color indexed="81"/>
            <rFont val="Tahoma"/>
            <family val="2"/>
          </rPr>
          <t>Hussain, Danyal (Research):</t>
        </r>
        <r>
          <rPr>
            <sz val="9"/>
            <color indexed="81"/>
            <rFont val="Tahoma"/>
            <family val="2"/>
          </rPr>
          <t xml:space="preserve">
56.5M card on file</t>
        </r>
      </text>
    </comment>
    <comment ref="AT96" authorId="0">
      <text>
        <r>
          <rPr>
            <b/>
            <sz val="9"/>
            <color indexed="81"/>
            <rFont val="Tahoma"/>
            <family val="2"/>
          </rPr>
          <t>Hussain, Danyal (Research):</t>
        </r>
        <r>
          <rPr>
            <sz val="9"/>
            <color indexed="81"/>
            <rFont val="Tahoma"/>
            <family val="2"/>
          </rPr>
          <t xml:space="preserve">
Estimated based on company's disclosure that it contributed 6% to TPV growth.</t>
        </r>
      </text>
    </comment>
    <comment ref="AU96" authorId="0">
      <text>
        <r>
          <rPr>
            <b/>
            <sz val="9"/>
            <color indexed="81"/>
            <rFont val="Tahoma"/>
            <family val="2"/>
          </rPr>
          <t>Hussain, Danyal (Research):</t>
        </r>
        <r>
          <rPr>
            <sz val="9"/>
            <color indexed="81"/>
            <rFont val="Tahoma"/>
            <family val="2"/>
          </rPr>
          <t xml:space="preserve">
$23bn Authorized Payment Volume</t>
        </r>
      </text>
    </comment>
    <comment ref="AW96" authorId="0">
      <text>
        <r>
          <rPr>
            <b/>
            <sz val="9"/>
            <color indexed="81"/>
            <rFont val="Tahoma"/>
            <family val="2"/>
          </rPr>
          <t>Hussain, Danyal (Research):</t>
        </r>
        <r>
          <rPr>
            <sz val="9"/>
            <color indexed="81"/>
            <rFont val="Tahoma"/>
            <family val="2"/>
          </rPr>
          <t xml:space="preserve">
Sept 17, 2015: now has 154mm consumer credit cards on file, or 273% of the 56.4mm cards it had on file in 1Q14.Braintree has more than $50bn in authorized payment volume (APV) in 2015, more than double its $23bn in APV in 2014 and more than four times its $12bn in APV in 2013.
154mn cards on file
Onetouch available to more than 50% of merchants.</t>
        </r>
      </text>
    </comment>
    <comment ref="AX96" authorId="0">
      <text>
        <r>
          <rPr>
            <b/>
            <sz val="9"/>
            <color indexed="81"/>
            <rFont val="Tahoma"/>
            <family val="2"/>
          </rPr>
          <t>Hussain, Danyal (Research):</t>
        </r>
        <r>
          <rPr>
            <sz val="9"/>
            <color indexed="81"/>
            <rFont val="Tahoma"/>
            <family val="2"/>
          </rPr>
          <t xml:space="preserve">
Now 185mn cards on file. Quadrupled volume YoY.</t>
        </r>
      </text>
    </comment>
    <comment ref="AQ97" authorId="0">
      <text>
        <r>
          <rPr>
            <b/>
            <sz val="9"/>
            <color indexed="81"/>
            <rFont val="Tahoma"/>
            <family val="2"/>
          </rPr>
          <t>Hussain, Danyal (Research):</t>
        </r>
        <r>
          <rPr>
            <sz val="9"/>
            <color indexed="81"/>
            <rFont val="Tahoma"/>
            <family val="2"/>
          </rPr>
          <t xml:space="preserve">
"payment volume grew 24.6% quarter over quarter in the first quarter of 2014"</t>
        </r>
      </text>
    </comment>
    <comment ref="AW98" authorId="0">
      <text>
        <r>
          <rPr>
            <b/>
            <sz val="9"/>
            <color indexed="81"/>
            <rFont val="Tahoma"/>
            <family val="2"/>
          </rPr>
          <t>Hussain, Danyal (Research):</t>
        </r>
        <r>
          <rPr>
            <sz val="9"/>
            <color indexed="81"/>
            <rFont val="Tahoma"/>
            <family val="2"/>
          </rPr>
          <t xml:space="preserve">
1.6bn per mgmt.</t>
        </r>
      </text>
    </comment>
    <comment ref="AU99" authorId="0">
      <text>
        <r>
          <rPr>
            <b/>
            <sz val="9"/>
            <color indexed="81"/>
            <rFont val="Tahoma"/>
            <family val="2"/>
          </rPr>
          <t>Hussain, Danyal (Research):</t>
        </r>
        <r>
          <rPr>
            <sz val="9"/>
            <color indexed="81"/>
            <rFont val="Tahoma"/>
            <family val="2"/>
          </rPr>
          <t xml:space="preserve">
"Grew six-fold last year"</t>
        </r>
      </text>
    </comment>
    <comment ref="AW99" authorId="0">
      <text>
        <r>
          <rPr>
            <b/>
            <sz val="9"/>
            <color indexed="81"/>
            <rFont val="Tahoma"/>
            <family val="2"/>
          </rPr>
          <t>Hussain, Danyal (Research):</t>
        </r>
        <r>
          <rPr>
            <sz val="9"/>
            <color indexed="81"/>
            <rFont val="Tahoma"/>
            <family val="2"/>
          </rPr>
          <t xml:space="preserve">
Disclosed in 2Q EBAY call.</t>
        </r>
      </text>
    </comment>
    <comment ref="A101" authorId="0">
      <text>
        <r>
          <rPr>
            <b/>
            <sz val="9"/>
            <color indexed="81"/>
            <rFont val="Tahoma"/>
            <family val="2"/>
          </rPr>
          <t>Hussain, Danyal (Research):</t>
        </r>
        <r>
          <rPr>
            <sz val="9"/>
            <color indexed="81"/>
            <rFont val="Tahoma"/>
            <family val="2"/>
          </rPr>
          <t xml:space="preserve">
Seems to include Braintree and Venmo, but not Ebay and Xoom</t>
        </r>
      </text>
    </comment>
    <comment ref="BD101" authorId="0">
      <text>
        <r>
          <rPr>
            <b/>
            <sz val="9"/>
            <color indexed="81"/>
            <rFont val="Tahoma"/>
            <family val="2"/>
          </rPr>
          <t>Hussain, Danyal (Research):</t>
        </r>
        <r>
          <rPr>
            <sz val="9"/>
            <color indexed="81"/>
            <rFont val="Tahoma"/>
            <family val="2"/>
          </rPr>
          <t xml:space="preserve">
84% of total</t>
        </r>
      </text>
    </comment>
    <comment ref="AY102" authorId="0">
      <text>
        <r>
          <rPr>
            <b/>
            <sz val="9"/>
            <color indexed="81"/>
            <rFont val="Tahoma"/>
            <family val="2"/>
          </rPr>
          <t>Hussain, Danyal (Research):</t>
        </r>
        <r>
          <rPr>
            <sz val="9"/>
            <color indexed="81"/>
            <rFont val="Tahoma"/>
            <family val="2"/>
          </rPr>
          <t xml:space="preserve">
81% of total TPV</t>
        </r>
      </text>
    </comment>
    <comment ref="BB102" authorId="0">
      <text>
        <r>
          <rPr>
            <b/>
            <sz val="9"/>
            <color indexed="81"/>
            <rFont val="Tahoma"/>
            <family val="2"/>
          </rPr>
          <t>Hussain, Danyal (Research):</t>
        </r>
        <r>
          <rPr>
            <sz val="9"/>
            <color indexed="81"/>
            <rFont val="Tahoma"/>
            <family val="2"/>
          </rPr>
          <t xml:space="preserve">
FXN. 83% of total</t>
        </r>
      </text>
    </comment>
    <comment ref="BC102" authorId="0">
      <text>
        <r>
          <rPr>
            <b/>
            <sz val="9"/>
            <color indexed="81"/>
            <rFont val="Tahoma"/>
            <family val="2"/>
          </rPr>
          <t>Hussain, Danyal (Research):</t>
        </r>
        <r>
          <rPr>
            <sz val="9"/>
            <color indexed="81"/>
            <rFont val="Tahoma"/>
            <family val="2"/>
          </rPr>
          <t xml:space="preserve">
FXN
$73bn</t>
        </r>
      </text>
    </comment>
    <comment ref="BD102" authorId="0">
      <text>
        <r>
          <rPr>
            <b/>
            <sz val="9"/>
            <color indexed="81"/>
            <rFont val="Tahoma"/>
            <family val="2"/>
          </rPr>
          <t>Hussain, Danyal (Research):</t>
        </r>
        <r>
          <rPr>
            <sz val="9"/>
            <color indexed="81"/>
            <rFont val="Tahoma"/>
            <family val="2"/>
          </rPr>
          <t xml:space="preserve">
27% reported</t>
        </r>
      </text>
    </comment>
    <comment ref="BE106" authorId="0">
      <text>
        <r>
          <rPr>
            <b/>
            <sz val="9"/>
            <color indexed="81"/>
            <rFont val="Tahoma"/>
            <family val="2"/>
          </rPr>
          <t>Hussain, Danyal (Research):</t>
        </r>
        <r>
          <rPr>
            <sz val="9"/>
            <color indexed="81"/>
            <rFont val="Tahoma"/>
            <family val="2"/>
          </rPr>
          <t xml:space="preserve">
Up 5_% for the year</t>
        </r>
      </text>
    </comment>
    <comment ref="A109" authorId="0">
      <text>
        <r>
          <rPr>
            <b/>
            <sz val="9"/>
            <color indexed="81"/>
            <rFont val="Tahoma"/>
            <family val="2"/>
          </rPr>
          <t>Hussain, Danyal (Research):</t>
        </r>
        <r>
          <rPr>
            <sz val="9"/>
            <color indexed="81"/>
            <rFont val="Tahoma"/>
            <family val="2"/>
          </rPr>
          <t xml:space="preserve">
Loans of $1k to $85k.</t>
        </r>
      </text>
    </comment>
    <comment ref="AX109" authorId="0">
      <text>
        <r>
          <rPr>
            <b/>
            <sz val="9"/>
            <color indexed="81"/>
            <rFont val="Tahoma"/>
            <family val="2"/>
          </rPr>
          <t>Hussain, Danyal (Research):</t>
        </r>
        <r>
          <rPr>
            <sz val="9"/>
            <color indexed="81"/>
            <rFont val="Tahoma"/>
            <family val="2"/>
          </rPr>
          <t xml:space="preserve">
60k merchants in US, UK, and Australia.</t>
        </r>
      </text>
    </comment>
    <comment ref="AX114" authorId="0">
      <text>
        <r>
          <rPr>
            <b/>
            <sz val="9"/>
            <color indexed="81"/>
            <rFont val="Tahoma"/>
            <family val="2"/>
          </rPr>
          <t>Hussain, Danyal (Research):</t>
        </r>
        <r>
          <rPr>
            <sz val="9"/>
            <color indexed="81"/>
            <rFont val="Tahoma"/>
            <family val="2"/>
          </rPr>
          <t xml:space="preserve">
Driven by Braintree and Venmo and Merchant </t>
        </r>
      </text>
    </comment>
    <comment ref="AX119" authorId="0">
      <text>
        <r>
          <rPr>
            <b/>
            <sz val="9"/>
            <color indexed="81"/>
            <rFont val="Tahoma"/>
            <family val="2"/>
          </rPr>
          <t>Hussain, Danyal (Research):</t>
        </r>
        <r>
          <rPr>
            <sz val="9"/>
            <color indexed="81"/>
            <rFont val="Tahoma"/>
            <family val="2"/>
          </rPr>
          <t xml:space="preserve">
25% ex-FX</t>
        </r>
      </text>
    </comment>
    <comment ref="A123" authorId="0">
      <text>
        <r>
          <rPr>
            <b/>
            <sz val="9"/>
            <color indexed="81"/>
            <rFont val="Tahoma"/>
            <family val="2"/>
          </rPr>
          <t>Hussain, Danyal (Research):</t>
        </r>
        <r>
          <rPr>
            <sz val="9"/>
            <color indexed="81"/>
            <rFont val="Tahoma"/>
            <family val="2"/>
          </rPr>
          <t xml:space="preserve">
Involves a merchant outside the US.</t>
        </r>
      </text>
    </comment>
    <comment ref="AQ123" authorId="0">
      <text>
        <r>
          <rPr>
            <b/>
            <sz val="9"/>
            <color indexed="81"/>
            <rFont val="Tahoma"/>
            <family val="2"/>
          </rPr>
          <t>Hussain, Danyal (Research):</t>
        </r>
        <r>
          <rPr>
            <sz val="9"/>
            <color indexed="81"/>
            <rFont val="Tahoma"/>
            <family val="2"/>
          </rPr>
          <t xml:space="preserve">
UK 14%</t>
        </r>
      </text>
    </comment>
    <comment ref="AU123" authorId="0">
      <text>
        <r>
          <rPr>
            <b/>
            <sz val="9"/>
            <color indexed="81"/>
            <rFont val="Tahoma"/>
            <family val="2"/>
          </rPr>
          <t>Hussain, Danyal (Research):</t>
        </r>
        <r>
          <rPr>
            <sz val="9"/>
            <color indexed="81"/>
            <rFont val="Tahoma"/>
            <family val="2"/>
          </rPr>
          <t xml:space="preserve">
International generated a "majority of net revenues in recent years". Esp UK, Germany/EU, and China.</t>
        </r>
      </text>
    </comment>
    <comment ref="AV123" authorId="0">
      <text>
        <r>
          <rPr>
            <b/>
            <sz val="9"/>
            <color indexed="81"/>
            <rFont val="Tahoma"/>
            <family val="2"/>
          </rPr>
          <t>Hussain, Danyal (Research):</t>
        </r>
        <r>
          <rPr>
            <sz val="9"/>
            <color indexed="81"/>
            <rFont val="Tahoma"/>
            <family val="2"/>
          </rPr>
          <t xml:space="preserve">
UK 13%</t>
        </r>
      </text>
    </comment>
    <comment ref="BB123" authorId="0">
      <text>
        <r>
          <rPr>
            <b/>
            <sz val="9"/>
            <color indexed="81"/>
            <rFont val="Tahoma"/>
            <family val="2"/>
          </rPr>
          <t>Hussain, Danyal (Research):</t>
        </r>
        <r>
          <rPr>
            <sz val="9"/>
            <color indexed="81"/>
            <rFont val="Tahoma"/>
            <family val="2"/>
          </rPr>
          <t xml:space="preserve">
assumed</t>
        </r>
      </text>
    </comment>
    <comment ref="BC123" authorId="0">
      <text>
        <r>
          <rPr>
            <b/>
            <sz val="9"/>
            <color indexed="81"/>
            <rFont val="Tahoma"/>
            <family val="2"/>
          </rPr>
          <t>Hussain, Danyal (Research):</t>
        </r>
        <r>
          <rPr>
            <sz val="9"/>
            <color indexed="81"/>
            <rFont val="Tahoma"/>
            <family val="2"/>
          </rPr>
          <t xml:space="preserve">
55% of active accounts are
outside the US</t>
        </r>
      </text>
    </comment>
    <comment ref="A125" authorId="0">
      <text>
        <r>
          <rPr>
            <b/>
            <sz val="9"/>
            <color indexed="81"/>
            <rFont val="Tahoma"/>
            <family val="2"/>
          </rPr>
          <t>Hussain, Danyal (Research):</t>
        </r>
        <r>
          <rPr>
            <sz val="9"/>
            <color indexed="81"/>
            <rFont val="Tahoma"/>
            <family val="2"/>
          </rPr>
          <t xml:space="preserve">
"Cross-border transactions generally provide higher revenues and operating income than similar transactions that take place within a single country or market. Cross-border trade also represents our primary (or in some cases, only) presence in
certain important markets, such as China."</t>
        </r>
      </text>
    </comment>
    <comment ref="AV131" authorId="0">
      <text>
        <r>
          <rPr>
            <b/>
            <sz val="9"/>
            <color indexed="81"/>
            <rFont val="Tahoma"/>
            <family val="2"/>
          </rPr>
          <t>Hussain, Danyal (Research):</t>
        </r>
        <r>
          <rPr>
            <sz val="9"/>
            <color indexed="81"/>
            <rFont val="Tahoma"/>
            <family val="2"/>
          </rPr>
          <t xml:space="preserve">
20% ex FX</t>
        </r>
      </text>
    </comment>
    <comment ref="AW131" authorId="0">
      <text>
        <r>
          <rPr>
            <b/>
            <sz val="9"/>
            <color indexed="81"/>
            <rFont val="Tahoma"/>
            <family val="2"/>
          </rPr>
          <t>Hussain, Danyal (Research):</t>
        </r>
        <r>
          <rPr>
            <sz val="9"/>
            <color indexed="81"/>
            <rFont val="Tahoma"/>
            <family val="2"/>
          </rPr>
          <t xml:space="preserve">
18% ex FX</t>
        </r>
      </text>
    </comment>
    <comment ref="AX131" authorId="0">
      <text>
        <r>
          <rPr>
            <b/>
            <sz val="9"/>
            <color indexed="81"/>
            <rFont val="Tahoma"/>
            <family val="2"/>
          </rPr>
          <t>Hussain, Danyal (Research):</t>
        </r>
        <r>
          <rPr>
            <sz val="9"/>
            <color indexed="81"/>
            <rFont val="Tahoma"/>
            <family val="2"/>
          </rPr>
          <t xml:space="preserve">
17% ex FX</t>
        </r>
      </text>
    </comment>
    <comment ref="AY131" authorId="0">
      <text>
        <r>
          <rPr>
            <b/>
            <sz val="9"/>
            <color indexed="81"/>
            <rFont val="Tahoma"/>
            <family val="2"/>
          </rPr>
          <t>Hussain, Danyal (Research):</t>
        </r>
        <r>
          <rPr>
            <sz val="9"/>
            <color indexed="81"/>
            <rFont val="Tahoma"/>
            <family val="2"/>
          </rPr>
          <t xml:space="preserve">
18% ex FX</t>
        </r>
      </text>
    </comment>
    <comment ref="BA131" authorId="0">
      <text>
        <r>
          <rPr>
            <b/>
            <sz val="9"/>
            <color indexed="81"/>
            <rFont val="Tahoma"/>
            <family val="2"/>
          </rPr>
          <t>Hussain, Danyal (Research):</t>
        </r>
        <r>
          <rPr>
            <sz val="9"/>
            <color indexed="81"/>
            <rFont val="Tahoma"/>
            <family val="2"/>
          </rPr>
          <t xml:space="preserve">
15% ex FX</t>
        </r>
      </text>
    </comment>
    <comment ref="BB131" authorId="0">
      <text>
        <r>
          <rPr>
            <b/>
            <sz val="9"/>
            <color indexed="81"/>
            <rFont val="Tahoma"/>
            <family val="2"/>
          </rPr>
          <t>Hussain, Danyal (Research):</t>
        </r>
        <r>
          <rPr>
            <sz val="9"/>
            <color indexed="81"/>
            <rFont val="Tahoma"/>
            <family val="2"/>
          </rPr>
          <t xml:space="preserve">
+18% FXN</t>
        </r>
      </text>
    </comment>
    <comment ref="BC131" authorId="0">
      <text>
        <r>
          <rPr>
            <b/>
            <sz val="9"/>
            <color indexed="81"/>
            <rFont val="Tahoma"/>
            <family val="2"/>
          </rPr>
          <t>Hussain, Danyal (Research):</t>
        </r>
        <r>
          <rPr>
            <sz val="9"/>
            <color indexed="81"/>
            <rFont val="Tahoma"/>
            <family val="2"/>
          </rPr>
          <t xml:space="preserve">
16</t>
        </r>
      </text>
    </comment>
    <comment ref="BD131" authorId="0">
      <text>
        <r>
          <rPr>
            <b/>
            <sz val="9"/>
            <color indexed="81"/>
            <rFont val="Tahoma"/>
            <family val="2"/>
          </rPr>
          <t>Hussain, Danyal (Research):</t>
        </r>
        <r>
          <rPr>
            <sz val="9"/>
            <color indexed="81"/>
            <rFont val="Tahoma"/>
            <family val="2"/>
          </rPr>
          <t xml:space="preserve">
17%</t>
        </r>
      </text>
    </comment>
    <comment ref="AX135" authorId="0">
      <text>
        <r>
          <rPr>
            <b/>
            <sz val="9"/>
            <color indexed="81"/>
            <rFont val="Tahoma"/>
            <family val="2"/>
          </rPr>
          <t>Hussain, Danyal (Research):</t>
        </r>
        <r>
          <rPr>
            <sz val="9"/>
            <color indexed="81"/>
            <rFont val="Tahoma"/>
            <family val="2"/>
          </rPr>
          <t xml:space="preserve">
17% CC</t>
        </r>
      </text>
    </comment>
    <comment ref="AP149" authorId="0">
      <text>
        <r>
          <rPr>
            <b/>
            <sz val="9"/>
            <color indexed="81"/>
            <rFont val="Tahoma"/>
            <family val="2"/>
          </rPr>
          <t>Hussain, Danyal (Research):</t>
        </r>
        <r>
          <rPr>
            <sz val="9"/>
            <color indexed="81"/>
            <rFont val="Tahoma"/>
            <family val="2"/>
          </rPr>
          <t xml:space="preserve">
Based on disclosed rev exposure to UK.</t>
        </r>
      </text>
    </comment>
    <comment ref="AP158" authorId="0">
      <text>
        <r>
          <rPr>
            <b/>
            <sz val="9"/>
            <color indexed="81"/>
            <rFont val="Tahoma"/>
            <family val="2"/>
          </rPr>
          <t>Hussain, Danyal (Research):</t>
        </r>
        <r>
          <rPr>
            <sz val="9"/>
            <color indexed="81"/>
            <rFont val="Tahoma"/>
            <family val="2"/>
          </rPr>
          <t xml:space="preserve">
Assumed</t>
        </r>
      </text>
    </comment>
    <comment ref="AP167" authorId="0">
      <text>
        <r>
          <rPr>
            <b/>
            <sz val="9"/>
            <color indexed="81"/>
            <rFont val="Tahoma"/>
            <family val="2"/>
          </rPr>
          <t>Hussain, Danyal (Research):</t>
        </r>
        <r>
          <rPr>
            <sz val="9"/>
            <color indexed="81"/>
            <rFont val="Tahoma"/>
            <family val="2"/>
          </rPr>
          <t xml:space="preserve">
Assumed</t>
        </r>
      </text>
    </comment>
    <comment ref="AU174" authorId="0">
      <text>
        <r>
          <rPr>
            <b/>
            <sz val="9"/>
            <color indexed="81"/>
            <rFont val="Tahoma"/>
            <family val="2"/>
          </rPr>
          <t>Hussain, Danyal (Research):</t>
        </r>
        <r>
          <rPr>
            <sz val="9"/>
            <color indexed="81"/>
            <rFont val="Tahoma"/>
            <family val="2"/>
          </rPr>
          <t xml:space="preserve">
In 2014, foreign currency movements relative to the U.S. dollar negatively impacted net revenues by approximately $58 million (inclusive of a $36 million negative impact from hedging activities). </t>
        </r>
      </text>
    </comment>
    <comment ref="A205" authorId="0">
      <text>
        <r>
          <rPr>
            <sz val="9"/>
            <color indexed="81"/>
            <rFont val="Tahoma"/>
            <family val="2"/>
          </rPr>
          <t>From EBAY filings.</t>
        </r>
      </text>
    </comment>
    <comment ref="A212" authorId="0">
      <text>
        <r>
          <rPr>
            <sz val="9"/>
            <color indexed="81"/>
            <rFont val="Tahoma"/>
            <family val="2"/>
          </rPr>
          <t>Total dollar volume of payments, net of payment reversals, successfully completed through our payments networks, including PayPal Credit, Venmo and payments processed though Braintree's full stack payments platform ; excludes PayPal's and Braintree's payment gateway businesses and payments for transactions on our Marketplaces platforms.</t>
        </r>
      </text>
    </comment>
    <comment ref="A226" authorId="0">
      <text>
        <r>
          <rPr>
            <sz val="9"/>
            <color indexed="81"/>
            <rFont val="Tahoma"/>
            <family val="2"/>
          </rPr>
          <t>Total value of all successfully closed transactions between users on Marketplaces platforms during the applicable period regardless of whether the buyer and seller actually consummated the transaction; excludes vehicles and real estate gross merchandise volume.</t>
        </r>
      </text>
    </comment>
    <comment ref="AQ226" authorId="0">
      <text>
        <r>
          <rPr>
            <b/>
            <sz val="9"/>
            <color indexed="81"/>
            <rFont val="Tahoma"/>
            <family val="2"/>
          </rPr>
          <t>Hussain, Danyal (Research):</t>
        </r>
        <r>
          <rPr>
            <sz val="9"/>
            <color indexed="81"/>
            <rFont val="Tahoma"/>
            <family val="2"/>
          </rPr>
          <t xml:space="preserve">
Braintree acquisition closed Dec 2013.</t>
        </r>
      </text>
    </comment>
    <comment ref="AT234" authorId="3">
      <text>
        <r>
          <rPr>
            <b/>
            <sz val="9"/>
            <color indexed="81"/>
            <rFont val="Tahoma"/>
            <family val="2"/>
          </rPr>
          <t>Costantini, Michael (Research):</t>
        </r>
        <r>
          <rPr>
            <sz val="9"/>
            <color indexed="81"/>
            <rFont val="Tahoma"/>
            <family val="2"/>
          </rPr>
          <t xml:space="preserve">
4Q:14 conf call:  "6 points" of growth</t>
        </r>
      </text>
    </comment>
    <comment ref="A249" authorId="0">
      <text>
        <r>
          <rPr>
            <sz val="9"/>
            <color indexed="81"/>
            <rFont val="Tahoma"/>
            <family val="2"/>
          </rPr>
          <t>Total dollar volume of payments, net of payment reversals, successfully completed through our payments networks, including PayPal Credit, during the period for transactions on our Marketplaces platforms.</t>
        </r>
      </text>
    </comment>
    <comment ref="A252" authorId="0">
      <text>
        <r>
          <rPr>
            <sz val="9"/>
            <color indexed="81"/>
            <rFont val="Tahoma"/>
            <family val="2"/>
          </rPr>
          <t>Total dollar volume of payments, net of payment reversals, successfully completed through our payments networks, including PayPal Credit, Venmo and payments processed through Braintree’s full stack payments platform; excludes payments sent or received through PayPal's and Braintree’s payment gateway businesses.</t>
        </r>
      </text>
    </comment>
  </commentList>
</comments>
</file>

<file path=xl/comments3.xml><?xml version="1.0" encoding="utf-8"?>
<comments xmlns="http://schemas.openxmlformats.org/spreadsheetml/2006/main">
  <authors>
    <author>Hussain, Danyal (Research)</author>
    <author xml:space="preserve"> </author>
  </authors>
  <commentList>
    <comment ref="M11" authorId="0">
      <text>
        <r>
          <rPr>
            <b/>
            <sz val="9"/>
            <color indexed="81"/>
            <rFont val="Tahoma"/>
            <family val="2"/>
          </rPr>
          <t>Hussain, Danyal (Research):</t>
        </r>
        <r>
          <rPr>
            <sz val="9"/>
            <color indexed="81"/>
            <rFont val="Tahoma"/>
            <family val="2"/>
          </rPr>
          <t xml:space="preserve">
Includes adjustment for estimated EBAY impact</t>
        </r>
      </text>
    </comment>
    <comment ref="N11" authorId="0">
      <text>
        <r>
          <rPr>
            <b/>
            <sz val="9"/>
            <color indexed="81"/>
            <rFont val="Tahoma"/>
            <family val="2"/>
          </rPr>
          <t>Hussain, Danyal (Research):</t>
        </r>
        <r>
          <rPr>
            <sz val="9"/>
            <color indexed="81"/>
            <rFont val="Tahoma"/>
            <family val="2"/>
          </rPr>
          <t xml:space="preserve">
Ebay impact</t>
        </r>
      </text>
    </comment>
    <comment ref="P78" authorId="0">
      <text>
        <r>
          <rPr>
            <b/>
            <sz val="9"/>
            <color indexed="81"/>
            <rFont val="Tahoma"/>
            <family val="2"/>
          </rPr>
          <t>Hussain, Danyal (Research):</t>
        </r>
        <r>
          <rPr>
            <sz val="9"/>
            <color indexed="81"/>
            <rFont val="Tahoma"/>
            <family val="2"/>
          </rPr>
          <t xml:space="preserve">
H-model</t>
        </r>
      </text>
    </comment>
    <comment ref="C101" authorId="1">
      <text>
        <r>
          <rPr>
            <sz val="9"/>
            <color indexed="81"/>
            <rFont val="Tahoma"/>
            <family val="2"/>
          </rPr>
          <t>We have linked it with shareholders equity number in BS as PayPal is not listed yet.</t>
        </r>
      </text>
    </comment>
  </commentList>
</comments>
</file>

<file path=xl/comments4.xml><?xml version="1.0" encoding="utf-8"?>
<comments xmlns="http://schemas.openxmlformats.org/spreadsheetml/2006/main">
  <authors>
    <author>Hussain, Danyal (Research)</author>
    <author>Govil, Vasundhara (Research)</author>
  </authors>
  <commentList>
    <comment ref="A6" authorId="0">
      <text>
        <r>
          <rPr>
            <b/>
            <sz val="9"/>
            <color indexed="81"/>
            <rFont val="Tahoma"/>
            <family val="2"/>
          </rPr>
          <t xml:space="preserve">Includes:
</t>
        </r>
        <r>
          <rPr>
            <sz val="9"/>
            <color indexed="81"/>
            <rFont val="Tahoma"/>
            <family val="2"/>
          </rPr>
          <t>- PayPal
- PayPal Credit
- Venmo
- Braintree (where providing acquiring)</t>
        </r>
        <r>
          <rPr>
            <b/>
            <sz val="9"/>
            <color indexed="81"/>
            <rFont val="Tahoma"/>
            <family val="2"/>
          </rPr>
          <t xml:space="preserve">
Excludes:
</t>
        </r>
        <r>
          <rPr>
            <sz val="9"/>
            <color indexed="81"/>
            <rFont val="Tahoma"/>
            <family val="2"/>
          </rPr>
          <t>- Gateway (e.g. Braintree where only providing gateway service)</t>
        </r>
        <r>
          <rPr>
            <b/>
            <sz val="9"/>
            <color indexed="81"/>
            <rFont val="Tahoma"/>
            <family val="2"/>
          </rPr>
          <t xml:space="preserve">
</t>
        </r>
      </text>
    </comment>
    <comment ref="AY6" authorId="0">
      <text>
        <r>
          <rPr>
            <b/>
            <sz val="9"/>
            <color indexed="81"/>
            <rFont val="Tahoma"/>
            <family val="2"/>
          </rPr>
          <t>Hussain, Danyal (Research):</t>
        </r>
        <r>
          <rPr>
            <sz val="9"/>
            <color indexed="81"/>
            <rFont val="Tahoma"/>
            <family val="2"/>
          </rPr>
          <t xml:space="preserve">
Includes Xoom</t>
        </r>
      </text>
    </comment>
    <comment ref="AZ7" authorId="1">
      <text>
        <r>
          <rPr>
            <b/>
            <sz val="9"/>
            <color indexed="81"/>
            <rFont val="Tahoma"/>
            <family val="2"/>
          </rPr>
          <t>Govil, Vasundhara (Research):</t>
        </r>
        <r>
          <rPr>
            <sz val="9"/>
            <color indexed="81"/>
            <rFont val="Tahoma"/>
            <family val="2"/>
          </rPr>
          <t xml:space="preserve">
Mid -20% on FX adjusted basis</t>
        </r>
      </text>
    </comment>
    <comment ref="BJ7" authorId="0">
      <text>
        <r>
          <rPr>
            <b/>
            <sz val="9"/>
            <color indexed="81"/>
            <rFont val="Tahoma"/>
            <family val="2"/>
          </rPr>
          <t>Hussain, Danyal (Research):</t>
        </r>
        <r>
          <rPr>
            <sz val="9"/>
            <color indexed="81"/>
            <rFont val="Tahoma"/>
            <family val="2"/>
          </rPr>
          <t xml:space="preserve">
Mid 20s guidance over "medium term" from June 8, 2015</t>
        </r>
      </text>
    </comment>
    <comment ref="BO7" authorId="0">
      <text>
        <r>
          <rPr>
            <b/>
            <sz val="9"/>
            <color indexed="81"/>
            <rFont val="Tahoma"/>
            <family val="2"/>
          </rPr>
          <t>Hussain, Danyal (Research):</t>
        </r>
        <r>
          <rPr>
            <sz val="9"/>
            <color indexed="81"/>
            <rFont val="Tahoma"/>
            <family val="2"/>
          </rPr>
          <t xml:space="preserve">
Mid 20s guidance over "medium term" from June 8, 2015</t>
        </r>
      </text>
    </comment>
    <comment ref="BT7" authorId="0">
      <text>
        <r>
          <rPr>
            <b/>
            <sz val="9"/>
            <color indexed="81"/>
            <rFont val="Tahoma"/>
            <family val="2"/>
          </rPr>
          <t>Hussain, Danyal (Research):</t>
        </r>
        <r>
          <rPr>
            <sz val="9"/>
            <color indexed="81"/>
            <rFont val="Tahoma"/>
            <family val="2"/>
          </rPr>
          <t xml:space="preserve">
Mid 20s guidance over "medium term" from June 8, 2015</t>
        </r>
      </text>
    </comment>
    <comment ref="BY7" authorId="0">
      <text>
        <r>
          <rPr>
            <b/>
            <sz val="9"/>
            <color indexed="81"/>
            <rFont val="Tahoma"/>
            <family val="2"/>
          </rPr>
          <t>Hussain, Danyal (Research):</t>
        </r>
        <r>
          <rPr>
            <sz val="9"/>
            <color indexed="81"/>
            <rFont val="Tahoma"/>
            <family val="2"/>
          </rPr>
          <t xml:space="preserve">
Mid 20s guidance over "medium term" from June 8, 2015</t>
        </r>
      </text>
    </comment>
    <comment ref="CD7" authorId="0">
      <text>
        <r>
          <rPr>
            <b/>
            <sz val="9"/>
            <color indexed="81"/>
            <rFont val="Tahoma"/>
            <family val="2"/>
          </rPr>
          <t>Hussain, Danyal (Research):</t>
        </r>
        <r>
          <rPr>
            <sz val="9"/>
            <color indexed="81"/>
            <rFont val="Tahoma"/>
            <family val="2"/>
          </rPr>
          <t xml:space="preserve">
Mid 20s guidance over "medium term" from June 8, 2015</t>
        </r>
      </text>
    </comment>
    <comment ref="AW9" authorId="0">
      <text>
        <r>
          <rPr>
            <b/>
            <sz val="9"/>
            <color indexed="81"/>
            <rFont val="Tahoma"/>
            <family val="2"/>
          </rPr>
          <t>Hussain, Danyal (Research):</t>
        </r>
        <r>
          <rPr>
            <sz val="9"/>
            <color indexed="81"/>
            <rFont val="Tahoma"/>
            <family val="2"/>
          </rPr>
          <t xml:space="preserve">
1.6bn per mgmt.</t>
        </r>
      </text>
    </comment>
    <comment ref="AU10" authorId="0">
      <text>
        <r>
          <rPr>
            <b/>
            <sz val="9"/>
            <color indexed="81"/>
            <rFont val="Tahoma"/>
            <family val="2"/>
          </rPr>
          <t>Hussain, Danyal (Research):</t>
        </r>
        <r>
          <rPr>
            <sz val="9"/>
            <color indexed="81"/>
            <rFont val="Tahoma"/>
            <family val="2"/>
          </rPr>
          <t xml:space="preserve">
"Grew six-fold last year"</t>
        </r>
      </text>
    </comment>
    <comment ref="AW10" authorId="0">
      <text>
        <r>
          <rPr>
            <b/>
            <sz val="9"/>
            <color indexed="81"/>
            <rFont val="Tahoma"/>
            <family val="2"/>
          </rPr>
          <t>Hussain, Danyal (Research):</t>
        </r>
        <r>
          <rPr>
            <sz val="9"/>
            <color indexed="81"/>
            <rFont val="Tahoma"/>
            <family val="2"/>
          </rPr>
          <t xml:space="preserve">
Disclosed in 2Q EBAY call.</t>
        </r>
      </text>
    </comment>
    <comment ref="AQ12" authorId="0">
      <text>
        <r>
          <rPr>
            <b/>
            <sz val="9"/>
            <color indexed="81"/>
            <rFont val="Tahoma"/>
            <family val="2"/>
          </rPr>
          <t>Hussain, Danyal (Research):</t>
        </r>
        <r>
          <rPr>
            <sz val="9"/>
            <color indexed="81"/>
            <rFont val="Tahoma"/>
            <family val="2"/>
          </rPr>
          <t xml:space="preserve">
Free for debit and checking. We assume this is all transactions, for simplicity.</t>
        </r>
      </text>
    </comment>
    <comment ref="AQ13" authorId="0">
      <text>
        <r>
          <rPr>
            <b/>
            <sz val="9"/>
            <color indexed="81"/>
            <rFont val="Tahoma"/>
            <family val="2"/>
          </rPr>
          <t>Hussain, Danyal (Research):</t>
        </r>
        <r>
          <rPr>
            <sz val="9"/>
            <color indexed="81"/>
            <rFont val="Tahoma"/>
            <family val="2"/>
          </rPr>
          <t xml:space="preserve">
Assumed blended cost of debit/ACH</t>
        </r>
      </text>
    </comment>
    <comment ref="AP25" authorId="0">
      <text>
        <r>
          <rPr>
            <b/>
            <sz val="9"/>
            <color indexed="81"/>
            <rFont val="Tahoma"/>
            <family val="2"/>
          </rPr>
          <t>Hussain, Danyal (Research):</t>
        </r>
        <r>
          <rPr>
            <sz val="9"/>
            <color indexed="81"/>
            <rFont val="Tahoma"/>
            <family val="2"/>
          </rPr>
          <t xml:space="preserve">
$12bn Authorized Payment Volume</t>
        </r>
      </text>
    </comment>
    <comment ref="AS25" authorId="0">
      <text>
        <r>
          <rPr>
            <b/>
            <sz val="9"/>
            <color indexed="81"/>
            <rFont val="Tahoma"/>
            <family val="2"/>
          </rPr>
          <t>Hussain, Danyal (Research):</t>
        </r>
        <r>
          <rPr>
            <sz val="9"/>
            <color indexed="81"/>
            <rFont val="Tahoma"/>
            <family val="2"/>
          </rPr>
          <t xml:space="preserve">
Total Braintree TPV contributed to 3% growth of Merchant Services TPV</t>
        </r>
      </text>
    </comment>
    <comment ref="AT25" authorId="0">
      <text>
        <r>
          <rPr>
            <b/>
            <sz val="9"/>
            <color indexed="81"/>
            <rFont val="Tahoma"/>
            <family val="2"/>
          </rPr>
          <t>Hussain, Danyal (Research):</t>
        </r>
        <r>
          <rPr>
            <sz val="9"/>
            <color indexed="81"/>
            <rFont val="Tahoma"/>
            <family val="2"/>
          </rPr>
          <t xml:space="preserve">
Braintree contributed 6% of grwoth to TPV
"The core business has grown tremendously during the course of the year, and Braintree added roughly six points of growth to the overall TPV growth for the business. And as you know, we added it late in the fourth quarter of last year, so on a year-over-year basis, in the fourth quarter, there wasn't a whole lot of Braintree volume. "</t>
        </r>
      </text>
    </comment>
    <comment ref="AU25" authorId="0">
      <text>
        <r>
          <rPr>
            <b/>
            <sz val="9"/>
            <color indexed="81"/>
            <rFont val="Tahoma"/>
            <family val="2"/>
          </rPr>
          <t>Hussain, Danyal (Research):</t>
        </r>
        <r>
          <rPr>
            <sz val="9"/>
            <color indexed="81"/>
            <rFont val="Tahoma"/>
            <family val="2"/>
          </rPr>
          <t xml:space="preserve">
$23bn Authorized Payment Volume</t>
        </r>
      </text>
    </comment>
    <comment ref="AY33" authorId="0">
      <text>
        <r>
          <rPr>
            <b/>
            <sz val="9"/>
            <color indexed="81"/>
            <rFont val="Tahoma"/>
            <family val="2"/>
          </rPr>
          <t>Hussain, Danyal (Research):</t>
        </r>
        <r>
          <rPr>
            <sz val="9"/>
            <color indexed="81"/>
            <rFont val="Tahoma"/>
            <family val="2"/>
          </rPr>
          <t xml:space="preserve">
About half included in the quarter</t>
        </r>
      </text>
    </comment>
    <comment ref="BA41" authorId="0">
      <text>
        <r>
          <rPr>
            <b/>
            <sz val="9"/>
            <color indexed="81"/>
            <rFont val="Tahoma"/>
            <family val="2"/>
          </rPr>
          <t>Hussain, Danyal (Research):</t>
        </r>
        <r>
          <rPr>
            <sz val="9"/>
            <color indexed="81"/>
            <rFont val="Tahoma"/>
            <family val="2"/>
          </rPr>
          <t xml:space="preserve">
Assumed</t>
        </r>
      </text>
    </comment>
    <comment ref="BA45" authorId="0">
      <text>
        <r>
          <rPr>
            <b/>
            <sz val="9"/>
            <color indexed="81"/>
            <rFont val="Tahoma"/>
            <family val="2"/>
          </rPr>
          <t>Hussain, Danyal (Research):</t>
        </r>
        <r>
          <rPr>
            <sz val="9"/>
            <color indexed="81"/>
            <rFont val="Tahoma"/>
            <family val="2"/>
          </rPr>
          <t xml:space="preserve">
Similar to rest of business</t>
        </r>
      </text>
    </comment>
    <comment ref="BA46" authorId="0">
      <text>
        <r>
          <rPr>
            <b/>
            <sz val="9"/>
            <color indexed="81"/>
            <rFont val="Tahoma"/>
            <family val="2"/>
          </rPr>
          <t>Hussain, Danyal (Research):</t>
        </r>
        <r>
          <rPr>
            <sz val="9"/>
            <color indexed="81"/>
            <rFont val="Tahoma"/>
            <family val="2"/>
          </rPr>
          <t xml:space="preserve">
Assume slightly lower than firm avg 90-100bps since most Venmo users rely on debit/bank today</t>
        </r>
      </text>
    </comment>
    <comment ref="A50" authorId="0">
      <text>
        <r>
          <rPr>
            <b/>
            <sz val="9"/>
            <color indexed="81"/>
            <rFont val="Tahoma"/>
            <family val="2"/>
          </rPr>
          <t>Hussain, Danyal (Research):</t>
        </r>
        <r>
          <rPr>
            <sz val="9"/>
            <color indexed="81"/>
            <rFont val="Tahoma"/>
            <family val="2"/>
          </rPr>
          <t xml:space="preserve">
We define Merchant Services Net TPV as the total dollar volume of payments, net of payment reversals, successfully completed through our payments networks, including PayPal Credit, Venmo and payments processed through Braintree's full stack payments platform, during the period; excludes PayPal's and Braintree's payment gateway businesses and payments for transactions on our Marketplaces platforms.</t>
        </r>
      </text>
    </comment>
    <comment ref="BA52" authorId="0">
      <text>
        <r>
          <rPr>
            <b/>
            <sz val="9"/>
            <color indexed="81"/>
            <rFont val="Tahoma"/>
            <family val="2"/>
          </rPr>
          <t>Hussain, Danyal (Research):</t>
        </r>
        <r>
          <rPr>
            <sz val="9"/>
            <color indexed="81"/>
            <rFont val="Tahoma"/>
            <family val="2"/>
          </rPr>
          <t xml:space="preserve">
Provided in the release.</t>
        </r>
      </text>
    </comment>
  </commentList>
</comments>
</file>

<file path=xl/comments5.xml><?xml version="1.0" encoding="utf-8"?>
<comments xmlns="http://schemas.openxmlformats.org/spreadsheetml/2006/main">
  <authors>
    <author>Hussain, Danyal (Research)</author>
  </authors>
  <commentList>
    <comment ref="C15" authorId="0">
      <text>
        <r>
          <rPr>
            <b/>
            <sz val="9"/>
            <color indexed="81"/>
            <rFont val="Tahoma"/>
            <family val="2"/>
          </rPr>
          <t>Hussain, Danyal (Research):</t>
        </r>
        <r>
          <rPr>
            <sz val="9"/>
            <color indexed="81"/>
            <rFont val="Tahoma"/>
            <family val="2"/>
          </rPr>
          <t xml:space="preserve">
ex Credit revenue</t>
        </r>
      </text>
    </comment>
  </commentList>
</comments>
</file>

<file path=xl/sharedStrings.xml><?xml version="1.0" encoding="utf-8"?>
<sst xmlns="http://schemas.openxmlformats.org/spreadsheetml/2006/main" count="1383" uniqueCount="1008">
  <si>
    <t>James Faucette</t>
  </si>
  <si>
    <t>Vasu Govil</t>
  </si>
  <si>
    <t>Executive Director</t>
  </si>
  <si>
    <t>Vice President</t>
  </si>
  <si>
    <t>212-296-5771</t>
  </si>
  <si>
    <t>212-761-3609</t>
  </si>
  <si>
    <t>james.faucette@morganstanley.com</t>
  </si>
  <si>
    <t>vasundhara.govil@morganstanley.com</t>
  </si>
  <si>
    <t>Scenario:</t>
  </si>
  <si>
    <t>PayPal Holdings, Inc. (PYPL)</t>
  </si>
  <si>
    <t>Financials (FY ended December)</t>
  </si>
  <si>
    <t>MS Estimates vs. Guidance (YoY % change)</t>
  </si>
  <si>
    <t>2015A</t>
  </si>
  <si>
    <t>2016A</t>
  </si>
  <si>
    <t>2018E</t>
  </si>
  <si>
    <t>MS</t>
  </si>
  <si>
    <t>Guidance</t>
  </si>
  <si>
    <t>Revenue</t>
  </si>
  <si>
    <t>TPV Growth</t>
  </si>
  <si>
    <t>Revenue Growth</t>
  </si>
  <si>
    <t>Net Revenue</t>
  </si>
  <si>
    <t>YoY % change</t>
  </si>
  <si>
    <t>Non-GAAP Operating Margin</t>
  </si>
  <si>
    <t>EBITDA (MS method)</t>
  </si>
  <si>
    <t>Adj. Net Income</t>
  </si>
  <si>
    <t>EBITDA Margin</t>
  </si>
  <si>
    <t>Adj. EPS</t>
  </si>
  <si>
    <t xml:space="preserve">Operating Income </t>
  </si>
  <si>
    <t>Operating Margin</t>
  </si>
  <si>
    <t>GAAP Net Income</t>
  </si>
  <si>
    <t>Adjusted Net Income (PayPal Method)</t>
  </si>
  <si>
    <t>Adjusted EPS (PayPal Method)</t>
  </si>
  <si>
    <t>Capex</t>
  </si>
  <si>
    <t>Capex % of sales</t>
  </si>
  <si>
    <t>FCFF</t>
  </si>
  <si>
    <t>Total assets</t>
  </si>
  <si>
    <t>Total cash</t>
  </si>
  <si>
    <t>Total liabilities</t>
  </si>
  <si>
    <t>Total debt</t>
  </si>
  <si>
    <t>Total shareholder's equity</t>
  </si>
  <si>
    <t>1Q06A</t>
  </si>
  <si>
    <t>2Q06A</t>
  </si>
  <si>
    <t>3Q06A</t>
  </si>
  <si>
    <t>4Q06A</t>
  </si>
  <si>
    <t>2006A</t>
  </si>
  <si>
    <t>1Q07A</t>
  </si>
  <si>
    <t>2Q07A</t>
  </si>
  <si>
    <t>3Q07A</t>
  </si>
  <si>
    <t>4Q07A</t>
  </si>
  <si>
    <t>2007A</t>
  </si>
  <si>
    <t>1Q08A</t>
  </si>
  <si>
    <t>2Q08A</t>
  </si>
  <si>
    <t>3Q08A</t>
  </si>
  <si>
    <t>4Q08A</t>
  </si>
  <si>
    <t>2008A</t>
  </si>
  <si>
    <t>1Q09A</t>
  </si>
  <si>
    <t>2Q09A</t>
  </si>
  <si>
    <t>3Q09A</t>
  </si>
  <si>
    <t>4Q09A</t>
  </si>
  <si>
    <t>2009A</t>
  </si>
  <si>
    <t>1Q10A</t>
  </si>
  <si>
    <t>2Q10A</t>
  </si>
  <si>
    <t>3Q10A</t>
  </si>
  <si>
    <t>4Q10A</t>
  </si>
  <si>
    <t>2010A</t>
  </si>
  <si>
    <t>1Q11A</t>
  </si>
  <si>
    <t>2Q11A</t>
  </si>
  <si>
    <t>3Q11A</t>
  </si>
  <si>
    <t>4Q11A</t>
  </si>
  <si>
    <t>2011A</t>
  </si>
  <si>
    <t>1Q12A</t>
  </si>
  <si>
    <t>2Q12A</t>
  </si>
  <si>
    <t>3Q12A</t>
  </si>
  <si>
    <t>4Q12A</t>
  </si>
  <si>
    <t>2012A</t>
  </si>
  <si>
    <t>1Q13A</t>
  </si>
  <si>
    <t>2Q13A</t>
  </si>
  <si>
    <t>3Q13A</t>
  </si>
  <si>
    <t>4Q13A</t>
  </si>
  <si>
    <t>2013A</t>
  </si>
  <si>
    <t>1Q14A</t>
  </si>
  <si>
    <t>2Q14A</t>
  </si>
  <si>
    <t>3Q14A</t>
  </si>
  <si>
    <t>4Q14A</t>
  </si>
  <si>
    <t>2014A</t>
  </si>
  <si>
    <t>1Q15A</t>
  </si>
  <si>
    <t>2Q15A</t>
  </si>
  <si>
    <t>3Q15A</t>
  </si>
  <si>
    <t>4Q15A</t>
  </si>
  <si>
    <t>1Q16A</t>
  </si>
  <si>
    <t>2Q16A</t>
  </si>
  <si>
    <t>3Q16A</t>
  </si>
  <si>
    <t>4Q16A</t>
  </si>
  <si>
    <t>1Q17A</t>
  </si>
  <si>
    <t>2Q17A</t>
  </si>
  <si>
    <t>3Q17A</t>
  </si>
  <si>
    <t>2Q18E</t>
  </si>
  <si>
    <t>3Q18E</t>
  </si>
  <si>
    <t>4Q18E</t>
  </si>
  <si>
    <t>1Q19E</t>
  </si>
  <si>
    <t>2Q19E</t>
  </si>
  <si>
    <t>3Q19E</t>
  </si>
  <si>
    <t>4Q19E</t>
  </si>
  <si>
    <t>2019E</t>
  </si>
  <si>
    <t>1Q20E</t>
  </si>
  <si>
    <t>2Q20E</t>
  </si>
  <si>
    <t>3Q20E</t>
  </si>
  <si>
    <t>4Q20E</t>
  </si>
  <si>
    <t>2020E</t>
  </si>
  <si>
    <t>1Q21E</t>
  </si>
  <si>
    <t>2Q21E</t>
  </si>
  <si>
    <t>3Q21E</t>
  </si>
  <si>
    <t>4Q21E</t>
  </si>
  <si>
    <t>2021E</t>
  </si>
  <si>
    <t>Income Statement</t>
  </si>
  <si>
    <t>Fiscal Year End: December ($ in millions, except per share data)</t>
  </si>
  <si>
    <t>Transaction Revenue</t>
  </si>
  <si>
    <t>Other Value-added Services</t>
  </si>
  <si>
    <t>YoY % change (FX neutral)</t>
  </si>
  <si>
    <t>Transaction Expense</t>
  </si>
  <si>
    <t>As a % of TPV</t>
  </si>
  <si>
    <t>Bull</t>
  </si>
  <si>
    <t>Base</t>
  </si>
  <si>
    <t>Bear</t>
  </si>
  <si>
    <t>Transaction and Loan Losses</t>
  </si>
  <si>
    <t>Loan Losses (included in above)</t>
  </si>
  <si>
    <t>Gross Profit</t>
  </si>
  <si>
    <t>Gross Profit Margin ("Transaction Margin")</t>
  </si>
  <si>
    <t>Customer Support and Operations</t>
  </si>
  <si>
    <t>as a % of net revenue</t>
  </si>
  <si>
    <t>Sales and Marketing</t>
  </si>
  <si>
    <t>Product Development</t>
  </si>
  <si>
    <t>General and Administrative</t>
  </si>
  <si>
    <t>Depreciation (ex-amortization of intangibles)</t>
  </si>
  <si>
    <t>Operating Income (PayPal method)</t>
  </si>
  <si>
    <t>YoY% change</t>
  </si>
  <si>
    <t>Stock-based compensation expense</t>
  </si>
  <si>
    <t>Operating Income (SBC Burdened)</t>
  </si>
  <si>
    <t>EBITDA Margin on Net Revenue</t>
  </si>
  <si>
    <t>EBITDA (Cons method ex SBC)</t>
  </si>
  <si>
    <t>Other Income (Expense), net</t>
  </si>
  <si>
    <t>Income before income taxes (PayPal method)</t>
  </si>
  <si>
    <t>Income tax expense/(benefit)</t>
  </si>
  <si>
    <t>Effective Tax Rate</t>
  </si>
  <si>
    <t>Income before income taxes (MS method)</t>
  </si>
  <si>
    <t>Adjusted Net Income (SBC Burdened)</t>
  </si>
  <si>
    <t>Adjusted EPS (SBC Burdened)</t>
  </si>
  <si>
    <t>Adjusted Net Income (PayPal Method Incl SBC)</t>
  </si>
  <si>
    <t>Reconcilation to Net Income (GAAP)</t>
  </si>
  <si>
    <t>Other income adjustment / amortization</t>
  </si>
  <si>
    <t>Amortization of acquired intangibles</t>
  </si>
  <si>
    <t>Restructuring</t>
  </si>
  <si>
    <t>Separation related</t>
  </si>
  <si>
    <t>Lower Transaction revenues</t>
  </si>
  <si>
    <t>Protection programme related adjustment</t>
  </si>
  <si>
    <t>Additional costs for shared data centers</t>
  </si>
  <si>
    <t>Reversal of historically allocated amounts</t>
  </si>
  <si>
    <t>Depreciation expense related to data center facilities</t>
  </si>
  <si>
    <t>Net reduction of costs to PayPal from eBay</t>
  </si>
  <si>
    <t>Acquisition deal expense</t>
  </si>
  <si>
    <t>Income before income taxes (GAAP method)</t>
  </si>
  <si>
    <t>Income tax expense</t>
  </si>
  <si>
    <t>Net Income (GAAP)</t>
  </si>
  <si>
    <t>Diluted EPS (GAAP)</t>
  </si>
  <si>
    <t>Period end Shares</t>
  </si>
  <si>
    <t>ND</t>
  </si>
  <si>
    <t>Average Basic shares outstanding</t>
  </si>
  <si>
    <t>Average Diluted shares outstanding</t>
  </si>
  <si>
    <t>Share buybacks ($)</t>
  </si>
  <si>
    <t>shares repurchased</t>
  </si>
  <si>
    <t>share price for buybacks</t>
  </si>
  <si>
    <t>Average price/share (used to forecast est. dilution)</t>
  </si>
  <si>
    <t>Cash Flow Statement</t>
  </si>
  <si>
    <t>Cash Flow from Operating Activities</t>
  </si>
  <si>
    <t>Net income</t>
  </si>
  <si>
    <t xml:space="preserve">Adjustments </t>
  </si>
  <si>
    <t>Transaction and loan losses</t>
  </si>
  <si>
    <t>Depreciation and amortization</t>
  </si>
  <si>
    <t>Stock-based compensation</t>
  </si>
  <si>
    <t>Deferred income taxes</t>
  </si>
  <si>
    <t>Excess tax benefits from stock-based compensation</t>
  </si>
  <si>
    <t>Premium on sale of loans held for sale</t>
  </si>
  <si>
    <t>Change in operating assets and liabilities:</t>
  </si>
  <si>
    <t>Accounts receivables</t>
  </si>
  <si>
    <t>Notes and receivable from affiliates</t>
  </si>
  <si>
    <t>Changes in loans held for sale, net</t>
  </si>
  <si>
    <t>Other assets</t>
  </si>
  <si>
    <t>Accounts payable</t>
  </si>
  <si>
    <t>Notes payable to affiliates</t>
  </si>
  <si>
    <t>Accrued expenses and other current liabilities</t>
  </si>
  <si>
    <t>Income taxes payable and other tax liabilities</t>
  </si>
  <si>
    <t>Cash flow from operations</t>
  </si>
  <si>
    <t>Cash Flow from Investing Activities</t>
  </si>
  <si>
    <t>Purchase of property and equipment</t>
  </si>
  <si>
    <t>Changes in principal loans receivable, net</t>
  </si>
  <si>
    <t>Purchases of investments</t>
  </si>
  <si>
    <t>Maturities and sales of investments</t>
  </si>
  <si>
    <t>Acquisitions, net of cash acquired</t>
  </si>
  <si>
    <t>Cash flow from investing activities</t>
  </si>
  <si>
    <t>Cash Flow from Financing Activities</t>
  </si>
  <si>
    <t>Net transfers to parent</t>
  </si>
  <si>
    <t>Net (repayments) borrowings under financing arrangement</t>
  </si>
  <si>
    <t>Banking deposits from affiliates</t>
  </si>
  <si>
    <t>Funds receivable and customer accounts</t>
  </si>
  <si>
    <t>Funds payable and amounts due to customers</t>
  </si>
  <si>
    <t>Issue of common stock</t>
  </si>
  <si>
    <t>Repurchase of common stock</t>
  </si>
  <si>
    <t>Payment of dividend</t>
  </si>
  <si>
    <t>Cash flow from financing activities</t>
  </si>
  <si>
    <t>Effect of exchange rate changes on cash and cash equivalents</t>
  </si>
  <si>
    <t>Net change in cash and equivalents</t>
  </si>
  <si>
    <t>Beginning of period cash balance</t>
  </si>
  <si>
    <t>End of period cash balance</t>
  </si>
  <si>
    <t>Check</t>
  </si>
  <si>
    <t>Free Cash Flow (CFO less Capex)</t>
  </si>
  <si>
    <t>FCF/Net Income</t>
  </si>
  <si>
    <t>FCF/share</t>
  </si>
  <si>
    <t>Balance Sheet</t>
  </si>
  <si>
    <t>ASSETS:</t>
  </si>
  <si>
    <t>Cash and cash equivalents</t>
  </si>
  <si>
    <t>Short-term investments</t>
  </si>
  <si>
    <t>Accounts receivable, net</t>
  </si>
  <si>
    <t>Loans and interest receivable, net</t>
  </si>
  <si>
    <t>Other current assets</t>
  </si>
  <si>
    <t>Total Current Assets</t>
  </si>
  <si>
    <t>Long-term investments</t>
  </si>
  <si>
    <t xml:space="preserve">Property and equipment, net </t>
  </si>
  <si>
    <t>Goodwill</t>
  </si>
  <si>
    <t>Intangible assets, net</t>
  </si>
  <si>
    <t>Total Assets</t>
  </si>
  <si>
    <t>LIABILITIES:</t>
  </si>
  <si>
    <t>Notes and payable to affiliates</t>
  </si>
  <si>
    <t>Income taxes payable</t>
  </si>
  <si>
    <t>Total Current Liabilities</t>
  </si>
  <si>
    <t>Long-term liabilities</t>
  </si>
  <si>
    <t>Other non-current liabilities</t>
  </si>
  <si>
    <t>STOCKHOLDERS' EQUITY</t>
  </si>
  <si>
    <t>Common Stock</t>
  </si>
  <si>
    <t>Retained Earnings</t>
  </si>
  <si>
    <t>Additional paid-in capital</t>
  </si>
  <si>
    <t>Accumulated other comprehensive loss</t>
  </si>
  <si>
    <t>Total stockholders' equity</t>
  </si>
  <si>
    <t>Total Liabilities &amp; Stockholders' Equity</t>
  </si>
  <si>
    <t>Key Operating Statistics</t>
  </si>
  <si>
    <t>Total Debt</t>
  </si>
  <si>
    <t>Net Debt</t>
  </si>
  <si>
    <t>Debt/Total Capital</t>
  </si>
  <si>
    <t>Net Debt/EBITDA (adjusted)</t>
  </si>
  <si>
    <t>Debt/EBITDA (adjusted)</t>
  </si>
  <si>
    <t>Return on Average Assets</t>
  </si>
  <si>
    <t>Return on Average Equity</t>
  </si>
  <si>
    <t>Days Receivable Outstanding</t>
  </si>
  <si>
    <t>Days Payable Outstanding</t>
  </si>
  <si>
    <t>Capex as a % of net revenue</t>
  </si>
  <si>
    <t xml:space="preserve">Non cash portion of Transaction and loan losses </t>
  </si>
  <si>
    <t>ModelWare Required Tags:</t>
  </si>
  <si>
    <t>Statutory Tax Rate</t>
  </si>
  <si>
    <t>State taxes, net of federal tax</t>
  </si>
  <si>
    <t>U.S. tax on federal income</t>
  </si>
  <si>
    <t>Unrecorded Goodwill</t>
  </si>
  <si>
    <t>GAAP Tax Adjustment</t>
  </si>
  <si>
    <t>Net Issuance</t>
  </si>
  <si>
    <t>Segment Detail</t>
  </si>
  <si>
    <t>Revenue Drivers</t>
  </si>
  <si>
    <t>TPV</t>
  </si>
  <si>
    <t>YoY % change (ex-FX)</t>
  </si>
  <si>
    <t>Estimated FX Impact on TPV</t>
  </si>
  <si>
    <t>TPV from large merchants</t>
  </si>
  <si>
    <t>% of total TPV</t>
  </si>
  <si>
    <t>TPV from small merchants</t>
  </si>
  <si>
    <t>Transaction Revenue Take Rate</t>
  </si>
  <si>
    <t>% Change</t>
  </si>
  <si>
    <t>Bps Change</t>
  </si>
  <si>
    <t>Take rate derivation (All assumptions)</t>
  </si>
  <si>
    <t>Small merchant take rate</t>
  </si>
  <si>
    <t>Large merchant take rate</t>
  </si>
  <si>
    <t>Absolute Hedge Gain/Loss Recognized in Period</t>
  </si>
  <si>
    <t>YoY Hedge Benefit (Headwind)</t>
  </si>
  <si>
    <t>YoY Take Rate Benefit / (Impact) from FX hedges</t>
  </si>
  <si>
    <t>Abs. Take Rate Benefit / (Impact) from FX hedges</t>
  </si>
  <si>
    <t>Other Value-Added Services Revenue</t>
  </si>
  <si>
    <t>Estimated FX Impact on Value Added Services Rev</t>
  </si>
  <si>
    <t>Total Net Revenue</t>
  </si>
  <si>
    <t>YoY % change (calc'd, ex-FX)</t>
  </si>
  <si>
    <t>Total Revenue Take Rate</t>
  </si>
  <si>
    <t>Usage Stats</t>
  </si>
  <si>
    <t>Active Customer Accounts</t>
  </si>
  <si>
    <t>TPV per account</t>
  </si>
  <si>
    <t>Number of Payment Transactions</t>
  </si>
  <si>
    <t>Transaction per Active Customer Account</t>
  </si>
  <si>
    <t>Per week</t>
  </si>
  <si>
    <t>Per year</t>
  </si>
  <si>
    <t>Transaction per Account per year (PYPL Disclosure)</t>
  </si>
  <si>
    <t>One Touch Merchants (millions)</t>
  </si>
  <si>
    <t>One Touch Consumer Opt Ins (millions)</t>
  </si>
  <si>
    <t>Product &amp; Platform Mix Stats</t>
  </si>
  <si>
    <t>.</t>
  </si>
  <si>
    <t>Percent of TPV from large merchants</t>
  </si>
  <si>
    <t>Percent of TPV from PayPal credit</t>
  </si>
  <si>
    <t>Percent of Net Revenue From eBay marketplace</t>
  </si>
  <si>
    <t>Mobile Payment Volume</t>
  </si>
  <si>
    <t>20bn</t>
  </si>
  <si>
    <t>% of TPV from Mobile</t>
  </si>
  <si>
    <t>% of Transactions from Mobile</t>
  </si>
  <si>
    <t>Braintree TPV</t>
  </si>
  <si>
    <t>Venmo TPV</t>
  </si>
  <si>
    <t>Ex Venmo ex FX TPV Growth</t>
  </si>
  <si>
    <t>Merchant Services TPV</t>
  </si>
  <si>
    <t>YoY % change ex FX</t>
  </si>
  <si>
    <t>EBAY as a % of total TPV</t>
  </si>
  <si>
    <t>P2P</t>
  </si>
  <si>
    <t>YoY Growth</t>
  </si>
  <si>
    <t>PayPal Working Capital</t>
  </si>
  <si>
    <t>$1bn to date</t>
  </si>
  <si>
    <t>Geographic Data</t>
  </si>
  <si>
    <t>TPV by Geography</t>
  </si>
  <si>
    <t>US TPV</t>
  </si>
  <si>
    <t>YoY % change ex Venmo</t>
  </si>
  <si>
    <t>Take Rate</t>
  </si>
  <si>
    <t>International TPV</t>
  </si>
  <si>
    <t>YoY % change ex-FX</t>
  </si>
  <si>
    <t>Percent of TPV from Intl (as reported)</t>
  </si>
  <si>
    <t>Percent of TPV from cross-border</t>
  </si>
  <si>
    <t>Revenue by Geography</t>
  </si>
  <si>
    <t>US Revenue</t>
  </si>
  <si>
    <t>International Revenue</t>
  </si>
  <si>
    <t>UK Revenue</t>
  </si>
  <si>
    <t>Rest of the World Revenue</t>
  </si>
  <si>
    <t>Total</t>
  </si>
  <si>
    <t>Revenue % Mix</t>
  </si>
  <si>
    <t>US</t>
  </si>
  <si>
    <t>International</t>
  </si>
  <si>
    <t>UK</t>
  </si>
  <si>
    <t>Rest of the World</t>
  </si>
  <si>
    <t>FX impact estimation</t>
  </si>
  <si>
    <t>UK TPV in USD</t>
  </si>
  <si>
    <t>% Exposure</t>
  </si>
  <si>
    <t>YoY growth (USD)</t>
  </si>
  <si>
    <t>UK TPV in GBP</t>
  </si>
  <si>
    <t>YoY growth (LC)</t>
  </si>
  <si>
    <t>UK TPV in USD (ex-FX impact)</t>
  </si>
  <si>
    <t>YoY FX gain/(loss) in UK TPV (in USD)</t>
  </si>
  <si>
    <t>Europe TPV in USD</t>
  </si>
  <si>
    <t>Assumed TPV Exposure</t>
  </si>
  <si>
    <t>Europe TPV in Euro</t>
  </si>
  <si>
    <t>Europe TPV in USD (ex-FX impact)</t>
  </si>
  <si>
    <t>YoY FX gain/(loss) in European TPV (in USD)</t>
  </si>
  <si>
    <t>Australian TPV in USD</t>
  </si>
  <si>
    <t>Exposure</t>
  </si>
  <si>
    <t>Australian TPV in AUD</t>
  </si>
  <si>
    <t>Australian TPV in USD (ex-FX impact)</t>
  </si>
  <si>
    <t>YoY FX gain/(loss) in Australian TPV (in USD)</t>
  </si>
  <si>
    <t>FX Impact to TPV (in USD)</t>
  </si>
  <si>
    <t>Calculated % Impact to Total USD TPV Growth</t>
  </si>
  <si>
    <t>Reported TPV Growth</t>
  </si>
  <si>
    <t>FX Adjusted TPV Growth</t>
  </si>
  <si>
    <t>Implied FX Impact on TPV Growth</t>
  </si>
  <si>
    <t>Reported Rev Growth</t>
  </si>
  <si>
    <t>FX Adjusted Rev Growth</t>
  </si>
  <si>
    <t>Implied FX Impact on Rev Growth</t>
  </si>
  <si>
    <t>Flowthrough to Net Revenue (net of hedges)</t>
  </si>
  <si>
    <t>Implied Impact to Take Rate from FX Hedges</t>
  </si>
  <si>
    <t>Total Int'l TPV</t>
  </si>
  <si>
    <t>Quarterly average exchange rate</t>
  </si>
  <si>
    <t xml:space="preserve">USD/GBP </t>
  </si>
  <si>
    <t xml:space="preserve">USD/Euro </t>
  </si>
  <si>
    <t xml:space="preserve">USD/AUD </t>
  </si>
  <si>
    <t>Weighted Average Appreciation/(Depreciation)</t>
  </si>
  <si>
    <t>Est. Hedge Gain/Loss</t>
  </si>
  <si>
    <t>Metrics from EBAY Financials</t>
  </si>
  <si>
    <t>Payment Revenue</t>
  </si>
  <si>
    <t>Net transaction revenues</t>
  </si>
  <si>
    <t>Marketing services and other revenues</t>
  </si>
  <si>
    <t>Total Revenue</t>
  </si>
  <si>
    <t>US Transaction Revenue</t>
  </si>
  <si>
    <t>International Transaction Revenue</t>
  </si>
  <si>
    <t>Payment TPV</t>
  </si>
  <si>
    <t xml:space="preserve">Merchant Services Net TPV </t>
  </si>
  <si>
    <t>As a % of total TPV</t>
  </si>
  <si>
    <t xml:space="preserve">On eBay Net TPV </t>
  </si>
  <si>
    <t>Net TPV</t>
  </si>
  <si>
    <t>YoY % change (ex-FX) eBay reported</t>
  </si>
  <si>
    <t xml:space="preserve">Active registered accounts </t>
  </si>
  <si>
    <t>QoQ % change</t>
  </si>
  <si>
    <t xml:space="preserve">Net number of payments </t>
  </si>
  <si>
    <t xml:space="preserve">TPV </t>
  </si>
  <si>
    <t>Current quarter vs prior quarter</t>
  </si>
  <si>
    <t>Current quarter vs prior year quarter</t>
  </si>
  <si>
    <t>On eBay net total payment volume as % of net total payment volume</t>
  </si>
  <si>
    <t>Merchant Services net total payment volume as % of net total payment volume</t>
  </si>
  <si>
    <t xml:space="preserve">Take rate </t>
  </si>
  <si>
    <t xml:space="preserve">Transaction rates </t>
  </si>
  <si>
    <t>Expense rate</t>
  </si>
  <si>
    <t>Loss rate</t>
  </si>
  <si>
    <t>Margin rate</t>
  </si>
  <si>
    <t>Loan portfolio rates</t>
  </si>
  <si>
    <t xml:space="preserve">Risk adjusted margin </t>
  </si>
  <si>
    <t>-</t>
  </si>
  <si>
    <t xml:space="preserve">Net charge-off rate </t>
  </si>
  <si>
    <t xml:space="preserve">90-day delinquency rate </t>
  </si>
  <si>
    <t>Marketplaces Segment</t>
  </si>
  <si>
    <t>GMV</t>
  </si>
  <si>
    <t>Take Rate Drivers</t>
  </si>
  <si>
    <t>Total TPV</t>
  </si>
  <si>
    <t>1. Venmo P2P TPV (ex Pay With Venmo)</t>
  </si>
  <si>
    <t>Assumed Transaction Take Rate</t>
  </si>
  <si>
    <t>Assumed Transaction Expense Rate</t>
  </si>
  <si>
    <t>Implied Transaction Revenue</t>
  </si>
  <si>
    <t>Implied Transaction Expense</t>
  </si>
  <si>
    <t>Take Rate ex Venmo P2P</t>
  </si>
  <si>
    <t>Txn Expense Rate ex Venmo P2P</t>
  </si>
  <si>
    <t>YoY Take Rate Degradation caused by Venmo P2P</t>
  </si>
  <si>
    <t>YoY Txn Expense benefit caused by Venmo P2P</t>
  </si>
  <si>
    <t>Gross Profit ex Venmo P2P</t>
  </si>
  <si>
    <t>YoY Gross Profit Margin Degradation caused by Venmo P2P</t>
  </si>
  <si>
    <t>2. Braintree Full Stack TPV</t>
  </si>
  <si>
    <t>3. Xoom TPV</t>
  </si>
  <si>
    <t>4. Pay With Venmo TPV</t>
  </si>
  <si>
    <t>NM</t>
  </si>
  <si>
    <t>% of total Venmo TPV</t>
  </si>
  <si>
    <t>4. All Other TPV (Other Merch Svc and On-EBAY)</t>
  </si>
  <si>
    <t>Implied Transaction Take Rate</t>
  </si>
  <si>
    <t>&lt;- Sanity Check</t>
  </si>
  <si>
    <t>Implied Transaction Expense Rate</t>
  </si>
  <si>
    <t>Weighted Average Transaction Take Rate (From Model)</t>
  </si>
  <si>
    <t>Weighted Average Transaction Expense Rate (From Model)</t>
  </si>
  <si>
    <t>PayPal Holdings, Inc: DCF Analysis</t>
  </si>
  <si>
    <t>1=Bull</t>
  </si>
  <si>
    <t>FYE: Dec ($ in mn, except per share data)</t>
  </si>
  <si>
    <t>To adjust discounting:</t>
  </si>
  <si>
    <t>2=Base</t>
  </si>
  <si>
    <t>&lt;-Enter current fiscal year+1</t>
  </si>
  <si>
    <t>3=Bear</t>
  </si>
  <si>
    <t>&lt;-Enter most recent Q reported (0-3, 0 means YE)</t>
  </si>
  <si>
    <t>Net revenue</t>
  </si>
  <si>
    <t>Total Take Rate</t>
  </si>
  <si>
    <t>Transaction expense and loan losses</t>
  </si>
  <si>
    <t>% of TPV</t>
  </si>
  <si>
    <t>% of revenues</t>
  </si>
  <si>
    <t>General and administrative</t>
  </si>
  <si>
    <t>Product development</t>
  </si>
  <si>
    <t>Depreciation (ex-Amortization of Int)</t>
  </si>
  <si>
    <t>Stock Based Comp</t>
  </si>
  <si>
    <t>Operating Income (MS Method)</t>
  </si>
  <si>
    <t>Operating Margin (ex SBC)</t>
  </si>
  <si>
    <t>YoY change in margin (bps)</t>
  </si>
  <si>
    <t>Amortization of Intangibles</t>
  </si>
  <si>
    <t>EBITDA (MS Method)</t>
  </si>
  <si>
    <t>EBITDA margin</t>
  </si>
  <si>
    <t>Other</t>
  </si>
  <si>
    <t>EBT</t>
  </si>
  <si>
    <t>Tax exp/(benefit)</t>
  </si>
  <si>
    <t>Tax rate</t>
  </si>
  <si>
    <t>Net income(adjusted)</t>
  </si>
  <si>
    <t>Other Cash Impacts</t>
  </si>
  <si>
    <t>Depreciation (ex-Amort of Intangibles)</t>
  </si>
  <si>
    <t>Capital Expenditure</t>
  </si>
  <si>
    <t>Capex % of revenues</t>
  </si>
  <si>
    <t>Change in Net working capital</t>
  </si>
  <si>
    <t>NWC % of revenues</t>
  </si>
  <si>
    <t>Add back Transaction/Loan Provision</t>
  </si>
  <si>
    <t>Provision as a % of revenues</t>
  </si>
  <si>
    <t>Subtract Estimated Loan NCOs</t>
  </si>
  <si>
    <t>As a % of Provisions</t>
  </si>
  <si>
    <t>Other non-cash items</t>
  </si>
  <si>
    <t>Other % of revenues</t>
  </si>
  <si>
    <t>Add back after tax interest exp</t>
  </si>
  <si>
    <t>Free cash flow to firm</t>
  </si>
  <si>
    <t>PV factor</t>
  </si>
  <si>
    <t>PV of Free Cash Flows</t>
  </si>
  <si>
    <t>Terminal Value</t>
  </si>
  <si>
    <t>Inputs</t>
  </si>
  <si>
    <t>Valuation</t>
  </si>
  <si>
    <t>DCF Sensitivity Analysis</t>
  </si>
  <si>
    <t>WACC</t>
  </si>
  <si>
    <t>PV of cash flows in years 2018-2020</t>
  </si>
  <si>
    <t>2012-2016 rev growth rate</t>
  </si>
  <si>
    <t>PV of cash flows in years 2021-2025</t>
  </si>
  <si>
    <t>Discount Rate</t>
  </si>
  <si>
    <t>2016-2025 rev growth rate</t>
  </si>
  <si>
    <t>PV of terminal value</t>
  </si>
  <si>
    <t>Terminal FCF multiple</t>
  </si>
  <si>
    <t>Total PV of FCF</t>
  </si>
  <si>
    <t>Terminal</t>
  </si>
  <si>
    <t>Terminal EBITDA multiple</t>
  </si>
  <si>
    <t>Less: Debt</t>
  </si>
  <si>
    <t>Growth</t>
  </si>
  <si>
    <t>Terminal Growth Rate</t>
  </si>
  <si>
    <t>Plus: Cash &amp; corp investments</t>
  </si>
  <si>
    <t>Rate</t>
  </si>
  <si>
    <t>Less: Minority Interest</t>
  </si>
  <si>
    <t>Equity value</t>
  </si>
  <si>
    <t>Diluted shares outstanding</t>
  </si>
  <si>
    <t>High Growth Years</t>
  </si>
  <si>
    <t>Implied share price in one year</t>
  </si>
  <si>
    <t>High Growth Starting Growth Rate</t>
  </si>
  <si>
    <t>WACC Calculation</t>
  </si>
  <si>
    <t>WACC = (equity/capital) x (WACE) + (LTD/capital) x (WACD)</t>
  </si>
  <si>
    <t>Current capital structure</t>
  </si>
  <si>
    <t>Weighted</t>
  </si>
  <si>
    <t>Value</t>
  </si>
  <si>
    <t>%</t>
  </si>
  <si>
    <t>Cost</t>
  </si>
  <si>
    <t>Equity (market cap)</t>
  </si>
  <si>
    <t>Debt</t>
  </si>
  <si>
    <t>Weighted Average cost of equity</t>
  </si>
  <si>
    <t>CAPM = Risk free rate + beta (expected market return - risk free rate)</t>
  </si>
  <si>
    <t>Risk free rate</t>
  </si>
  <si>
    <t>10-yr avg of 10-yr Treasury Yield</t>
  </si>
  <si>
    <t>+</t>
  </si>
  <si>
    <t xml:space="preserve"> </t>
  </si>
  <si>
    <t>Beta</t>
  </si>
  <si>
    <t>x</t>
  </si>
  <si>
    <t>Expected market return</t>
  </si>
  <si>
    <t>-RFR</t>
  </si>
  <si>
    <t>Risk Premium</t>
  </si>
  <si>
    <t>+ Alpha</t>
  </si>
  <si>
    <t>Cost of Equity (WACE)</t>
  </si>
  <si>
    <t>PayPal Holdings Inc. PT Interpolation</t>
  </si>
  <si>
    <t>Calculated</t>
  </si>
  <si>
    <t>Weighting</t>
  </si>
  <si>
    <t>$</t>
  </si>
  <si>
    <t>DCF Valuation</t>
  </si>
  <si>
    <t>PE</t>
  </si>
  <si>
    <t>PE Valuation</t>
  </si>
  <si>
    <t>PE Target</t>
  </si>
  <si>
    <t>Target Implied</t>
  </si>
  <si>
    <t>CY19 EPS (MS Method)</t>
  </si>
  <si>
    <t>Target Multiple</t>
  </si>
  <si>
    <t>Current Price</t>
  </si>
  <si>
    <t>Target</t>
  </si>
  <si>
    <t>Up/(Down)side</t>
  </si>
  <si>
    <t>Current Trading Multiple</t>
  </si>
  <si>
    <t>PayPal Holdings, Inc. Financials - Presentation Format</t>
  </si>
  <si>
    <t>INCOME STATEMENT ($ in millions except per share data)</t>
  </si>
  <si>
    <t>Transaction Take Rate</t>
  </si>
  <si>
    <t>CASH FLOW STATEMENT ($ in millions)</t>
  </si>
  <si>
    <t>BALANCE SHEET ($ in millions)</t>
  </si>
  <si>
    <t>PYPL</t>
  </si>
  <si>
    <t>Tax Rate</t>
  </si>
  <si>
    <t>16-18%</t>
  </si>
  <si>
    <t>All transaction expenses as % TPV</t>
  </si>
  <si>
    <t xml:space="preserve">Total Gross Profit </t>
  </si>
  <si>
    <t xml:space="preserve">Other Opex </t>
  </si>
  <si>
    <t>Adjusted EBIT</t>
  </si>
  <si>
    <t>Adjusted EPS</t>
  </si>
  <si>
    <t xml:space="preserve">eBay TPV </t>
  </si>
  <si>
    <t>eBay TPV % of total</t>
  </si>
  <si>
    <t>&lt;- Key variable #1</t>
  </si>
  <si>
    <t>EBAY TPV CAGR</t>
  </si>
  <si>
    <t>eBay Revenue</t>
  </si>
  <si>
    <t>eBay Take Rate</t>
  </si>
  <si>
    <t>&lt;- Key variable #2</t>
  </si>
  <si>
    <t>eBay Transaction expense</t>
  </si>
  <si>
    <t xml:space="preserve">eBay Gross Profit </t>
  </si>
  <si>
    <t>eBay Other Opex (50/50: var/fixed)</t>
  </si>
  <si>
    <t>eBay Opex - Fixed</t>
  </si>
  <si>
    <t>eBay Opex - Variable</t>
  </si>
  <si>
    <t>eBay Adjusted EBIT</t>
  </si>
  <si>
    <t>eBay EBIT % of total</t>
  </si>
  <si>
    <t>% Change in EBIT vs. Base Case</t>
  </si>
  <si>
    <t>Interest / Other (Expense)</t>
  </si>
  <si>
    <t>PTI</t>
  </si>
  <si>
    <t>PYPL Share Count</t>
  </si>
  <si>
    <t>PYPL EPS</t>
  </si>
  <si>
    <t>% Change in EPS vs. Base Case</t>
  </si>
  <si>
    <t>&lt;- Used for Data Table in sensitivity analysis</t>
  </si>
  <si>
    <t>eBay Expenses as % of TPV</t>
  </si>
  <si>
    <t>PYPL Avg.</t>
  </si>
  <si>
    <t>Rationale</t>
  </si>
  <si>
    <t xml:space="preserve">Transaction loss </t>
  </si>
  <si>
    <t>Assume higher chargeback and higher buyer/seller protection claims expenses</t>
  </si>
  <si>
    <t>Customer support</t>
  </si>
  <si>
    <t>Assume higher support costs from more ACH usage, buyer/seller protections</t>
  </si>
  <si>
    <t>Sales and marketing</t>
  </si>
  <si>
    <t>No expense for signing up merchants; modest need to market payments to buyers/sellers</t>
  </si>
  <si>
    <t>Mostly maintenance R&amp;D; no need to replicate innovation R&amp;D at PYPL</t>
  </si>
  <si>
    <t>General &amp; Administrative</t>
  </si>
  <si>
    <t>Assumed overhead to manage new payments division</t>
  </si>
  <si>
    <t>D&amp;A</t>
  </si>
  <si>
    <t>Lower total R&amp;D</t>
  </si>
  <si>
    <t>eBay total expense</t>
  </si>
  <si>
    <t>PYPL is scaled but probably allocates non-EBAY costs to EBAY revenue</t>
  </si>
  <si>
    <t>PayPal Holdings, Inc.</t>
  </si>
  <si>
    <t>USD</t>
  </si>
  <si>
    <t>PYPL.O</t>
  </si>
  <si>
    <t>Currency</t>
  </si>
  <si>
    <t>Current Stock Price</t>
  </si>
  <si>
    <t>Count</t>
  </si>
  <si>
    <t>Charge-offs</t>
  </si>
  <si>
    <t>as a % of TPV</t>
  </si>
  <si>
    <t>Cash per share (after tax)</t>
  </si>
  <si>
    <t>Amount of "excess"</t>
  </si>
  <si>
    <t>Value per share</t>
  </si>
  <si>
    <t>Price Target (ex Cash)</t>
  </si>
  <si>
    <t>Price Target (Incl Cash)</t>
  </si>
  <si>
    <t>PYPL.O,mscalc:targetPrice,,,,USD</t>
  </si>
  <si>
    <t>PYPL.O,mscalc:closePriceCurrencyCalc</t>
  </si>
  <si>
    <t>PYPL.O,mscalc:sedolCodeCalc</t>
  </si>
  <si>
    <t>$F$2</t>
  </si>
  <si>
    <t>BYW36M8</t>
  </si>
  <si>
    <t>4Q17A</t>
  </si>
  <si>
    <t>Loans and interest receivable, held for sale</t>
  </si>
  <si>
    <t>2017A</t>
  </si>
  <si>
    <t>88</t>
  </si>
  <si>
    <t>eBay TPV LOST under new deal</t>
  </si>
  <si>
    <t>Portion of EBAY TPV Lost</t>
  </si>
  <si>
    <t>New 2021 EBAY blended take rate</t>
  </si>
  <si>
    <t>eBay TPV no contract change</t>
  </si>
  <si>
    <t>eBay Adj. EBIT Margin</t>
  </si>
  <si>
    <t>EBAY Costs Under Current OA</t>
  </si>
  <si>
    <t>EBAY Costs without MoR</t>
  </si>
  <si>
    <t>&lt;- includes savings from converting out of MoR</t>
  </si>
  <si>
    <t>&lt;- includes savings from converting out of MoR, plus savings from less volume</t>
  </si>
  <si>
    <t>2018e      (Pre-eBay change)</t>
  </si>
  <si>
    <t>2018e     (w/ eBay change)</t>
  </si>
  <si>
    <t>2019e      (Pre-eBay change)</t>
  </si>
  <si>
    <t>2019e     (w/ eBay change)</t>
  </si>
  <si>
    <t>2020e      (Pre-eBay change)</t>
  </si>
  <si>
    <t>2020e     (w/ eBay change)</t>
  </si>
  <si>
    <t>2021e      (Pre-eBay change)</t>
  </si>
  <si>
    <t>2021e     (w/ eBay change)</t>
  </si>
  <si>
    <t>F18</t>
  </si>
  <si>
    <t>Percent of TPV from cross-border payments</t>
  </si>
  <si>
    <t>Priscilla Russo</t>
  </si>
  <si>
    <t>Associate</t>
  </si>
  <si>
    <t>212-296-4563</t>
  </si>
  <si>
    <t>priscilla.russo@morganstanley.com</t>
  </si>
  <si>
    <t>Restated Metrics</t>
  </si>
  <si>
    <t>Active accounts</t>
  </si>
  <si>
    <t>Total payment volume</t>
  </si>
  <si>
    <t xml:space="preserve">Number of payment transactions </t>
  </si>
  <si>
    <t xml:space="preserve">Payment Transactions per active account </t>
  </si>
  <si>
    <t>Transaction revenues</t>
  </si>
  <si>
    <t>Other valued added services</t>
  </si>
  <si>
    <t>Total net revenues</t>
  </si>
  <si>
    <t>1Q18A</t>
  </si>
  <si>
    <t xml:space="preserve">Cash flow due to restatement </t>
  </si>
  <si>
    <t>$2.31-2.34</t>
  </si>
  <si>
    <t>Research</t>
  </si>
  <si>
    <t>e = Morgan Stanley Research estimates unless otherwise noted</t>
  </si>
  <si>
    <t>Source: Morgan Stanley Research unless otherwise noted</t>
  </si>
  <si>
    <t>Stocks ratings are relative to the analyst's industry coverage universe.</t>
  </si>
  <si>
    <t>1585 Broadway</t>
  </si>
  <si>
    <t>New York, NY  10036-8293</t>
  </si>
  <si>
    <t>United States</t>
  </si>
  <si>
    <t>Tel: +1 (1)212 761 4000</t>
  </si>
  <si>
    <t>Authors: James Faucette, Vasundhara Govil, Brian Nowak, Priscilla Russo</t>
  </si>
  <si>
    <t>Date: 26 Apr 2018</t>
  </si>
  <si>
    <t>Ticker: PYPL.O</t>
  </si>
  <si>
    <t>Stock Rating: Overweight</t>
  </si>
  <si>
    <t>Industry: Payments and Processing</t>
  </si>
  <si>
    <t>Industry View: In-Line</t>
  </si>
  <si>
    <t>Price as of 26 Apr 2018: 74.00</t>
  </si>
  <si>
    <t>Target Price: 89</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</si>
  <si>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</si>
  <si>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</si>
  <si>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</si>
  <si>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</si>
  <si>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PayPal Holdings, Inc..</t>
  </si>
  <si>
    <t>STOCK RATINGS</t>
  </si>
  <si>
    <t>Global Stock Ratings Distribution</t>
  </si>
  <si>
    <t>(as of March 31, 2018)</t>
  </si>
  <si>
    <t>Coverage Universe</t>
  </si>
  <si>
    <t>Investment Banking Clients (IBC)</t>
  </si>
  <si>
    <t>Other Material Investment Services Clients (MISC)</t>
  </si>
  <si>
    <t>Stock Rating Category</t>
  </si>
  <si>
    <t>% of Total</t>
  </si>
  <si>
    <t>% of Total IBC</t>
  </si>
  <si>
    <t>% of Rating Category</t>
  </si>
  <si>
    <t>% of Total Other MISC</t>
  </si>
  <si>
    <t>Overweight/Buy</t>
  </si>
  <si>
    <t>Equal-weight/Hold</t>
  </si>
  <si>
    <t>Not-Rated/Hold</t>
  </si>
  <si>
    <t>Underweight/Sell</t>
  </si>
  <si>
    <t>Analyst Stock Ratings</t>
  </si>
  <si>
    <t>Analyst Industry Views</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</si>
  <si>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</si>
  <si>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</si>
  <si>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</si>
  <si>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</si>
  <si>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</si>
  <si>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</si>
  <si>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</si>
  <si>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</si>
  <si>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</si>
  <si>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</si>
  <si>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</si>
  <si>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</si>
  <si>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</si>
  <si>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</si>
  <si>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</si>
  <si>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</si>
  <si>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</si>
  <si>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</si>
  <si>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</si>
  <si>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</si>
  <si>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</si>
  <si>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</si>
  <si>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</si>
  <si>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</si>
  <si>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</si>
  <si>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</si>
  <si>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</si>
  <si>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</si>
  <si>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</si>
  <si>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</si>
  <si>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</si>
  <si>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</si>
  <si>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</si>
  <si>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</si>
  <si>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</si>
  <si>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</si>
  <si>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</si>
  <si>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</si>
  <si>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</si>
  <si>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</si>
  <si>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</si>
  <si>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</si>
  <si>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</si>
  <si>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</si>
  <si>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</si>
  <si>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</si>
  <si>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</si>
  <si>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</si>
  <si>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</si>
  <si>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</si>
  <si>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</si>
  <si>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</si>
  <si>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</si>
  <si>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</si>
  <si>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</si>
  <si>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</si>
  <si>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</si>
  <si>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</si>
  <si>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</si>
  <si>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</si>
  <si>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</si>
  <si>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</si>
  <si>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</si>
  <si>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</si>
  <si>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</si>
  <si>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</si>
  <si>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</si>
  <si>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</si>
  <si>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</si>
  <si>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</si>
  <si>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</si>
  <si>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</si>
  <si>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</si>
  <si>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</si>
  <si>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</si>
  <si>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</si>
  <si>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</si>
  <si>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</si>
  <si>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</si>
  <si>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</si>
  <si>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</si>
  <si>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</si>
  <si>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</si>
  <si>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</si>
  <si>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</si>
  <si>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</si>
  <si>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</si>
  <si>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</si>
  <si>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</si>
  <si>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</si>
  <si>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</si>
  <si>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</si>
  <si>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</si>
  <si>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</si>
  <si>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</si>
  <si>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</si>
  <si>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</si>
  <si>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</si>
  <si>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</si>
  <si>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</si>
  <si>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</si>
  <si>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</si>
  <si>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</si>
  <si>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</si>
  <si>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</si>
  <si>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</si>
  <si>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</si>
  <si>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</si>
  <si>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</si>
  <si>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</si>
  <si>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</si>
  <si>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</si>
  <si>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</si>
  <si>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</si>
  <si>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</si>
  <si>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</si>
  <si>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</si>
  <si>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</si>
  <si>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</si>
  <si>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</si>
  <si>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</si>
  <si>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</si>
  <si>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</si>
  <si>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</si>
  <si>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</si>
  <si>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</si>
  <si>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</si>
  <si>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</si>
  <si>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</si>
  <si>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</si>
  <si>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</si>
  <si>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</si>
  <si>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</si>
  <si>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</si>
  <si>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</si>
  <si>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</si>
  <si>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</si>
  <si>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</si>
  <si>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</si>
  <si>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</si>
  <si>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</si>
  <si>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</si>
  <si>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</si>
  <si>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</si>
  <si>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</si>
  <si>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</si>
  <si>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</si>
  <si>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</si>
  <si>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</si>
  <si>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</si>
  <si>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</si>
  <si>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</si>
  <si>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</si>
  <si>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</si>
  <si>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</si>
  <si>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</si>
  <si>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</si>
  <si>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</si>
  <si>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PayPal Holdings, Inc..</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</si>
  <si>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</si>
  <si>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</si>
  <si>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</si>
  <si>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</si>
  <si>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</si>
  <si>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</si>
  <si>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</si>
  <si>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</si>
  <si>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</si>
  <si>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</si>
  <si>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</si>
  <si>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</si>
  <si>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</si>
  <si>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</si>
  <si>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</si>
  <si>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</si>
  <si>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</si>
  <si>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</si>
  <si>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</si>
  <si>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</si>
  <si>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</si>
  <si>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</si>
  <si>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</si>
  <si>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</si>
  <si>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</si>
  <si>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</si>
  <si>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</si>
  <si>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</si>
  <si>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</si>
  <si>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</si>
  <si>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</si>
  <si>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</si>
  <si>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</si>
  <si>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</si>
  <si>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</si>
  <si>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</si>
  <si>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</si>
  <si>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</si>
  <si>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</si>
  <si>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</si>
  <si>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</si>
  <si>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</si>
  <si>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</si>
  <si>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</si>
  <si>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</si>
  <si>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</si>
  <si>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</si>
  <si>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</si>
  <si>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</si>
  <si>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</si>
  <si>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</si>
  <si>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</si>
  <si>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</si>
  <si>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</si>
  <si>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</si>
  <si>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</si>
  <si>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</si>
  <si>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</si>
  <si>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</si>
  <si>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</si>
  <si>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</si>
  <si>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</si>
  <si>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</si>
  <si>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</si>
  <si>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</si>
  <si>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</si>
  <si>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either provided or is providing non-investment banking,</t>
  </si>
  <si>
    <t>securities-related services to and/or in the past has entered into an agreement to provide services or</t>
  </si>
  <si>
    <t>has a client relationship with the following company: PayPal Holdings, Inc..</t>
  </si>
  <si>
    <t>Within the last 12 months, Morgan Stanley has provided or is providing investment banking services to,</t>
  </si>
  <si>
    <t>or has an investment banking client relationship with, the following company: PayPal Holdings, Inc..</t>
  </si>
  <si>
    <t>Within the last 12 months, Morgan Stanley has received compensation for products and services other than</t>
  </si>
  <si>
    <t>investment banking services from PayPal Holdings, Inc..</t>
  </si>
  <si>
    <t>In the next 3 months, Morgan Stanley expects to receive or intends to seek compensation for investment</t>
  </si>
  <si>
    <t>banking services from PayPal Holdings, Inc..</t>
  </si>
  <si>
    <t>Within the last 12 months, Morgan Stanley has received compensation for investment banking services from</t>
  </si>
  <si>
    <t>PayPal Holdings, Inc..</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</si>
  <si>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</si>
  <si>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</si>
  <si>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</si>
  <si>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</si>
  <si>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</si>
  <si>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James E Faucette.</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</si>
  <si>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</si>
  <si>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</si>
  <si>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</si>
  <si>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</si>
  <si>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</si>
  <si>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</si>
  <si>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</si>
  <si>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</si>
  <si>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</si>
  <si>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</si>
  <si>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</si>
  <si>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</si>
  <si>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</si>
  <si>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</si>
  <si>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</si>
  <si>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</si>
  <si>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</si>
  <si>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</si>
  <si>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</si>
  <si>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</si>
  <si>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</si>
  <si>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</si>
  <si>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</si>
  <si>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</si>
  <si>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Company</t>
  </si>
  <si>
    <t>DocType</t>
  </si>
  <si>
    <t>Model</t>
  </si>
  <si>
    <t>SubjectCode</t>
  </si>
  <si>
    <t>Description</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</si>
  <si>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</si>
  <si>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</si>
  <si>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</si>
  <si>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</si>
  <si>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</si>
  <si>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</si>
  <si>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</si>
  <si>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</si>
  <si>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</si>
  <si>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</si>
  <si>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</si>
  <si>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</si>
  <si>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</si>
  <si>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</si>
  <si>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</si>
  <si>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</si>
  <si>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</si>
  <si>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</si>
  <si>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</si>
  <si>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</si>
  <si>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</si>
  <si>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</si>
  <si>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</si>
  <si>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</si>
  <si>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</si>
  <si>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</si>
  <si>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</si>
  <si>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</si>
  <si>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</si>
  <si>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</si>
  <si>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</si>
  <si>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</si>
  <si>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</si>
  <si>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</si>
  <si>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</si>
  <si>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</si>
  <si>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</si>
  <si>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</si>
  <si>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</si>
  <si>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Overweight / In-Line</t>
  </si>
  <si>
    <t>Quarterly Update</t>
  </si>
  <si>
    <t>NorthAmerica</t>
  </si>
  <si>
    <t>priscr</t>
  </si>
  <si>
    <t>MSA38JKV, MSA93FJR, MSA32LVJ, MSA86JHP</t>
  </si>
  <si>
    <t>70450Y103</t>
  </si>
  <si>
    <t>C:\Users\priscr\AppData\Local\Temp\PYPL Model.xlsx</t>
  </si>
  <si>
    <t>[BRO MSA]</t>
  </si>
  <si>
    <t>[PRODUCT MODEL]</t>
  </si>
  <si>
    <t>[EMAIL_ALERT YES]</t>
  </si>
  <si>
    <t>[DISCIPLINE Company]</t>
  </si>
  <si>
    <t>[SUPPRESSED NO]</t>
  </si>
  <si>
    <t>[DOCDAT 2018-04-26]</t>
  </si>
  <si>
    <t>[DOCTIME 09:03]</t>
  </si>
  <si>
    <t>[PSYM PYPL.O(S&amp;P) (None)]</t>
  </si>
  <si>
    <t>[COU 1]</t>
  </si>
  <si>
    <t>[ANA MSA93FJR MSA32LVJ MSA86JHP]</t>
  </si>
  <si>
    <t>[HL PYPL.O Model]</t>
  </si>
  <si>
    <t>[IND COMPUT]</t>
  </si>
  <si>
    <t>[PANA MSA38JKV]</t>
  </si>
  <si>
    <t>Morgan Stanley is acting as financial advisor to Synchrony Financial (“Synchrony”) in connection with its agreement to acquire receivables from PayPal Holdings, Inc., as announced on November 16, 2017. The transaction is subject to regulatory approvals and other customary conditions. Please refer to the notes at the end of this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</si>
</sst>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4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_);\(#,##0.0\)"/>
    <numFmt numFmtId="166" formatCode="0.0%_);\(0.0%\)"/>
    <numFmt numFmtId="167" formatCode="#,##0.0"/>
    <numFmt numFmtId="168" formatCode="&quot;$&quot;#,##0.0_);\(&quot;$&quot;#,##0.0\)"/>
    <numFmt numFmtId="169" formatCode="_(* #,##0_);_(* \(#,##0\);_(* &quot;-&quot;??_);_(@_)"/>
    <numFmt numFmtId="170" formatCode="&quot;$&quot;#,##0.0_);[Red]\(&quot;$&quot;#,##0.0\)"/>
    <numFmt numFmtId="171" formatCode="_(* #,##0.0_);_(* \(#,##0.0\);_(* &quot;-&quot;??_);_(@_)"/>
    <numFmt numFmtId="172" formatCode="&quot;$&quot;#,##0.00"/>
    <numFmt numFmtId="173" formatCode="0.00%_);\(0.00%\)"/>
    <numFmt numFmtId="174" formatCode="0.0"/>
    <numFmt numFmtId="175" formatCode="&quot;$&quot;#,##0"/>
    <numFmt numFmtId="176" formatCode="_(* #,##0.0000_);_(* \(#,##0.0000\);_(* &quot;-&quot;??_);_(@_)"/>
    <numFmt numFmtId="177" formatCode="0.0\x"/>
    <numFmt numFmtId="178" formatCode="0.000%"/>
    <numFmt numFmtId="179" formatCode="#,##0.00%_);\(#,##0.00%\);\-\-\%_);@_)"/>
    <numFmt numFmtId="180" formatCode="#,##0.0%_);\(#,##0.0%\);\-\-\%_);@_)"/>
    <numFmt numFmtId="181" formatCode="#,##0%_);\(#,##0%\);\-\-\%_);@_)"/>
    <numFmt numFmtId="182" formatCode="0.000"/>
    <numFmt numFmtId="183" formatCode="#,##0\ &quot;bps &quot;"/>
    <numFmt numFmtId="184" formatCode="#,##0&quot; bps&quot;"/>
    <numFmt numFmtId="185" formatCode="#,##0.0\x"/>
    <numFmt numFmtId="186" formatCode="#,##0.0_);\(#,##0.0\);#,##0.0_);@_)"/>
    <numFmt numFmtId="187" formatCode="&quot;$&quot;_(#,##0.00_);&quot;$&quot;\(#,##0.00\);&quot;$&quot;_(0.00_);@_)"/>
    <numFmt numFmtId="188" formatCode="#,##0.00_);\(#,##0.00\);0.00_);@_)"/>
    <numFmt numFmtId="189" formatCode="#,##0.0_)\x;\(#,##0.0\)\x;0.0_)\x;@_)_x"/>
    <numFmt numFmtId="190" formatCode="#,##0.0_)_x;\(#,##0.0\)_x;0.0_)_x;@_)_x"/>
    <numFmt numFmtId="191" formatCode="0.0_)\%;\(0.0\)\%;0.0_)\%;@_)_%"/>
    <numFmt numFmtId="192" formatCode="#,##0.0_)_%;\(#,##0.0\)_%;0.0_)_%;@_)_%"/>
    <numFmt numFmtId="193" formatCode="0_)"/>
    <numFmt numFmtId="194" formatCode="0.0%;\(0.0%\)"/>
    <numFmt numFmtId="195" formatCode="_-* #,##0\ _P_t_a_-;\-* #,##0\ _P_t_a_-;_-* &quot;-&quot;\ _P_t_a_-;_-@_-"/>
    <numFmt numFmtId="196" formatCode="_-* #,##0.00\ _P_t_a_-;\-* #,##0.00\ _P_t_a_-;_-* &quot;-&quot;??\ _P_t_a_-;_-@_-"/>
    <numFmt numFmtId="197" formatCode="_-* #,##0\ &quot;pta&quot;_-;\-* #,##0\ &quot;pta&quot;_-;_-* &quot;-&quot;\ &quot;pta&quot;_-;_-@_-"/>
    <numFmt numFmtId="198" formatCode="_-* #,##0.00\ &quot;pta&quot;_-;\-* #,##0.00\ &quot;pta&quot;_-;_-* &quot;-&quot;??\ &quot;pta&quot;_-;_-@_-"/>
    <numFmt numFmtId="199" formatCode="0.00\ \ \ \ "/>
    <numFmt numFmtId="200" formatCode="_(* #,##0.0_);_(* \(#,##0.0\);_(* &quot;-&quot;?_);_(@_)"/>
    <numFmt numFmtId="201" formatCode="0.0000000000000000%"/>
    <numFmt numFmtId="202" formatCode="0.000000000000000000%"/>
    <numFmt numFmtId="203" formatCode="mm/dd/yy\ hh:mm"/>
  </numFmts>
  <fonts count="83">
    <font>
      <sz val="10"/>
      <name val="Arial"/>
      <family val="2"/>
    </font>
    <font>
      <sz val="10"/>
      <name val="Arial"/>
      <family val="2"/>
    </font>
    <font>
      <b/>
      <sz val="11"/>
      <name val="Arial"/>
      <family val="2"/>
    </font>
    <font>
      <b/>
      <sz val="10"/>
      <name val="Arial"/>
      <family val="2"/>
    </font>
    <font>
      <b/>
      <sz val="12"/>
      <name val="Arial"/>
      <family val="2"/>
    </font>
    <font>
      <b/>
      <sz val="14"/>
      <name val="Arial"/>
      <family val="2"/>
    </font>
    <font>
      <sz val="8"/>
      <name val="Arial"/>
      <family val="2"/>
    </font>
    <font>
      <b/>
      <sz val="8"/>
      <name val="Arial"/>
      <family val="2"/>
    </font>
    <font>
      <sz val="10"/>
      <color indexed="9"/>
      <name val="Arial"/>
      <family val="2"/>
    </font>
    <font>
      <b/>
      <sz val="10"/>
      <color indexed="9"/>
      <name val="arial"/>
      <family val="2"/>
    </font>
    <font>
      <sz val="10"/>
      <name val="Inherit"/>
    </font>
    <font>
      <sz val="9"/>
      <name val="Arial"/>
      <family val="2"/>
    </font>
    <font>
      <sz val="10"/>
      <color rgb="FF0000FF"/>
      <name val="Arial"/>
      <family val="2"/>
    </font>
    <font>
      <sz val="10"/>
      <color indexed="12"/>
      <name val="Arial"/>
      <family val="2"/>
    </font>
    <font>
      <sz val="10"/>
      <color indexed="17"/>
      <name val="arial"/>
      <family val="2"/>
    </font>
    <font>
      <sz val="8"/>
      <color rgb="FF0000FF"/>
      <name val="Arial"/>
      <family val="2"/>
    </font>
    <font>
      <sz val="8"/>
      <color indexed="12"/>
      <name val="Arial"/>
      <family val="2"/>
    </font>
    <font>
      <b/>
      <sz val="10"/>
      <color indexed="8"/>
      <name val="arial"/>
      <family val="2"/>
    </font>
    <font>
      <sz val="10"/>
      <color indexed="8"/>
      <name val="Arial"/>
      <family val="2"/>
    </font>
    <font>
      <sz val="10"/>
      <color indexed="22"/>
      <name val="Arial"/>
      <family val="2"/>
    </font>
    <font>
      <b/>
      <sz val="10"/>
      <color indexed="22"/>
      <name val="Arial"/>
      <family val="2"/>
    </font>
    <font>
      <sz val="10"/>
      <color indexed="10"/>
      <name val="arial"/>
      <family val="2"/>
    </font>
    <font>
      <sz val="9"/>
      <color indexed="12"/>
      <name val="Arial"/>
      <family val="2"/>
    </font>
    <font>
      <sz val="8"/>
      <color indexed="10"/>
      <name val="Arial"/>
      <family val="2"/>
    </font>
    <font>
      <b/>
      <sz val="10"/>
      <color indexed="16"/>
      <name val="Arial"/>
      <family val="2"/>
    </font>
    <font>
      <b/>
      <sz val="10"/>
      <color indexed="12"/>
      <name val="Arial"/>
      <family val="2"/>
    </font>
    <font>
      <b/>
      <sz val="10"/>
      <color rgb="FF0000FF"/>
      <name val="Arial"/>
      <family val="2"/>
    </font>
    <font>
      <sz val="12"/>
      <name val="Arial"/>
      <family val="2"/>
    </font>
    <font>
      <b/>
      <sz val="9"/>
      <name val="Arial"/>
      <family val="2"/>
    </font>
    <font>
      <b/>
      <sz val="10"/>
      <color indexed="10"/>
      <name val="Arial"/>
      <family val="2"/>
    </font>
    <font>
      <b/>
      <sz val="10"/>
      <color rgb="FFFF0000"/>
      <name val="arial"/>
      <family val="2"/>
    </font>
    <font>
      <sz val="10"/>
      <color rgb="FFFF0000"/>
      <name val="arial"/>
      <family val="2"/>
    </font>
    <font>
      <b/>
      <sz val="9"/>
      <color indexed="81"/>
      <name val="Tahoma"/>
      <family val="2"/>
    </font>
    <font>
      <sz val="9"/>
      <color indexed="81"/>
      <name val="Tahoma"/>
      <family val="2"/>
    </font>
    <font>
      <b/>
      <u/>
      <sz val="9"/>
      <color indexed="81"/>
      <name val="Tahoma"/>
      <family val="2"/>
    </font>
    <font>
      <sz val="10"/>
      <color theme="0"/>
      <name val="Arial"/>
      <family val="2"/>
    </font>
    <font>
      <b/>
      <sz val="10"/>
      <color theme="0"/>
      <name val="arial"/>
      <family val="2"/>
    </font>
    <font>
      <sz val="10"/>
      <color theme="1"/>
      <name val="Arial"/>
      <family val="2"/>
    </font>
    <font>
      <b/>
      <sz val="10"/>
      <name val="Inherit"/>
    </font>
    <font>
      <sz val="7"/>
      <name val="Arial"/>
      <family val="2"/>
    </font>
    <font>
      <b/>
      <u/>
      <sz val="10"/>
      <name val="Arial"/>
      <family val="2"/>
    </font>
    <font>
      <b/>
      <sz val="10"/>
      <color rgb="FF0070C0"/>
      <name val="Arial"/>
      <family val="2"/>
    </font>
    <font>
      <sz val="10"/>
      <color rgb="FF008000"/>
      <name val="Arial"/>
      <family val="2"/>
    </font>
    <font>
      <b/>
      <sz val="10"/>
      <color theme="0" tint="-0.34998626667073579"/>
      <name val="Arial"/>
      <family val="2"/>
    </font>
    <font>
      <sz val="10"/>
      <color theme="0" tint="-0.34998626667073579"/>
      <name val="Arial"/>
      <family val="2"/>
    </font>
    <font>
      <b/>
      <sz val="10"/>
      <color theme="3" tint="0.79998168889431442"/>
      <name val="Arial"/>
      <family val="2"/>
    </font>
    <font>
      <b/>
      <sz val="10"/>
      <color rgb="FF008000"/>
      <name val="Arial"/>
      <family val="2"/>
    </font>
    <font>
      <b/>
      <i/>
      <sz val="8"/>
      <name val="Arial"/>
      <family val="2"/>
    </font>
    <font>
      <b/>
      <i/>
      <sz val="10"/>
      <name val="Arial"/>
      <family val="2"/>
    </font>
    <font>
      <b/>
      <i/>
      <sz val="10"/>
      <color indexed="12"/>
      <name val="Arial"/>
      <family val="2"/>
    </font>
    <font>
      <b/>
      <i/>
      <sz val="10"/>
      <color rgb="FF008000"/>
      <name val="Arial"/>
      <family val="2"/>
    </font>
    <font>
      <b/>
      <sz val="10"/>
      <color indexed="17"/>
      <name val="Arial"/>
      <family val="2"/>
    </font>
    <font>
      <b/>
      <sz val="8"/>
      <color indexed="12"/>
      <name val="Arial"/>
      <family val="2"/>
    </font>
    <font>
      <sz val="10"/>
      <color indexed="53"/>
      <name val="Arial"/>
      <family val="2"/>
    </font>
    <font>
      <sz val="10"/>
      <color theme="3" tint="0.79998168889431442"/>
      <name val="Arial"/>
      <family val="2"/>
    </font>
    <font>
      <sz val="10"/>
      <name val="Calibri"/>
      <family val="2"/>
      <scheme val="minor"/>
    </font>
    <font>
      <i/>
      <sz val="10"/>
      <name val="Arial"/>
      <family val="2"/>
    </font>
    <font>
      <b/>
      <sz val="10"/>
      <name val="Calibri"/>
      <family val="2"/>
      <scheme val="minor"/>
    </font>
    <font>
      <b/>
      <sz val="10"/>
      <color theme="0"/>
      <name val="Calibri"/>
      <family val="2"/>
      <scheme val="minor"/>
    </font>
    <font>
      <b/>
      <sz val="9"/>
      <color theme="0"/>
      <name val="Calibri"/>
      <family val="2"/>
      <scheme val="minor"/>
    </font>
    <font>
      <sz val="10"/>
      <color rgb="FF008000"/>
      <name val="Calibri"/>
      <family val="2"/>
      <scheme val="minor"/>
    </font>
    <font>
      <sz val="8"/>
      <name val="Calibri"/>
      <family val="2"/>
      <scheme val="minor"/>
    </font>
    <font>
      <sz val="8"/>
      <color rgb="FF0000FF"/>
      <name val="Calibri"/>
      <family val="2"/>
      <scheme val="minor"/>
    </font>
    <font>
      <sz val="10"/>
      <color rgb="FF0000FF"/>
      <name val="Calibri"/>
      <family val="2"/>
      <scheme val="minor"/>
    </font>
    <font>
      <sz val="10"/>
      <color theme="0"/>
      <name val="Calibri"/>
      <family val="2"/>
      <scheme val="minor"/>
    </font>
    <font>
      <b/>
      <u/>
      <sz val="10"/>
      <name val="Calibri"/>
      <family val="2"/>
      <scheme val="minor"/>
    </font>
    <font>
      <b/>
      <sz val="9"/>
      <name val="Calibri"/>
      <family val="2"/>
      <scheme val="minor"/>
    </font>
    <font>
      <b/>
      <i/>
      <sz val="10"/>
      <name val="Calibri"/>
      <family val="2"/>
      <scheme val="minor"/>
    </font>
    <font>
      <sz val="11"/>
      <name val="Arial"/>
      <family val="2"/>
    </font>
    <font>
      <sz val="10"/>
      <name val="GillSans"/>
      <family val="2"/>
    </font>
    <font>
      <sz val="10"/>
      <name val="Helvetica"/>
      <family val="2"/>
    </font>
    <font>
      <sz val="10"/>
      <name val="MS Sans Serif"/>
      <family val="2"/>
    </font>
    <font>
      <b/>
      <sz val="10"/>
      <color indexed="8"/>
      <name val="Times New Roman"/>
      <family val="1"/>
    </font>
    <font>
      <sz val="8"/>
      <name val="Palatino"/>
      <family val="1"/>
    </font>
    <font>
      <sz val="9"/>
      <name val="Times New Roman"/>
      <family val="1"/>
    </font>
    <font>
      <sz val="10"/>
      <color indexed="8"/>
      <name val="Times New Roman"/>
      <family val="1"/>
    </font>
    <font>
      <i/>
      <sz val="8"/>
      <name val="Times New Roman"/>
      <family val="1"/>
    </font>
    <font>
      <sz val="12"/>
      <name val="바탕체"/>
      <family val="3"/>
      <charset val="129"/>
    </font>
    <font>
      <b/>
      <sz val="10"/>
      <color theme="1"/>
      <name val="arial"/>
      <family val="2"/>
    </font>
    <font>
      <sz val="10"/>
      <name val="Arial"/>
      <family val="2"/>
    </font>
    <font>
      <sz val="10"/>
      <color rgb="FF000000"/>
      <name val="Arial"/>
      <family val="2"/>
    </font>
    <font>
      <sz val="10"/>
      <name val="Courier"/>
      <family val="3"/>
    </font>
    <font>
      <b/>
      <sz val="12"/>
      <color rgb="FF000080"/>
      <name val="Arial"/>
      <family val="2"/>
    </font>
  </fonts>
  <fills count="12">
    <fill>
      <patternFill patternType="none"/>
    </fill>
    <fill>
      <patternFill patternType="gray125"/>
    </fill>
    <fill>
      <patternFill patternType="solid">
        <fgColor indexed="9"/>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indexed="22"/>
        <bgColor indexed="64"/>
      </patternFill>
    </fill>
    <fill>
      <patternFill patternType="solid">
        <fgColor rgb="FFFFFF00"/>
        <bgColor indexed="64"/>
      </patternFill>
    </fill>
    <fill>
      <patternFill patternType="solid">
        <fgColor theme="3"/>
        <bgColor indexed="64"/>
      </patternFill>
    </fill>
    <fill>
      <patternFill patternType="solid">
        <fgColor theme="0" tint="-0.14999847407452621"/>
        <bgColor indexed="64"/>
      </patternFill>
    </fill>
    <fill>
      <patternFill patternType="solid">
        <fgColor indexed="65"/>
        <bgColor indexed="64"/>
      </patternFill>
    </fill>
    <fill>
      <patternFill patternType="solid">
        <fgColor indexed="43"/>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8"/>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hair">
        <color indexed="64"/>
      </right>
      <top style="thin">
        <color indexed="64"/>
      </top>
      <bottom/>
      <diagonal/>
    </border>
    <border>
      <left/>
      <right/>
      <top/>
      <bottom style="thin">
        <color indexed="8"/>
      </bottom>
      <diagonal/>
    </border>
    <border>
      <left/>
      <right/>
      <top style="thin">
        <color indexed="8"/>
      </top>
      <bottom/>
      <diagonal/>
    </border>
    <border>
      <left style="thin">
        <color indexed="9"/>
      </left>
      <right style="thin">
        <color indexed="9"/>
      </right>
      <top style="thin">
        <color indexed="8"/>
      </top>
      <bottom/>
      <diagonal/>
    </border>
    <border>
      <left style="thin">
        <color indexed="9"/>
      </left>
      <right style="thin">
        <color indexed="64"/>
      </right>
      <top style="thin">
        <color indexed="8"/>
      </top>
      <bottom/>
      <diagonal/>
    </border>
    <border>
      <left style="thin">
        <color indexed="9"/>
      </left>
      <right style="thin">
        <color indexed="9"/>
      </right>
      <top/>
      <bottom style="thin">
        <color indexed="64"/>
      </bottom>
      <diagonal/>
    </border>
    <border>
      <left style="thin">
        <color indexed="9"/>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top style="thin">
        <color indexed="8"/>
      </top>
      <bottom/>
      <diagonal/>
    </border>
    <border>
      <left/>
      <right style="thin">
        <color indexed="9"/>
      </right>
      <top style="thin">
        <color indexed="8"/>
      </top>
      <bottom/>
      <diagonal/>
    </border>
    <border>
      <left style="thin">
        <color indexed="9"/>
      </left>
      <right/>
      <top/>
      <bottom style="thin">
        <color indexed="64"/>
      </bottom>
      <diagonal/>
    </border>
    <border>
      <left/>
      <right style="thin">
        <color indexed="9"/>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5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applyNumberForma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alignment vertical="top"/>
    </xf>
    <xf numFmtId="0" fontId="1" fillId="0" borderId="0"/>
    <xf numFmtId="0" fontId="1" fillId="11" borderId="0" applyNumberFormat="0" applyFont="0" applyBorder="0" applyAlignment="0" applyProtection="0"/>
    <xf numFmtId="0" fontId="69" fillId="0" borderId="0"/>
    <xf numFmtId="0" fontId="1" fillId="0" borderId="0"/>
    <xf numFmtId="186"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0" fontId="70" fillId="0" borderId="0"/>
    <xf numFmtId="189" fontId="1" fillId="0" borderId="0" applyFont="0" applyFill="0" applyBorder="0" applyAlignment="0" applyProtection="0"/>
    <xf numFmtId="190" fontId="1" fillId="0" borderId="0" applyFont="0" applyFill="0" applyBorder="0" applyAlignment="0" applyProtection="0"/>
    <xf numFmtId="191" fontId="1" fillId="0" borderId="0" applyFont="0" applyFill="0" applyBorder="0" applyAlignment="0" applyProtection="0"/>
    <xf numFmtId="192"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applyFill="0" applyAlignment="0">
      <protection locked="0"/>
    </xf>
    <xf numFmtId="0" fontId="71" fillId="0" borderId="0"/>
    <xf numFmtId="0" fontId="71" fillId="0" borderId="0"/>
    <xf numFmtId="193" fontId="71" fillId="0" borderId="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72" fillId="0" borderId="0"/>
    <xf numFmtId="0" fontId="1" fillId="0" borderId="0"/>
    <xf numFmtId="0" fontId="1" fillId="0" borderId="0"/>
    <xf numFmtId="194" fontId="1" fillId="6" borderId="8">
      <alignment horizontal="right"/>
    </xf>
    <xf numFmtId="170" fontId="1" fillId="6" borderId="8">
      <alignment horizontal="right"/>
    </xf>
    <xf numFmtId="0" fontId="73" fillId="0" borderId="0" applyFont="0" applyFill="0" applyBorder="0" applyAlignment="0" applyProtection="0">
      <alignment horizontal="right"/>
    </xf>
    <xf numFmtId="166" fontId="1" fillId="0" borderId="0">
      <alignment horizontal="right"/>
    </xf>
    <xf numFmtId="195" fontId="1"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 fillId="0" borderId="0" applyFont="0" applyFill="0" applyBorder="0" applyAlignment="0" applyProtection="0"/>
    <xf numFmtId="174" fontId="1" fillId="0" borderId="0"/>
    <xf numFmtId="0" fontId="74" fillId="0" borderId="0">
      <alignment vertical="center"/>
    </xf>
    <xf numFmtId="199" fontId="69" fillId="6" borderId="0"/>
    <xf numFmtId="165" fontId="75" fillId="0" borderId="0"/>
    <xf numFmtId="0" fontId="75" fillId="0" borderId="0"/>
    <xf numFmtId="0" fontId="75" fillId="0" borderId="36">
      <alignment horizontal="centerContinuous"/>
    </xf>
    <xf numFmtId="0" fontId="76" fillId="0" borderId="36"/>
    <xf numFmtId="0" fontId="1" fillId="0" borderId="0" applyFont="0" applyFill="0" applyBorder="0" applyAlignment="0" applyProtection="0"/>
    <xf numFmtId="0" fontId="77" fillId="0" borderId="0" applyFont="0" applyFill="0" applyBorder="0" applyAlignment="0" applyProtection="0"/>
    <xf numFmtId="0" fontId="79" fillId="0" borderId="0"/>
    <xf numFmtId="44" fontId="79" fillId="0" borderId="0" applyFont="0" applyFill="0" applyBorder="0" applyAlignment="0" applyProtection="0"/>
    <xf numFmtId="0" fontId="81" fillId="0" borderId="0"/>
  </cellStyleXfs>
  <cellXfs count="1343">
    <xf numFmtId="0" fontId="0" fillId="0" borderId="0" xfId="0"/>
    <xf numFmtId="0" fontId="2" fillId="2" borderId="0" xfId="4" applyFont="1" applyFill="1" applyAlignment="1">
      <alignment horizontal="left"/>
    </xf>
    <xf numFmtId="0" fontId="1" fillId="2" borderId="0" xfId="4" applyFill="1"/>
    <xf numFmtId="0" fontId="3" fillId="2" borderId="0" xfId="4" applyFont="1" applyFill="1" applyAlignment="1"/>
    <xf numFmtId="0" fontId="3" fillId="2" borderId="0" xfId="4" applyFont="1" applyFill="1" applyAlignment="1">
      <alignment horizontal="right"/>
    </xf>
    <xf numFmtId="0" fontId="1" fillId="2" borderId="0" xfId="4" applyFont="1" applyFill="1" applyAlignment="1">
      <alignment horizontal="right"/>
    </xf>
    <xf numFmtId="0" fontId="1" fillId="2" borderId="0" xfId="5" applyFill="1"/>
    <xf numFmtId="0" fontId="4" fillId="2" borderId="0" xfId="0" applyFont="1" applyFill="1"/>
    <xf numFmtId="0" fontId="0" fillId="2" borderId="0" xfId="0" applyFill="1"/>
    <xf numFmtId="0" fontId="3" fillId="2" borderId="0" xfId="0" applyFont="1" applyFill="1" applyAlignment="1">
      <alignment horizontal="center"/>
    </xf>
    <xf numFmtId="0" fontId="1" fillId="2" borderId="0" xfId="0" applyFont="1" applyFill="1" applyAlignment="1">
      <alignment horizontal="right"/>
    </xf>
    <xf numFmtId="0" fontId="4" fillId="2" borderId="0" xfId="0" applyFont="1" applyFill="1" applyBorder="1" applyAlignment="1">
      <alignment vertical="center"/>
    </xf>
    <xf numFmtId="0" fontId="0" fillId="2" borderId="0" xfId="0" applyFill="1" applyBorder="1" applyAlignment="1">
      <alignment vertical="center"/>
    </xf>
    <xf numFmtId="0" fontId="3" fillId="2" borderId="0" xfId="0" applyFont="1" applyFill="1" applyAlignment="1">
      <alignment horizontal="center" vertical="center"/>
    </xf>
    <xf numFmtId="0" fontId="0" fillId="2" borderId="0" xfId="0" applyFill="1" applyAlignment="1">
      <alignment vertical="center"/>
    </xf>
    <xf numFmtId="0" fontId="1" fillId="2" borderId="0" xfId="0" applyFont="1" applyFill="1" applyAlignment="1">
      <alignment horizontal="right" vertical="center"/>
    </xf>
    <xf numFmtId="0" fontId="0" fillId="0" borderId="0" xfId="0" applyFill="1"/>
    <xf numFmtId="0" fontId="4" fillId="0" borderId="0" xfId="0" applyFont="1" applyFill="1" applyBorder="1"/>
    <xf numFmtId="0" fontId="3" fillId="0" borderId="0" xfId="0" applyFont="1" applyFill="1" applyAlignment="1">
      <alignment horizontal="center"/>
    </xf>
    <xf numFmtId="0" fontId="1" fillId="0" borderId="0" xfId="0" applyFont="1" applyFill="1" applyBorder="1" applyAlignment="1">
      <alignment horizontal="right"/>
    </xf>
    <xf numFmtId="0" fontId="5" fillId="3" borderId="0" xfId="0" applyFont="1" applyFill="1" applyBorder="1" applyAlignment="1">
      <alignment horizontal="centerContinuous"/>
    </xf>
    <xf numFmtId="0" fontId="1" fillId="0" borderId="0" xfId="0" applyFont="1" applyFill="1" applyBorder="1"/>
    <xf numFmtId="0" fontId="3" fillId="0" borderId="0" xfId="0" applyFont="1" applyFill="1" applyBorder="1"/>
    <xf numFmtId="0" fontId="1" fillId="3" borderId="1" xfId="0" applyFont="1" applyFill="1" applyBorder="1" applyAlignment="1">
      <alignment horizontal="center"/>
    </xf>
    <xf numFmtId="0" fontId="3" fillId="3" borderId="1" xfId="0" applyFont="1" applyFill="1" applyBorder="1" applyAlignment="1">
      <alignment horizontal="center"/>
    </xf>
    <xf numFmtId="0" fontId="3" fillId="3" borderId="1" xfId="0" applyFont="1" applyFill="1" applyBorder="1"/>
    <xf numFmtId="0" fontId="3" fillId="3" borderId="1" xfId="0" applyFont="1" applyFill="1" applyBorder="1" applyAlignment="1">
      <alignment horizontal="centerContinuous"/>
    </xf>
    <xf numFmtId="0" fontId="3" fillId="2" borderId="2" xfId="0" applyFont="1" applyFill="1" applyBorder="1"/>
    <xf numFmtId="37" fontId="1" fillId="2" borderId="3" xfId="0" applyNumberFormat="1" applyFont="1" applyFill="1" applyBorder="1"/>
    <xf numFmtId="0" fontId="1" fillId="2" borderId="0" xfId="0" applyFont="1" applyFill="1" applyBorder="1"/>
    <xf numFmtId="0" fontId="3" fillId="0" borderId="4" xfId="0" applyFont="1" applyFill="1" applyBorder="1"/>
    <xf numFmtId="37" fontId="1" fillId="0" borderId="2" xfId="0" applyNumberFormat="1" applyFont="1" applyFill="1" applyBorder="1" applyAlignment="1">
      <alignment horizontal="center"/>
    </xf>
    <xf numFmtId="164" fontId="1" fillId="0" borderId="5" xfId="0" applyNumberFormat="1" applyFont="1" applyFill="1" applyBorder="1" applyAlignment="1">
      <alignment horizontal="center"/>
    </xf>
    <xf numFmtId="164" fontId="1" fillId="0" borderId="3" xfId="0" applyNumberFormat="1" applyFont="1" applyFill="1" applyBorder="1" applyAlignment="1">
      <alignment horizontal="center"/>
    </xf>
    <xf numFmtId="0" fontId="1" fillId="2" borderId="6" xfId="0" applyFont="1" applyFill="1" applyBorder="1"/>
    <xf numFmtId="165" fontId="1" fillId="2" borderId="6" xfId="0" applyNumberFormat="1" applyFont="1" applyFill="1" applyBorder="1"/>
    <xf numFmtId="0" fontId="3" fillId="0" borderId="7" xfId="0" applyFont="1" applyFill="1" applyBorder="1"/>
    <xf numFmtId="164" fontId="3" fillId="0" borderId="6" xfId="0" applyNumberFormat="1" applyFont="1" applyFill="1" applyBorder="1" applyAlignment="1">
      <alignment horizontal="center"/>
    </xf>
    <xf numFmtId="1" fontId="3" fillId="0" borderId="7" xfId="0" applyNumberFormat="1" applyFont="1" applyFill="1" applyBorder="1" applyAlignment="1">
      <alignment horizontal="centerContinuous"/>
    </xf>
    <xf numFmtId="1" fontId="3" fillId="0" borderId="0" xfId="0" applyNumberFormat="1" applyFont="1" applyFill="1" applyBorder="1" applyAlignment="1">
      <alignment horizontal="centerContinuous"/>
    </xf>
    <xf numFmtId="1" fontId="3" fillId="0" borderId="8" xfId="0" applyNumberFormat="1" applyFont="1" applyFill="1" applyBorder="1" applyAlignment="1">
      <alignment horizontal="centerContinuous"/>
    </xf>
    <xf numFmtId="0" fontId="1" fillId="0" borderId="6" xfId="0" applyFont="1" applyBorder="1"/>
    <xf numFmtId="0" fontId="1" fillId="0" borderId="7" xfId="0" applyFont="1" applyFill="1" applyBorder="1"/>
    <xf numFmtId="166" fontId="6" fillId="0" borderId="6" xfId="3" applyNumberFormat="1" applyFont="1" applyFill="1" applyBorder="1" applyAlignment="1">
      <alignment horizontal="center"/>
    </xf>
    <xf numFmtId="164" fontId="1" fillId="0" borderId="0" xfId="0" applyNumberFormat="1" applyFont="1" applyFill="1" applyBorder="1" applyAlignment="1">
      <alignment horizontal="left" indent="5"/>
    </xf>
    <xf numFmtId="164" fontId="1" fillId="0" borderId="8" xfId="0" applyNumberFormat="1" applyFont="1" applyFill="1" applyBorder="1" applyAlignment="1">
      <alignment horizontal="left" indent="5"/>
    </xf>
    <xf numFmtId="0" fontId="6" fillId="2" borderId="6" xfId="0" applyFont="1" applyFill="1" applyBorder="1" applyAlignment="1">
      <alignment horizontal="left" indent="1"/>
    </xf>
    <xf numFmtId="9" fontId="6" fillId="2" borderId="9" xfId="3" applyNumberFormat="1" applyFont="1" applyFill="1" applyBorder="1"/>
    <xf numFmtId="9" fontId="3" fillId="0" borderId="7" xfId="0" applyNumberFormat="1" applyFont="1" applyFill="1" applyBorder="1" applyAlignment="1">
      <alignment horizontal="centerContinuous"/>
    </xf>
    <xf numFmtId="0" fontId="3" fillId="3" borderId="10" xfId="0" applyFont="1" applyFill="1" applyBorder="1"/>
    <xf numFmtId="165" fontId="3" fillId="3" borderId="10" xfId="0" applyNumberFormat="1" applyFont="1" applyFill="1" applyBorder="1"/>
    <xf numFmtId="0" fontId="7" fillId="3" borderId="11" xfId="0" applyFont="1" applyFill="1" applyBorder="1" applyAlignment="1">
      <alignment horizontal="left" indent="1"/>
    </xf>
    <xf numFmtId="164" fontId="7" fillId="3" borderId="11" xfId="3" applyNumberFormat="1" applyFont="1" applyFill="1" applyBorder="1"/>
    <xf numFmtId="9" fontId="3" fillId="0" borderId="0" xfId="0" applyNumberFormat="1" applyFont="1" applyFill="1" applyBorder="1" applyAlignment="1">
      <alignment horizontal="centerContinuous"/>
    </xf>
    <xf numFmtId="9" fontId="3" fillId="0" borderId="8" xfId="0" applyNumberFormat="1" applyFont="1" applyFill="1" applyBorder="1" applyAlignment="1">
      <alignment horizontal="centerContinuous"/>
    </xf>
    <xf numFmtId="43" fontId="1" fillId="2" borderId="6" xfId="1" applyFont="1" applyFill="1" applyBorder="1"/>
    <xf numFmtId="0" fontId="0" fillId="2" borderId="6" xfId="0" applyFont="1" applyFill="1" applyBorder="1"/>
    <xf numFmtId="167" fontId="3" fillId="0" borderId="6" xfId="0" applyNumberFormat="1" applyFont="1" applyFill="1" applyBorder="1" applyAlignment="1">
      <alignment horizontal="center"/>
    </xf>
    <xf numFmtId="16" fontId="3" fillId="0" borderId="7" xfId="0" applyNumberFormat="1" applyFont="1" applyFill="1" applyBorder="1" applyAlignment="1">
      <alignment horizontal="centerContinuous"/>
    </xf>
    <xf numFmtId="0" fontId="1" fillId="2" borderId="6" xfId="0" applyFont="1" applyFill="1" applyBorder="1" applyAlignment="1">
      <alignment horizontal="left" indent="1"/>
    </xf>
    <xf numFmtId="164" fontId="6" fillId="2" borderId="6" xfId="3" applyNumberFormat="1" applyFont="1" applyFill="1" applyBorder="1"/>
    <xf numFmtId="37" fontId="1" fillId="2" borderId="6" xfId="0" applyNumberFormat="1" applyFont="1" applyFill="1" applyBorder="1"/>
    <xf numFmtId="8" fontId="3" fillId="0" borderId="6" xfId="3" applyNumberFormat="1" applyFont="1" applyFill="1" applyBorder="1" applyAlignment="1">
      <alignment horizontal="center"/>
    </xf>
    <xf numFmtId="164" fontId="1" fillId="0" borderId="0" xfId="0" applyNumberFormat="1" applyFont="1" applyFill="1" applyBorder="1" applyAlignment="1">
      <alignment horizontal="centerContinuous"/>
    </xf>
    <xf numFmtId="164" fontId="1" fillId="0" borderId="8" xfId="0" applyNumberFormat="1" applyFont="1" applyFill="1" applyBorder="1" applyAlignment="1">
      <alignment horizontal="centerContinuous"/>
    </xf>
    <xf numFmtId="0" fontId="3" fillId="0" borderId="12" xfId="0" applyFont="1" applyFill="1" applyBorder="1"/>
    <xf numFmtId="8" fontId="3" fillId="0" borderId="13" xfId="0" applyNumberFormat="1" applyFont="1" applyFill="1" applyBorder="1" applyAlignment="1">
      <alignment horizontal="center"/>
    </xf>
    <xf numFmtId="1" fontId="3" fillId="0" borderId="12" xfId="0" applyNumberFormat="1" applyFont="1" applyFill="1" applyBorder="1" applyAlignment="1">
      <alignment horizontal="center"/>
    </xf>
    <xf numFmtId="1" fontId="3" fillId="0" borderId="14" xfId="0" applyNumberFormat="1" applyFont="1" applyFill="1" applyBorder="1" applyAlignment="1">
      <alignment horizontal="center"/>
    </xf>
    <xf numFmtId="1" fontId="3" fillId="0" borderId="15" xfId="0" applyNumberFormat="1" applyFont="1" applyFill="1" applyBorder="1" applyAlignment="1">
      <alignment horizontal="center"/>
    </xf>
    <xf numFmtId="0" fontId="1" fillId="2" borderId="7" xfId="0" applyFont="1" applyFill="1" applyBorder="1"/>
    <xf numFmtId="0" fontId="1" fillId="0" borderId="0" xfId="0" applyFont="1" applyFill="1" applyBorder="1" applyAlignment="1">
      <alignment horizontal="left" indent="5"/>
    </xf>
    <xf numFmtId="0" fontId="3" fillId="3" borderId="16" xfId="0" applyFont="1" applyFill="1" applyBorder="1"/>
    <xf numFmtId="168" fontId="3" fillId="3" borderId="10" xfId="0" applyNumberFormat="1" applyFont="1" applyFill="1" applyBorder="1"/>
    <xf numFmtId="0" fontId="7" fillId="3" borderId="17" xfId="0" applyFont="1" applyFill="1" applyBorder="1" applyAlignment="1">
      <alignment horizontal="left" indent="1"/>
    </xf>
    <xf numFmtId="0" fontId="7" fillId="0" borderId="7" xfId="0" applyFont="1" applyFill="1" applyBorder="1" applyAlignment="1">
      <alignment horizontal="left" indent="1"/>
    </xf>
    <xf numFmtId="164" fontId="7" fillId="0" borderId="6" xfId="3" applyNumberFormat="1" applyFont="1" applyFill="1" applyBorder="1"/>
    <xf numFmtId="0" fontId="8" fillId="0" borderId="0" xfId="0" applyFont="1" applyFill="1" applyBorder="1" applyAlignment="1">
      <alignment horizontal="center"/>
    </xf>
    <xf numFmtId="0" fontId="9" fillId="0" borderId="0" xfId="0" applyFont="1" applyFill="1" applyBorder="1" applyAlignment="1">
      <alignment horizontal="center"/>
    </xf>
    <xf numFmtId="0" fontId="0" fillId="0" borderId="0" xfId="0" applyFill="1" applyBorder="1"/>
    <xf numFmtId="0" fontId="1" fillId="0" borderId="0" xfId="0" applyFont="1" applyFill="1" applyBorder="1" applyAlignment="1">
      <alignment horizontal="center"/>
    </xf>
    <xf numFmtId="0" fontId="10" fillId="0" borderId="0" xfId="0" applyFont="1" applyFill="1" applyBorder="1" applyAlignment="1">
      <alignment horizontal="left"/>
    </xf>
    <xf numFmtId="169" fontId="1" fillId="0" borderId="0" xfId="0" applyNumberFormat="1" applyFont="1" applyFill="1" applyBorder="1" applyAlignment="1"/>
    <xf numFmtId="7" fontId="3" fillId="3" borderId="10" xfId="0" applyNumberFormat="1" applyFont="1" applyFill="1" applyBorder="1"/>
    <xf numFmtId="0" fontId="6" fillId="2" borderId="7" xfId="0" applyFont="1" applyFill="1" applyBorder="1" applyAlignment="1">
      <alignment horizontal="left" indent="1"/>
    </xf>
    <xf numFmtId="0" fontId="3" fillId="2" borderId="16" xfId="0" applyFont="1" applyFill="1" applyBorder="1"/>
    <xf numFmtId="170" fontId="3" fillId="0" borderId="10" xfId="0" applyNumberFormat="1" applyFont="1" applyFill="1" applyBorder="1"/>
    <xf numFmtId="0" fontId="1" fillId="2" borderId="16" xfId="0" applyFont="1" applyFill="1" applyBorder="1"/>
    <xf numFmtId="165" fontId="1" fillId="2" borderId="10" xfId="0" applyNumberFormat="1" applyFont="1" applyFill="1" applyBorder="1"/>
    <xf numFmtId="0" fontId="1" fillId="2" borderId="7" xfId="0" applyFont="1" applyFill="1" applyBorder="1" applyAlignment="1">
      <alignment horizontal="left" indent="1"/>
    </xf>
    <xf numFmtId="0" fontId="1" fillId="2" borderId="12" xfId="0" applyFont="1" applyFill="1" applyBorder="1"/>
    <xf numFmtId="165" fontId="1" fillId="2" borderId="13" xfId="0" applyNumberFormat="1" applyFont="1" applyFill="1" applyBorder="1"/>
    <xf numFmtId="0" fontId="3" fillId="2" borderId="0" xfId="0" applyNumberFormat="1" applyFont="1" applyFill="1" applyBorder="1" applyAlignment="1">
      <alignment horizontal="center"/>
    </xf>
    <xf numFmtId="0" fontId="11" fillId="2" borderId="0" xfId="0" applyNumberFormat="1" applyFont="1" applyFill="1" applyBorder="1" applyAlignment="1">
      <alignment horizontal="left" vertical="center"/>
    </xf>
    <xf numFmtId="171" fontId="3" fillId="2" borderId="0" xfId="6" applyNumberFormat="1" applyFont="1" applyFill="1" applyBorder="1" applyAlignment="1">
      <alignment horizontal="right"/>
    </xf>
    <xf numFmtId="172" fontId="3" fillId="2" borderId="0" xfId="0" applyNumberFormat="1" applyFont="1" applyFill="1" applyBorder="1" applyAlignment="1">
      <alignment horizontal="right"/>
    </xf>
    <xf numFmtId="172" fontId="3" fillId="0" borderId="0" xfId="0" applyNumberFormat="1" applyFont="1" applyFill="1" applyBorder="1" applyAlignment="1">
      <alignment horizontal="right"/>
    </xf>
    <xf numFmtId="171" fontId="3" fillId="2" borderId="0" xfId="1" applyNumberFormat="1" applyFont="1" applyFill="1" applyBorder="1" applyAlignment="1">
      <alignment horizontal="right"/>
    </xf>
    <xf numFmtId="171" fontId="3" fillId="2" borderId="0" xfId="3" applyNumberFormat="1" applyFont="1" applyFill="1" applyBorder="1" applyAlignment="1">
      <alignment horizontal="right"/>
    </xf>
    <xf numFmtId="0" fontId="3" fillId="2" borderId="0" xfId="0" applyNumberFormat="1" applyFont="1" applyFill="1" applyBorder="1" applyAlignment="1">
      <alignment horizontal="right"/>
    </xf>
    <xf numFmtId="165" fontId="12" fillId="0" borderId="0" xfId="1" applyNumberFormat="1" applyFont="1" applyFill="1" applyBorder="1" applyAlignment="1">
      <alignment horizontal="right"/>
    </xf>
    <xf numFmtId="164" fontId="12" fillId="0" borderId="0" xfId="3" applyNumberFormat="1" applyFont="1" applyFill="1" applyBorder="1" applyAlignment="1">
      <alignment horizontal="right"/>
    </xf>
    <xf numFmtId="43" fontId="13" fillId="0" borderId="0" xfId="1" applyNumberFormat="1" applyFont="1" applyFill="1" applyBorder="1" applyAlignment="1">
      <alignment horizontal="right"/>
    </xf>
    <xf numFmtId="9" fontId="12" fillId="0" borderId="0" xfId="3" applyFont="1" applyFill="1" applyBorder="1" applyAlignment="1">
      <alignment horizontal="right"/>
    </xf>
    <xf numFmtId="0" fontId="3" fillId="0" borderId="0" xfId="0" applyFont="1" applyAlignment="1">
      <alignment horizontal="left"/>
    </xf>
    <xf numFmtId="9" fontId="3" fillId="2" borderId="0" xfId="3" applyFont="1" applyFill="1" applyBorder="1" applyAlignment="1">
      <alignment horizontal="right"/>
    </xf>
    <xf numFmtId="164" fontId="3" fillId="4" borderId="0" xfId="3" applyNumberFormat="1" applyFont="1" applyFill="1" applyBorder="1" applyAlignment="1">
      <alignment horizontal="right"/>
    </xf>
    <xf numFmtId="164" fontId="3" fillId="2" borderId="0" xfId="0" applyNumberFormat="1" applyFont="1" applyFill="1" applyBorder="1" applyAlignment="1">
      <alignment horizontal="right"/>
    </xf>
    <xf numFmtId="0" fontId="3" fillId="2" borderId="0" xfId="0" applyNumberFormat="1" applyFont="1" applyFill="1" applyBorder="1" applyAlignment="1">
      <alignment horizontal="left"/>
    </xf>
    <xf numFmtId="0" fontId="3" fillId="3" borderId="18" xfId="0" applyNumberFormat="1" applyFont="1" applyFill="1" applyBorder="1" applyAlignment="1">
      <alignment horizontal="center"/>
    </xf>
    <xf numFmtId="0" fontId="3" fillId="3" borderId="1" xfId="0" applyNumberFormat="1" applyFont="1" applyFill="1" applyBorder="1" applyAlignment="1">
      <alignment horizontal="center"/>
    </xf>
    <xf numFmtId="0" fontId="3" fillId="3" borderId="19" xfId="0" applyNumberFormat="1" applyFont="1" applyFill="1" applyBorder="1" applyAlignment="1">
      <alignment horizontal="center"/>
    </xf>
    <xf numFmtId="0" fontId="5" fillId="0" borderId="0" xfId="0" applyNumberFormat="1" applyFont="1" applyFill="1" applyBorder="1" applyAlignment="1">
      <alignment horizontal="left"/>
    </xf>
    <xf numFmtId="0" fontId="3" fillId="0" borderId="0" xfId="0" applyNumberFormat="1" applyFont="1" applyFill="1" applyBorder="1" applyAlignment="1">
      <alignment horizontal="center"/>
    </xf>
    <xf numFmtId="0" fontId="3" fillId="0" borderId="6" xfId="0" applyNumberFormat="1" applyFont="1" applyFill="1" applyBorder="1" applyAlignment="1">
      <alignment horizontal="center"/>
    </xf>
    <xf numFmtId="0" fontId="3" fillId="0" borderId="0" xfId="0" applyNumberFormat="1" applyFont="1" applyFill="1" applyBorder="1" applyAlignment="1">
      <alignment horizontal="right"/>
    </xf>
    <xf numFmtId="171" fontId="13" fillId="0" borderId="0" xfId="1" applyNumberFormat="1" applyFont="1" applyFill="1" applyBorder="1" applyAlignment="1">
      <alignment horizontal="right"/>
    </xf>
    <xf numFmtId="43" fontId="3" fillId="0" borderId="0" xfId="0" applyNumberFormat="1" applyFont="1" applyFill="1" applyBorder="1" applyAlignment="1">
      <alignment horizontal="right"/>
    </xf>
    <xf numFmtId="165" fontId="1" fillId="0" borderId="0" xfId="3" applyNumberFormat="1" applyFont="1" applyFill="1" applyBorder="1" applyAlignment="1">
      <alignment horizontal="right"/>
    </xf>
    <xf numFmtId="0" fontId="11" fillId="0" borderId="0" xfId="0" applyNumberFormat="1" applyFont="1" applyFill="1" applyBorder="1" applyAlignment="1">
      <alignment horizontal="left" vertical="center"/>
    </xf>
    <xf numFmtId="0" fontId="3" fillId="0" borderId="0" xfId="0" applyNumberFormat="1" applyFont="1" applyFill="1" applyBorder="1" applyAlignment="1">
      <alignment horizontal="centerContinuous"/>
    </xf>
    <xf numFmtId="171" fontId="3" fillId="0" borderId="0" xfId="0" applyNumberFormat="1" applyFont="1" applyFill="1" applyBorder="1" applyAlignment="1">
      <alignment horizontal="centerContinuous"/>
    </xf>
    <xf numFmtId="164" fontId="3" fillId="0" borderId="0" xfId="3" applyNumberFormat="1" applyFont="1" applyFill="1" applyBorder="1" applyAlignment="1">
      <alignment horizontal="right"/>
    </xf>
    <xf numFmtId="171" fontId="1" fillId="0" borderId="2" xfId="1" applyNumberFormat="1" applyFont="1" applyFill="1" applyBorder="1" applyAlignment="1"/>
    <xf numFmtId="171" fontId="14" fillId="0" borderId="5" xfId="6" applyNumberFormat="1" applyFont="1" applyFill="1" applyBorder="1" applyAlignment="1">
      <alignment horizontal="right"/>
    </xf>
    <xf numFmtId="171" fontId="14" fillId="3" borderId="2" xfId="6" applyNumberFormat="1" applyFont="1" applyFill="1" applyBorder="1" applyAlignment="1">
      <alignment horizontal="right"/>
    </xf>
    <xf numFmtId="171" fontId="14" fillId="3" borderId="2" xfId="1" applyNumberFormat="1" applyFont="1" applyFill="1" applyBorder="1" applyAlignment="1">
      <alignment horizontal="right"/>
    </xf>
    <xf numFmtId="171" fontId="14" fillId="0" borderId="5" xfId="1" applyNumberFormat="1" applyFont="1" applyFill="1" applyBorder="1" applyAlignment="1">
      <alignment horizontal="right"/>
    </xf>
    <xf numFmtId="171" fontId="14" fillId="3" borderId="2" xfId="1" applyNumberFormat="1" applyFont="1" applyFill="1" applyBorder="1" applyAlignment="1"/>
    <xf numFmtId="0" fontId="0" fillId="0" borderId="0" xfId="0" applyBorder="1"/>
    <xf numFmtId="171" fontId="1" fillId="0" borderId="0" xfId="1" applyNumberFormat="1" applyFont="1" applyBorder="1"/>
    <xf numFmtId="171" fontId="1" fillId="0" borderId="6" xfId="1" applyNumberFormat="1" applyFont="1" applyFill="1" applyBorder="1" applyAlignment="1"/>
    <xf numFmtId="171" fontId="14" fillId="0" borderId="0" xfId="6" applyNumberFormat="1" applyFont="1" applyFill="1" applyBorder="1" applyAlignment="1">
      <alignment horizontal="right"/>
    </xf>
    <xf numFmtId="171" fontId="14" fillId="3" borderId="6" xfId="6" applyNumberFormat="1" applyFont="1" applyFill="1" applyBorder="1" applyAlignment="1">
      <alignment horizontal="right"/>
    </xf>
    <xf numFmtId="171" fontId="14" fillId="3" borderId="6" xfId="1" applyNumberFormat="1" applyFont="1" applyFill="1" applyBorder="1" applyAlignment="1">
      <alignment horizontal="right"/>
    </xf>
    <xf numFmtId="171" fontId="14" fillId="0" borderId="0" xfId="1" applyNumberFormat="1" applyFont="1" applyFill="1" applyBorder="1" applyAlignment="1">
      <alignment horizontal="right"/>
    </xf>
    <xf numFmtId="171" fontId="14" fillId="3" borderId="6" xfId="1" applyNumberFormat="1" applyFont="1" applyFill="1" applyBorder="1" applyAlignment="1"/>
    <xf numFmtId="171" fontId="1" fillId="0" borderId="0" xfId="1" applyNumberFormat="1" applyFont="1" applyBorder="1" applyAlignment="1">
      <alignment horizontal="right"/>
    </xf>
    <xf numFmtId="165" fontId="6" fillId="0" borderId="6" xfId="1" applyNumberFormat="1" applyFont="1" applyFill="1" applyBorder="1" applyAlignment="1">
      <alignment horizontal="left" indent="2"/>
    </xf>
    <xf numFmtId="164" fontId="6" fillId="0" borderId="0" xfId="3" applyNumberFormat="1" applyFont="1" applyFill="1" applyBorder="1" applyAlignment="1">
      <alignment horizontal="right"/>
    </xf>
    <xf numFmtId="164" fontId="6" fillId="3" borderId="6" xfId="3" applyNumberFormat="1" applyFont="1" applyFill="1" applyBorder="1" applyAlignment="1">
      <alignment horizontal="right"/>
    </xf>
    <xf numFmtId="0" fontId="6" fillId="0" borderId="6" xfId="4" applyFont="1" applyFill="1" applyBorder="1" applyAlignment="1">
      <alignment horizontal="left" indent="3"/>
    </xf>
    <xf numFmtId="171" fontId="1" fillId="0" borderId="0" xfId="6" applyNumberFormat="1" applyFont="1" applyFill="1" applyBorder="1" applyAlignment="1">
      <alignment horizontal="right"/>
    </xf>
    <xf numFmtId="171" fontId="1" fillId="3" borderId="6" xfId="6" applyNumberFormat="1" applyFont="1" applyFill="1" applyBorder="1" applyAlignment="1">
      <alignment horizontal="right"/>
    </xf>
    <xf numFmtId="171" fontId="1" fillId="3" borderId="6" xfId="1" applyNumberFormat="1" applyFont="1" applyFill="1" applyBorder="1" applyAlignment="1">
      <alignment horizontal="right"/>
    </xf>
    <xf numFmtId="171" fontId="1" fillId="0" borderId="0" xfId="1" applyNumberFormat="1" applyFont="1" applyFill="1" applyBorder="1" applyAlignment="1">
      <alignment horizontal="right"/>
    </xf>
    <xf numFmtId="171" fontId="1" fillId="3" borderId="6" xfId="1" applyNumberFormat="1" applyFont="1" applyFill="1" applyBorder="1" applyAlignment="1"/>
    <xf numFmtId="0" fontId="1" fillId="2" borderId="0" xfId="0" applyNumberFormat="1" applyFont="1" applyFill="1" applyBorder="1"/>
    <xf numFmtId="0" fontId="1" fillId="0" borderId="7" xfId="0" applyNumberFormat="1" applyFont="1" applyFill="1" applyBorder="1" applyAlignment="1">
      <alignment wrapText="1"/>
    </xf>
    <xf numFmtId="164" fontId="14" fillId="0" borderId="0" xfId="1" applyNumberFormat="1" applyFont="1" applyFill="1" applyBorder="1" applyAlignment="1">
      <alignment horizontal="right"/>
    </xf>
    <xf numFmtId="0" fontId="3" fillId="2" borderId="0" xfId="0" applyNumberFormat="1" applyFont="1" applyFill="1" applyBorder="1"/>
    <xf numFmtId="171" fontId="3" fillId="3" borderId="1" xfId="1" applyNumberFormat="1" applyFont="1" applyFill="1" applyBorder="1" applyAlignment="1">
      <alignment horizontal="left"/>
    </xf>
    <xf numFmtId="171" fontId="3" fillId="3" borderId="18" xfId="6" applyNumberFormat="1" applyFont="1" applyFill="1" applyBorder="1" applyAlignment="1">
      <alignment horizontal="right"/>
    </xf>
    <xf numFmtId="171" fontId="3" fillId="3" borderId="1" xfId="6" applyNumberFormat="1" applyFont="1" applyFill="1" applyBorder="1" applyAlignment="1">
      <alignment horizontal="right"/>
    </xf>
    <xf numFmtId="171" fontId="3" fillId="3" borderId="1" xfId="1" applyNumberFormat="1" applyFont="1" applyFill="1" applyBorder="1" applyAlignment="1">
      <alignment horizontal="right"/>
    </xf>
    <xf numFmtId="171" fontId="3" fillId="3" borderId="18" xfId="1" applyNumberFormat="1" applyFont="1" applyFill="1" applyBorder="1" applyAlignment="1">
      <alignment horizontal="right"/>
    </xf>
    <xf numFmtId="164" fontId="3" fillId="2" borderId="0" xfId="0" applyNumberFormat="1" applyFont="1" applyFill="1" applyBorder="1"/>
    <xf numFmtId="0" fontId="6" fillId="0" borderId="0" xfId="0" applyFont="1"/>
    <xf numFmtId="164" fontId="6" fillId="3" borderId="6" xfId="3" applyNumberFormat="1" applyFont="1" applyFill="1" applyBorder="1" applyAlignment="1"/>
    <xf numFmtId="169" fontId="6" fillId="0" borderId="0" xfId="1" applyNumberFormat="1" applyFont="1" applyAlignment="1">
      <alignment horizontal="right"/>
    </xf>
    <xf numFmtId="0" fontId="1" fillId="0" borderId="0" xfId="0" applyFont="1"/>
    <xf numFmtId="164" fontId="15" fillId="3" borderId="6" xfId="3" applyNumberFormat="1" applyFont="1" applyFill="1" applyBorder="1" applyAlignment="1"/>
    <xf numFmtId="164" fontId="15" fillId="0" borderId="0" xfId="3" applyNumberFormat="1" applyFont="1" applyFill="1" applyBorder="1" applyAlignment="1">
      <alignment horizontal="right"/>
    </xf>
    <xf numFmtId="0" fontId="6" fillId="0" borderId="6" xfId="0" applyFont="1" applyFill="1" applyBorder="1" applyAlignment="1">
      <alignment horizontal="left" indent="4"/>
    </xf>
    <xf numFmtId="164" fontId="7" fillId="3" borderId="6" xfId="3" applyNumberFormat="1" applyFont="1" applyFill="1" applyBorder="1" applyAlignment="1">
      <alignment horizontal="right"/>
    </xf>
    <xf numFmtId="164" fontId="7" fillId="3" borderId="6" xfId="3" applyNumberFormat="1" applyFont="1" applyFill="1" applyBorder="1" applyAlignment="1"/>
    <xf numFmtId="167" fontId="0" fillId="0" borderId="0" xfId="0" applyNumberFormat="1" applyAlignment="1">
      <alignment horizontal="center"/>
    </xf>
    <xf numFmtId="171" fontId="12" fillId="0" borderId="0" xfId="6" applyNumberFormat="1" applyFont="1" applyFill="1" applyBorder="1" applyAlignment="1">
      <alignment horizontal="right"/>
    </xf>
    <xf numFmtId="171" fontId="12" fillId="3" borderId="6" xfId="6" applyNumberFormat="1" applyFont="1" applyFill="1" applyBorder="1" applyAlignment="1">
      <alignment horizontal="right"/>
    </xf>
    <xf numFmtId="171" fontId="12" fillId="3" borderId="6" xfId="1" applyNumberFormat="1" applyFont="1" applyFill="1" applyBorder="1" applyAlignment="1">
      <alignment horizontal="right"/>
    </xf>
    <xf numFmtId="171" fontId="12" fillId="0" borderId="0" xfId="1" applyNumberFormat="1" applyFont="1" applyFill="1" applyBorder="1" applyAlignment="1">
      <alignment horizontal="right"/>
    </xf>
    <xf numFmtId="165" fontId="1" fillId="3" borderId="6" xfId="1" applyNumberFormat="1" applyFont="1" applyFill="1" applyBorder="1" applyAlignment="1">
      <alignment horizontal="right"/>
    </xf>
    <xf numFmtId="164" fontId="6" fillId="0" borderId="0" xfId="0" applyNumberFormat="1" applyFont="1"/>
    <xf numFmtId="164" fontId="6" fillId="0" borderId="0" xfId="0" applyNumberFormat="1" applyFont="1" applyFill="1" applyBorder="1" applyAlignment="1">
      <alignment horizontal="right"/>
    </xf>
    <xf numFmtId="164" fontId="6" fillId="0" borderId="0" xfId="1" applyNumberFormat="1" applyFont="1" applyAlignment="1">
      <alignment horizontal="right"/>
    </xf>
    <xf numFmtId="166" fontId="6" fillId="0" borderId="0" xfId="3" applyNumberFormat="1" applyFont="1" applyFill="1" applyBorder="1" applyAlignment="1">
      <alignment horizontal="right"/>
    </xf>
    <xf numFmtId="10" fontId="6" fillId="3" borderId="6" xfId="3" applyNumberFormat="1" applyFont="1" applyFill="1" applyBorder="1" applyAlignment="1">
      <alignment horizontal="right"/>
    </xf>
    <xf numFmtId="10" fontId="6" fillId="0" borderId="7" xfId="3" applyNumberFormat="1" applyFont="1" applyFill="1" applyBorder="1" applyAlignment="1">
      <alignment horizontal="right"/>
    </xf>
    <xf numFmtId="173" fontId="6" fillId="0" borderId="0" xfId="3" applyNumberFormat="1" applyFont="1" applyFill="1" applyBorder="1" applyAlignment="1">
      <alignment horizontal="right"/>
    </xf>
    <xf numFmtId="10" fontId="6" fillId="0" borderId="0" xfId="3" applyNumberFormat="1" applyFont="1" applyFill="1" applyBorder="1" applyAlignment="1">
      <alignment horizontal="right"/>
    </xf>
    <xf numFmtId="10" fontId="6" fillId="0" borderId="0" xfId="0" applyNumberFormat="1" applyFont="1" applyFill="1" applyBorder="1" applyAlignment="1">
      <alignment horizontal="right"/>
    </xf>
    <xf numFmtId="164" fontId="15" fillId="5" borderId="6" xfId="7" applyNumberFormat="1" applyFont="1" applyFill="1" applyBorder="1" applyAlignment="1">
      <alignment horizontal="left" indent="2"/>
    </xf>
    <xf numFmtId="174" fontId="3" fillId="3" borderId="6" xfId="0" applyNumberFormat="1" applyFont="1" applyFill="1" applyBorder="1" applyAlignment="1">
      <alignment horizontal="right"/>
    </xf>
    <xf numFmtId="10" fontId="16" fillId="5" borderId="0" xfId="3" applyNumberFormat="1" applyFont="1" applyFill="1" applyBorder="1" applyAlignment="1">
      <alignment horizontal="right"/>
    </xf>
    <xf numFmtId="10" fontId="3" fillId="3" borderId="6" xfId="0" applyNumberFormat="1" applyFont="1" applyFill="1" applyBorder="1" applyAlignment="1">
      <alignment horizontal="right"/>
    </xf>
    <xf numFmtId="10" fontId="15" fillId="5" borderId="6" xfId="7" applyNumberFormat="1" applyFont="1" applyFill="1" applyBorder="1" applyAlignment="1">
      <alignment horizontal="left" indent="2"/>
    </xf>
    <xf numFmtId="10" fontId="1" fillId="0" borderId="0" xfId="0" applyNumberFormat="1" applyFont="1" applyFill="1" applyBorder="1" applyAlignment="1">
      <alignment horizontal="right"/>
    </xf>
    <xf numFmtId="10" fontId="1" fillId="3" borderId="6" xfId="6" applyNumberFormat="1" applyFont="1" applyFill="1" applyBorder="1" applyAlignment="1">
      <alignment horizontal="right"/>
    </xf>
    <xf numFmtId="10" fontId="1" fillId="3" borderId="6" xfId="1" applyNumberFormat="1" applyFont="1" applyFill="1" applyBorder="1" applyAlignment="1">
      <alignment horizontal="right"/>
    </xf>
    <xf numFmtId="164" fontId="1" fillId="3" borderId="6" xfId="3" applyNumberFormat="1" applyFont="1" applyFill="1" applyBorder="1" applyAlignment="1">
      <alignment horizontal="right"/>
    </xf>
    <xf numFmtId="164" fontId="6" fillId="0" borderId="6" xfId="0" applyNumberFormat="1" applyFont="1" applyFill="1" applyBorder="1" applyAlignment="1">
      <alignment horizontal="left" indent="2"/>
    </xf>
    <xf numFmtId="173" fontId="6" fillId="3" borderId="6" xfId="3" applyNumberFormat="1" applyFont="1" applyFill="1" applyBorder="1" applyAlignment="1">
      <alignment horizontal="right"/>
    </xf>
    <xf numFmtId="164" fontId="1" fillId="3" borderId="6" xfId="1" applyNumberFormat="1" applyFont="1" applyFill="1" applyBorder="1" applyAlignment="1">
      <alignment horizontal="right"/>
    </xf>
    <xf numFmtId="167" fontId="6" fillId="0" borderId="0" xfId="3" applyNumberFormat="1" applyFont="1" applyFill="1" applyBorder="1" applyAlignment="1">
      <alignment horizontal="right"/>
    </xf>
    <xf numFmtId="167" fontId="1" fillId="3" borderId="6" xfId="1" applyNumberFormat="1" applyFont="1" applyFill="1" applyBorder="1" applyAlignment="1">
      <alignment horizontal="right"/>
    </xf>
    <xf numFmtId="171" fontId="6" fillId="0" borderId="0" xfId="0" applyNumberFormat="1" applyFont="1"/>
    <xf numFmtId="171" fontId="13" fillId="0" borderId="0" xfId="6" applyNumberFormat="1" applyFont="1" applyFill="1" applyBorder="1" applyAlignment="1">
      <alignment horizontal="right"/>
    </xf>
    <xf numFmtId="165" fontId="12" fillId="0" borderId="7" xfId="1" applyNumberFormat="1" applyFont="1" applyFill="1" applyBorder="1" applyAlignment="1">
      <alignment horizontal="right"/>
    </xf>
    <xf numFmtId="9" fontId="6" fillId="0" borderId="0" xfId="1" applyNumberFormat="1" applyFont="1" applyAlignment="1">
      <alignment horizontal="right"/>
    </xf>
    <xf numFmtId="164" fontId="6" fillId="0" borderId="6" xfId="1" applyNumberFormat="1" applyFont="1" applyFill="1" applyBorder="1" applyAlignment="1">
      <alignment horizontal="left" indent="2"/>
    </xf>
    <xf numFmtId="164" fontId="16" fillId="5" borderId="0" xfId="3" applyNumberFormat="1" applyFont="1" applyFill="1" applyBorder="1" applyAlignment="1">
      <alignment horizontal="right"/>
    </xf>
    <xf numFmtId="4" fontId="1" fillId="0" borderId="0" xfId="0" applyNumberFormat="1" applyFont="1" applyFill="1" applyBorder="1" applyAlignment="1">
      <alignment horizontal="right"/>
    </xf>
    <xf numFmtId="164" fontId="1" fillId="0" borderId="0" xfId="6" applyNumberFormat="1" applyFont="1" applyFill="1" applyBorder="1" applyAlignment="1">
      <alignment horizontal="right"/>
    </xf>
    <xf numFmtId="164" fontId="16" fillId="0" borderId="0" xfId="3" applyNumberFormat="1" applyFont="1" applyFill="1" applyBorder="1" applyAlignment="1">
      <alignment horizontal="right"/>
    </xf>
    <xf numFmtId="164" fontId="1" fillId="0" borderId="0" xfId="1" applyNumberFormat="1" applyFont="1" applyFill="1" applyBorder="1" applyAlignment="1">
      <alignment horizontal="right"/>
    </xf>
    <xf numFmtId="171" fontId="6" fillId="0" borderId="0" xfId="1" applyNumberFormat="1" applyFont="1" applyAlignment="1">
      <alignment horizontal="right"/>
    </xf>
    <xf numFmtId="171" fontId="12" fillId="5" borderId="0" xfId="1" applyNumberFormat="1" applyFont="1" applyFill="1" applyBorder="1" applyAlignment="1">
      <alignment horizontal="right"/>
    </xf>
    <xf numFmtId="171" fontId="17" fillId="0" borderId="0" xfId="0" applyNumberFormat="1" applyFont="1"/>
    <xf numFmtId="171" fontId="3" fillId="3" borderId="2" xfId="1" applyNumberFormat="1" applyFont="1" applyFill="1" applyBorder="1" applyAlignment="1">
      <alignment horizontal="left"/>
    </xf>
    <xf numFmtId="171" fontId="3" fillId="3" borderId="5" xfId="6" applyNumberFormat="1" applyFont="1" applyFill="1" applyBorder="1" applyAlignment="1">
      <alignment horizontal="right"/>
    </xf>
    <xf numFmtId="171" fontId="3" fillId="3" borderId="2" xfId="0" applyNumberFormat="1" applyFont="1" applyFill="1" applyBorder="1" applyAlignment="1">
      <alignment horizontal="right"/>
    </xf>
    <xf numFmtId="171" fontId="3" fillId="3" borderId="5" xfId="1" applyNumberFormat="1" applyFont="1" applyFill="1" applyBorder="1" applyAlignment="1">
      <alignment horizontal="right"/>
    </xf>
    <xf numFmtId="171" fontId="17" fillId="0" borderId="0" xfId="1" applyNumberFormat="1" applyFont="1" applyBorder="1" applyAlignment="1">
      <alignment horizontal="right"/>
    </xf>
    <xf numFmtId="165" fontId="6" fillId="3" borderId="6" xfId="1" applyNumberFormat="1" applyFont="1" applyFill="1" applyBorder="1" applyAlignment="1">
      <alignment horizontal="left" indent="2"/>
    </xf>
    <xf numFmtId="171" fontId="3" fillId="3" borderId="0" xfId="6" applyNumberFormat="1" applyFont="1" applyFill="1" applyBorder="1" applyAlignment="1">
      <alignment horizontal="right"/>
    </xf>
    <xf numFmtId="171" fontId="3" fillId="3" borderId="6" xfId="0" applyNumberFormat="1" applyFont="1" applyFill="1" applyBorder="1" applyAlignment="1">
      <alignment horizontal="right"/>
    </xf>
    <xf numFmtId="171" fontId="3" fillId="3" borderId="0" xfId="1" applyNumberFormat="1" applyFont="1" applyFill="1" applyBorder="1" applyAlignment="1">
      <alignment horizontal="right"/>
    </xf>
    <xf numFmtId="164" fontId="6" fillId="3" borderId="0" xfId="3" applyNumberFormat="1" applyFont="1" applyFill="1" applyBorder="1" applyAlignment="1">
      <alignment horizontal="right"/>
    </xf>
    <xf numFmtId="164" fontId="18" fillId="0" borderId="0" xfId="0" applyNumberFormat="1" applyFont="1"/>
    <xf numFmtId="164" fontId="6" fillId="3" borderId="13" xfId="0" applyNumberFormat="1" applyFont="1" applyFill="1" applyBorder="1" applyAlignment="1">
      <alignment horizontal="left" indent="2"/>
    </xf>
    <xf numFmtId="164" fontId="6" fillId="3" borderId="14" xfId="3" applyNumberFormat="1" applyFont="1" applyFill="1" applyBorder="1" applyAlignment="1">
      <alignment horizontal="right"/>
    </xf>
    <xf numFmtId="164" fontId="6" fillId="3" borderId="13" xfId="3" applyNumberFormat="1" applyFont="1" applyFill="1" applyBorder="1" applyAlignment="1">
      <alignment horizontal="right"/>
    </xf>
    <xf numFmtId="164" fontId="18" fillId="0" borderId="0" xfId="1" applyNumberFormat="1" applyFont="1" applyAlignment="1">
      <alignment horizontal="right"/>
    </xf>
    <xf numFmtId="165" fontId="12" fillId="0" borderId="7" xfId="6" applyNumberFormat="1" applyFont="1" applyFill="1" applyBorder="1" applyAlignment="1">
      <alignment horizontal="right"/>
    </xf>
    <xf numFmtId="171" fontId="1" fillId="3" borderId="6" xfId="0" applyNumberFormat="1" applyFont="1" applyFill="1" applyBorder="1" applyAlignment="1">
      <alignment horizontal="right"/>
    </xf>
    <xf numFmtId="164" fontId="15" fillId="0" borderId="0" xfId="1" applyNumberFormat="1" applyFont="1" applyFill="1" applyBorder="1" applyAlignment="1">
      <alignment horizontal="right"/>
    </xf>
    <xf numFmtId="164" fontId="6" fillId="0" borderId="7" xfId="1" applyNumberFormat="1" applyFont="1" applyFill="1" applyBorder="1" applyAlignment="1">
      <alignment horizontal="left" indent="2"/>
    </xf>
    <xf numFmtId="165" fontId="17" fillId="0" borderId="0" xfId="0" applyNumberFormat="1" applyFont="1"/>
    <xf numFmtId="171" fontId="3" fillId="0" borderId="7" xfId="1" applyNumberFormat="1" applyFont="1" applyFill="1" applyBorder="1" applyAlignment="1">
      <alignment horizontal="left"/>
    </xf>
    <xf numFmtId="171" fontId="3" fillId="0" borderId="0" xfId="6" applyNumberFormat="1" applyFont="1" applyFill="1" applyBorder="1" applyAlignment="1">
      <alignment horizontal="right"/>
    </xf>
    <xf numFmtId="165" fontId="3" fillId="0" borderId="0" xfId="0" applyNumberFormat="1" applyFont="1" applyFill="1" applyBorder="1" applyAlignment="1">
      <alignment horizontal="right"/>
    </xf>
    <xf numFmtId="165" fontId="3" fillId="3" borderId="6" xfId="0" applyNumberFormat="1" applyFont="1" applyFill="1" applyBorder="1" applyAlignment="1">
      <alignment horizontal="right"/>
    </xf>
    <xf numFmtId="171" fontId="3" fillId="0" borderId="0" xfId="1" applyNumberFormat="1" applyFont="1" applyFill="1" applyBorder="1" applyAlignment="1">
      <alignment horizontal="right"/>
    </xf>
    <xf numFmtId="169" fontId="17" fillId="0" borderId="0" xfId="1" applyNumberFormat="1" applyFont="1" applyAlignment="1">
      <alignment horizontal="right"/>
    </xf>
    <xf numFmtId="165" fontId="18" fillId="0" borderId="0" xfId="0" applyNumberFormat="1" applyFont="1"/>
    <xf numFmtId="169" fontId="18" fillId="0" borderId="0" xfId="1" applyNumberFormat="1" applyFont="1" applyAlignment="1">
      <alignment horizontal="right"/>
    </xf>
    <xf numFmtId="164" fontId="6" fillId="0" borderId="6" xfId="0" applyNumberFormat="1" applyFont="1" applyFill="1" applyBorder="1" applyAlignment="1">
      <alignment horizontal="left" indent="3"/>
    </xf>
    <xf numFmtId="9" fontId="1" fillId="0" borderId="0" xfId="3" applyFont="1"/>
    <xf numFmtId="171" fontId="6" fillId="0" borderId="0" xfId="0" applyNumberFormat="1" applyFont="1" applyFill="1" applyBorder="1"/>
    <xf numFmtId="171" fontId="1" fillId="0" borderId="6" xfId="1" applyNumberFormat="1" applyFont="1" applyFill="1" applyBorder="1" applyAlignment="1">
      <alignment horizontal="left"/>
    </xf>
    <xf numFmtId="171" fontId="12" fillId="3" borderId="6" xfId="3" applyNumberFormat="1" applyFont="1" applyFill="1" applyBorder="1" applyAlignment="1">
      <alignment horizontal="right"/>
    </xf>
    <xf numFmtId="171" fontId="13" fillId="0" borderId="0" xfId="0" applyNumberFormat="1" applyFont="1" applyFill="1" applyBorder="1" applyAlignment="1">
      <alignment horizontal="right"/>
    </xf>
    <xf numFmtId="171" fontId="1" fillId="3" borderId="6" xfId="3" applyNumberFormat="1" applyFont="1" applyFill="1" applyBorder="1" applyAlignment="1">
      <alignment horizontal="right"/>
    </xf>
    <xf numFmtId="171" fontId="6" fillId="0" borderId="0" xfId="1" applyNumberFormat="1" applyFont="1" applyFill="1" applyBorder="1" applyAlignment="1">
      <alignment horizontal="right"/>
    </xf>
    <xf numFmtId="0" fontId="6" fillId="0" borderId="0" xfId="0" applyFont="1" applyBorder="1"/>
    <xf numFmtId="0" fontId="6" fillId="0" borderId="6" xfId="0" applyFont="1" applyFill="1" applyBorder="1" applyAlignment="1">
      <alignment horizontal="left" indent="3"/>
    </xf>
    <xf numFmtId="169" fontId="6" fillId="0" borderId="0" xfId="1" applyNumberFormat="1" applyFont="1" applyBorder="1" applyAlignment="1">
      <alignment horizontal="right"/>
    </xf>
    <xf numFmtId="171" fontId="1" fillId="3" borderId="6" xfId="0" applyNumberFormat="1" applyFont="1" applyFill="1" applyBorder="1" applyAlignment="1"/>
    <xf numFmtId="172" fontId="1" fillId="0" borderId="0" xfId="0" applyNumberFormat="1" applyFont="1" applyAlignment="1">
      <alignment horizontal="right"/>
    </xf>
    <xf numFmtId="7" fontId="1" fillId="0" borderId="6" xfId="1" applyNumberFormat="1" applyFont="1" applyFill="1" applyBorder="1" applyAlignment="1">
      <alignment horizontal="left"/>
    </xf>
    <xf numFmtId="7" fontId="19" fillId="0" borderId="0" xfId="6" applyNumberFormat="1" applyFont="1" applyFill="1" applyBorder="1" applyAlignment="1">
      <alignment horizontal="right"/>
    </xf>
    <xf numFmtId="7" fontId="1" fillId="3" borderId="6" xfId="0" applyNumberFormat="1" applyFont="1" applyFill="1" applyBorder="1" applyAlignment="1">
      <alignment horizontal="right"/>
    </xf>
    <xf numFmtId="7" fontId="19" fillId="0" borderId="0" xfId="1" applyNumberFormat="1" applyFont="1" applyFill="1" applyBorder="1" applyAlignment="1">
      <alignment horizontal="right"/>
    </xf>
    <xf numFmtId="7" fontId="1" fillId="0" borderId="0" xfId="1" applyNumberFormat="1" applyFont="1" applyFill="1" applyBorder="1" applyAlignment="1">
      <alignment horizontal="right"/>
    </xf>
    <xf numFmtId="164" fontId="1" fillId="0" borderId="0" xfId="3" applyNumberFormat="1" applyFont="1"/>
    <xf numFmtId="164" fontId="19" fillId="0" borderId="0" xfId="3" applyNumberFormat="1" applyFont="1" applyFill="1" applyBorder="1" applyAlignment="1">
      <alignment horizontal="right"/>
    </xf>
    <xf numFmtId="164" fontId="19" fillId="3" borderId="6" xfId="3" applyNumberFormat="1" applyFont="1" applyFill="1" applyBorder="1" applyAlignment="1"/>
    <xf numFmtId="164" fontId="1" fillId="3" borderId="6" xfId="3" applyNumberFormat="1" applyFont="1" applyFill="1" applyBorder="1" applyAlignment="1"/>
    <xf numFmtId="164" fontId="1" fillId="0" borderId="0" xfId="3" applyNumberFormat="1" applyFont="1" applyFill="1" applyBorder="1" applyAlignment="1">
      <alignment horizontal="right"/>
    </xf>
    <xf numFmtId="164" fontId="1" fillId="0" borderId="0" xfId="3" applyNumberFormat="1" applyFont="1" applyAlignment="1">
      <alignment horizontal="right"/>
    </xf>
    <xf numFmtId="164" fontId="1" fillId="0" borderId="6" xfId="3" applyNumberFormat="1" applyFont="1" applyFill="1" applyBorder="1" applyAlignment="1">
      <alignment horizontal="left"/>
    </xf>
    <xf numFmtId="164" fontId="19" fillId="3" borderId="6" xfId="3" applyNumberFormat="1" applyFont="1" applyFill="1" applyBorder="1" applyAlignment="1">
      <alignment horizontal="right"/>
    </xf>
    <xf numFmtId="4" fontId="1" fillId="3" borderId="6" xfId="3" applyNumberFormat="1" applyFont="1" applyFill="1" applyBorder="1" applyAlignment="1">
      <alignment horizontal="right"/>
    </xf>
    <xf numFmtId="171" fontId="3" fillId="3" borderId="1" xfId="0" applyNumberFormat="1" applyFont="1" applyFill="1" applyBorder="1" applyAlignment="1">
      <alignment horizontal="right"/>
    </xf>
    <xf numFmtId="171" fontId="17" fillId="0" borderId="0" xfId="1" applyNumberFormat="1" applyFont="1" applyAlignment="1">
      <alignment horizontal="right"/>
    </xf>
    <xf numFmtId="171" fontId="3" fillId="3" borderId="20" xfId="1" applyNumberFormat="1" applyFont="1" applyFill="1" applyBorder="1" applyAlignment="1">
      <alignment horizontal="left"/>
    </xf>
    <xf numFmtId="171" fontId="3" fillId="3" borderId="21" xfId="6" applyNumberFormat="1" applyFont="1" applyFill="1" applyBorder="1" applyAlignment="1">
      <alignment horizontal="right"/>
    </xf>
    <xf numFmtId="171" fontId="3" fillId="3" borderId="20" xfId="0" applyNumberFormat="1" applyFont="1" applyFill="1" applyBorder="1" applyAlignment="1">
      <alignment horizontal="right"/>
    </xf>
    <xf numFmtId="7" fontId="3" fillId="3" borderId="20" xfId="0" applyNumberFormat="1" applyFont="1" applyFill="1" applyBorder="1" applyAlignment="1">
      <alignment horizontal="right"/>
    </xf>
    <xf numFmtId="7" fontId="3" fillId="3" borderId="21" xfId="1" applyNumberFormat="1" applyFont="1" applyFill="1" applyBorder="1" applyAlignment="1">
      <alignment horizontal="right"/>
    </xf>
    <xf numFmtId="9" fontId="6" fillId="0" borderId="0" xfId="3" applyFont="1" applyBorder="1"/>
    <xf numFmtId="7" fontId="0" fillId="0" borderId="0" xfId="0" applyNumberFormat="1"/>
    <xf numFmtId="171" fontId="17" fillId="4" borderId="0" xfId="0" applyNumberFormat="1" applyFont="1" applyFill="1" applyBorder="1"/>
    <xf numFmtId="171" fontId="3" fillId="4" borderId="0" xfId="6" applyNumberFormat="1" applyFont="1" applyFill="1" applyBorder="1" applyAlignment="1">
      <alignment horizontal="right"/>
    </xf>
    <xf numFmtId="164" fontId="1" fillId="0" borderId="0" xfId="0" applyNumberFormat="1" applyFont="1" applyAlignment="1">
      <alignment horizontal="right"/>
    </xf>
    <xf numFmtId="0" fontId="0" fillId="4" borderId="0" xfId="0" applyFill="1" applyBorder="1"/>
    <xf numFmtId="171" fontId="3" fillId="4" borderId="6" xfId="1" applyNumberFormat="1" applyFont="1" applyFill="1" applyBorder="1" applyAlignment="1">
      <alignment horizontal="left"/>
    </xf>
    <xf numFmtId="171" fontId="17" fillId="4" borderId="0" xfId="1" applyNumberFormat="1" applyFont="1" applyFill="1" applyBorder="1" applyAlignment="1">
      <alignment horizontal="right"/>
    </xf>
    <xf numFmtId="171" fontId="3" fillId="4" borderId="0" xfId="1" applyNumberFormat="1" applyFont="1" applyFill="1" applyBorder="1" applyAlignment="1">
      <alignment horizontal="right"/>
    </xf>
    <xf numFmtId="164" fontId="1" fillId="0" borderId="0" xfId="0" applyNumberFormat="1" applyFont="1"/>
    <xf numFmtId="171" fontId="6" fillId="0" borderId="0" xfId="6" applyNumberFormat="1" applyFont="1" applyFill="1" applyBorder="1" applyAlignment="1">
      <alignment horizontal="right"/>
    </xf>
    <xf numFmtId="171" fontId="1" fillId="0" borderId="1" xfId="1" applyNumberFormat="1" applyFont="1" applyFill="1" applyBorder="1" applyAlignment="1">
      <alignment horizontal="left"/>
    </xf>
    <xf numFmtId="171" fontId="1" fillId="0" borderId="18" xfId="6" applyNumberFormat="1" applyFont="1" applyFill="1" applyBorder="1" applyAlignment="1">
      <alignment horizontal="right"/>
    </xf>
    <xf numFmtId="171" fontId="1" fillId="3" borderId="1" xfId="0" applyNumberFormat="1" applyFont="1" applyFill="1" applyBorder="1" applyAlignment="1"/>
    <xf numFmtId="171" fontId="1" fillId="0" borderId="18" xfId="1" applyNumberFormat="1" applyFont="1" applyFill="1" applyBorder="1" applyAlignment="1">
      <alignment horizontal="right"/>
    </xf>
    <xf numFmtId="8" fontId="1" fillId="0" borderId="0" xfId="3" applyNumberFormat="1" applyFont="1" applyFill="1" applyBorder="1" applyAlignment="1">
      <alignment horizontal="right"/>
    </xf>
    <xf numFmtId="8" fontId="1" fillId="3" borderId="6" xfId="3" applyNumberFormat="1" applyFont="1" applyFill="1" applyBorder="1" applyAlignment="1">
      <alignment horizontal="right"/>
    </xf>
    <xf numFmtId="7" fontId="3" fillId="0" borderId="6" xfId="1" applyNumberFormat="1" applyFont="1" applyFill="1" applyBorder="1" applyAlignment="1">
      <alignment horizontal="left"/>
    </xf>
    <xf numFmtId="7" fontId="20" fillId="0" borderId="0" xfId="6" applyNumberFormat="1" applyFont="1" applyFill="1" applyBorder="1" applyAlignment="1">
      <alignment horizontal="right"/>
    </xf>
    <xf numFmtId="7" fontId="20" fillId="3" borderId="6" xfId="0" applyNumberFormat="1" applyFont="1" applyFill="1" applyBorder="1" applyAlignment="1"/>
    <xf numFmtId="7" fontId="20" fillId="0" borderId="0" xfId="1" applyNumberFormat="1" applyFont="1" applyFill="1" applyBorder="1" applyAlignment="1">
      <alignment horizontal="right"/>
    </xf>
    <xf numFmtId="7" fontId="20" fillId="3" borderId="6" xfId="0" applyNumberFormat="1" applyFont="1" applyFill="1" applyBorder="1" applyAlignment="1">
      <alignment horizontal="right"/>
    </xf>
    <xf numFmtId="7" fontId="3" fillId="0" borderId="0" xfId="1" applyNumberFormat="1" applyFont="1" applyFill="1" applyBorder="1" applyAlignment="1">
      <alignment horizontal="right"/>
    </xf>
    <xf numFmtId="7" fontId="3" fillId="3" borderId="6" xfId="0" applyNumberFormat="1" applyFont="1" applyFill="1" applyBorder="1" applyAlignment="1">
      <alignment horizontal="right"/>
    </xf>
    <xf numFmtId="171" fontId="1" fillId="3" borderId="0" xfId="6" applyNumberFormat="1" applyFont="1" applyFill="1" applyBorder="1" applyAlignment="1">
      <alignment horizontal="right"/>
    </xf>
    <xf numFmtId="165" fontId="1" fillId="0" borderId="7" xfId="1" applyNumberFormat="1" applyFont="1" applyFill="1" applyBorder="1" applyAlignment="1">
      <alignment horizontal="right"/>
    </xf>
    <xf numFmtId="165" fontId="1" fillId="0" borderId="0" xfId="1" applyNumberFormat="1" applyFont="1" applyFill="1" applyBorder="1" applyAlignment="1">
      <alignment horizontal="right"/>
    </xf>
    <xf numFmtId="171" fontId="1" fillId="0" borderId="0" xfId="0" applyNumberFormat="1" applyFont="1"/>
    <xf numFmtId="171" fontId="1" fillId="0" borderId="0" xfId="0" applyNumberFormat="1" applyFont="1" applyFill="1" applyBorder="1" applyAlignment="1">
      <alignment horizontal="right"/>
    </xf>
    <xf numFmtId="171" fontId="1" fillId="0" borderId="0" xfId="1" applyNumberFormat="1" applyFont="1" applyAlignment="1">
      <alignment horizontal="right"/>
    </xf>
    <xf numFmtId="171" fontId="3" fillId="0" borderId="1" xfId="1" applyNumberFormat="1" applyFont="1" applyFill="1" applyBorder="1" applyAlignment="1">
      <alignment horizontal="left"/>
    </xf>
    <xf numFmtId="171" fontId="3" fillId="0" borderId="18" xfId="6" applyNumberFormat="1" applyFont="1" applyFill="1" applyBorder="1" applyAlignment="1">
      <alignment horizontal="right"/>
    </xf>
    <xf numFmtId="171" fontId="3" fillId="0" borderId="18" xfId="1" applyNumberFormat="1" applyFont="1" applyFill="1" applyBorder="1" applyAlignment="1">
      <alignment horizontal="right"/>
    </xf>
    <xf numFmtId="171" fontId="1" fillId="0" borderId="0" xfId="0" applyNumberFormat="1" applyFont="1" applyAlignment="1">
      <alignment horizontal="right"/>
    </xf>
    <xf numFmtId="7" fontId="6" fillId="0" borderId="0" xfId="0" applyNumberFormat="1" applyFont="1"/>
    <xf numFmtId="171" fontId="3" fillId="0" borderId="20" xfId="1" applyNumberFormat="1" applyFont="1" applyFill="1" applyBorder="1" applyAlignment="1">
      <alignment horizontal="left"/>
    </xf>
    <xf numFmtId="7" fontId="3" fillId="0" borderId="21" xfId="6" applyNumberFormat="1" applyFont="1" applyFill="1" applyBorder="1" applyAlignment="1">
      <alignment horizontal="right"/>
    </xf>
    <xf numFmtId="7" fontId="3" fillId="0" borderId="21" xfId="1" applyNumberFormat="1" applyFont="1" applyFill="1" applyBorder="1" applyAlignment="1">
      <alignment horizontal="right"/>
    </xf>
    <xf numFmtId="7" fontId="1" fillId="0" borderId="0" xfId="0" applyNumberFormat="1" applyFont="1" applyAlignment="1">
      <alignment horizontal="right"/>
    </xf>
    <xf numFmtId="4" fontId="6" fillId="0" borderId="0" xfId="3" applyNumberFormat="1" applyFont="1" applyFill="1" applyBorder="1" applyAlignment="1">
      <alignment horizontal="right"/>
    </xf>
    <xf numFmtId="0" fontId="1" fillId="0" borderId="0" xfId="0" applyFont="1" applyFill="1"/>
    <xf numFmtId="7" fontId="3" fillId="0" borderId="0" xfId="6" applyNumberFormat="1" applyFont="1" applyFill="1" applyBorder="1" applyAlignment="1">
      <alignment horizontal="right"/>
    </xf>
    <xf numFmtId="7" fontId="3" fillId="3" borderId="6" xfId="0" applyNumberFormat="1" applyFont="1" applyFill="1" applyBorder="1" applyAlignment="1"/>
    <xf numFmtId="169" fontId="3" fillId="0" borderId="0" xfId="1" applyNumberFormat="1" applyFont="1" applyFill="1" applyBorder="1" applyAlignment="1">
      <alignment horizontal="right"/>
    </xf>
    <xf numFmtId="172" fontId="1" fillId="0" borderId="0" xfId="0" applyNumberFormat="1" applyFont="1" applyFill="1" applyAlignment="1">
      <alignment horizontal="right"/>
    </xf>
    <xf numFmtId="167" fontId="13" fillId="0" borderId="0" xfId="0" applyNumberFormat="1" applyFont="1" applyFill="1" applyBorder="1" applyAlignment="1">
      <alignment horizontal="right"/>
    </xf>
    <xf numFmtId="167" fontId="12" fillId="3" borderId="6" xfId="0" applyNumberFormat="1" applyFont="1" applyFill="1" applyBorder="1" applyAlignment="1">
      <alignment horizontal="right"/>
    </xf>
    <xf numFmtId="167" fontId="1" fillId="0" borderId="0" xfId="0" applyNumberFormat="1" applyFont="1" applyBorder="1" applyAlignment="1">
      <alignment horizontal="right"/>
    </xf>
    <xf numFmtId="167" fontId="1" fillId="0" borderId="0" xfId="0" applyNumberFormat="1" applyFont="1" applyFill="1" applyBorder="1" applyAlignment="1">
      <alignment horizontal="right"/>
    </xf>
    <xf numFmtId="171" fontId="1" fillId="0" borderId="7" xfId="1" applyNumberFormat="1" applyFont="1" applyFill="1" applyBorder="1" applyAlignment="1">
      <alignment horizontal="left"/>
    </xf>
    <xf numFmtId="172" fontId="1" fillId="0" borderId="0" xfId="0" applyNumberFormat="1" applyFont="1" applyFill="1" applyBorder="1" applyAlignment="1">
      <alignment horizontal="right"/>
    </xf>
    <xf numFmtId="172" fontId="1" fillId="3" borderId="6" xfId="0" applyNumberFormat="1" applyFont="1" applyFill="1" applyBorder="1" applyAlignment="1">
      <alignment horizontal="right"/>
    </xf>
    <xf numFmtId="172" fontId="21" fillId="0" borderId="0" xfId="0" applyNumberFormat="1" applyFont="1" applyFill="1" applyBorder="1" applyAlignment="1">
      <alignment horizontal="right"/>
    </xf>
    <xf numFmtId="172" fontId="13" fillId="3" borderId="6" xfId="0" applyNumberFormat="1" applyFont="1" applyFill="1" applyBorder="1" applyAlignment="1">
      <alignment horizontal="right"/>
    </xf>
    <xf numFmtId="169" fontId="1" fillId="0" borderId="0" xfId="0" applyNumberFormat="1" applyFont="1" applyFill="1" applyBorder="1" applyAlignment="1">
      <alignment horizontal="right"/>
    </xf>
    <xf numFmtId="37" fontId="12" fillId="0" borderId="0" xfId="1" applyNumberFormat="1" applyFont="1" applyFill="1" applyBorder="1" applyAlignment="1">
      <alignment horizontal="right"/>
    </xf>
    <xf numFmtId="10" fontId="15" fillId="4" borderId="6" xfId="7" applyNumberFormat="1" applyFont="1" applyFill="1" applyBorder="1" applyAlignment="1">
      <alignment horizontal="left" indent="2"/>
    </xf>
    <xf numFmtId="174" fontId="12" fillId="0" borderId="0" xfId="1" applyNumberFormat="1" applyFont="1" applyFill="1" applyBorder="1" applyAlignment="1">
      <alignment horizontal="right"/>
    </xf>
    <xf numFmtId="175" fontId="12" fillId="0" borderId="0" xfId="0" applyNumberFormat="1" applyFont="1" applyFill="1" applyBorder="1" applyAlignment="1">
      <alignment horizontal="right"/>
    </xf>
    <xf numFmtId="175" fontId="13" fillId="3" borderId="6" xfId="0" applyNumberFormat="1" applyFont="1" applyFill="1" applyBorder="1" applyAlignment="1">
      <alignment horizontal="right"/>
    </xf>
    <xf numFmtId="7" fontId="1" fillId="2" borderId="0" xfId="0" applyNumberFormat="1" applyFont="1" applyFill="1" applyBorder="1" applyAlignment="1">
      <alignment horizontal="center"/>
    </xf>
    <xf numFmtId="7" fontId="1" fillId="0" borderId="0" xfId="0" applyNumberFormat="1" applyFont="1" applyFill="1" applyBorder="1" applyAlignment="1">
      <alignment horizontal="right"/>
    </xf>
    <xf numFmtId="7" fontId="13" fillId="0" borderId="0" xfId="0" applyNumberFormat="1" applyFont="1" applyFill="1" applyBorder="1" applyAlignment="1">
      <alignment horizontal="right"/>
    </xf>
    <xf numFmtId="7" fontId="1" fillId="3" borderId="6" xfId="3" applyNumberFormat="1" applyFont="1" applyFill="1" applyBorder="1" applyAlignment="1">
      <alignment horizontal="right"/>
    </xf>
    <xf numFmtId="7" fontId="12" fillId="0" borderId="0" xfId="0" applyNumberFormat="1" applyFont="1" applyFill="1" applyBorder="1" applyAlignment="1">
      <alignment horizontal="right"/>
    </xf>
    <xf numFmtId="7" fontId="1" fillId="2" borderId="0" xfId="0" applyNumberFormat="1" applyFont="1" applyFill="1" applyBorder="1" applyAlignment="1">
      <alignment horizontal="right"/>
    </xf>
    <xf numFmtId="1" fontId="1" fillId="0" borderId="0" xfId="0" applyNumberFormat="1" applyFont="1"/>
    <xf numFmtId="0" fontId="1" fillId="2" borderId="0" xfId="0" applyNumberFormat="1" applyFont="1" applyFill="1" applyBorder="1" applyAlignment="1">
      <alignment horizontal="center"/>
    </xf>
    <xf numFmtId="0" fontId="22" fillId="0" borderId="13" xfId="0" applyFont="1" applyFill="1" applyBorder="1" applyAlignment="1">
      <alignment horizontal="left"/>
    </xf>
    <xf numFmtId="171" fontId="1" fillId="0" borderId="14" xfId="6" applyNumberFormat="1" applyFont="1" applyFill="1" applyBorder="1" applyAlignment="1">
      <alignment horizontal="right"/>
    </xf>
    <xf numFmtId="172" fontId="23" fillId="0" borderId="14" xfId="0" applyNumberFormat="1" applyFont="1" applyFill="1" applyBorder="1" applyAlignment="1">
      <alignment horizontal="right"/>
    </xf>
    <xf numFmtId="171" fontId="1" fillId="0" borderId="14" xfId="1" applyNumberFormat="1" applyFont="1" applyFill="1" applyBorder="1" applyAlignment="1">
      <alignment horizontal="right"/>
    </xf>
    <xf numFmtId="164" fontId="16" fillId="3" borderId="13" xfId="3" applyNumberFormat="1" applyFont="1" applyFill="1" applyBorder="1" applyAlignment="1">
      <alignment horizontal="right"/>
    </xf>
    <xf numFmtId="0" fontId="1" fillId="2" borderId="0" xfId="0" applyNumberFormat="1" applyFont="1" applyFill="1" applyBorder="1" applyAlignment="1">
      <alignment horizontal="right"/>
    </xf>
    <xf numFmtId="5" fontId="1" fillId="2" borderId="0" xfId="0" applyNumberFormat="1" applyFont="1" applyFill="1" applyBorder="1" applyAlignment="1">
      <alignment horizontal="right"/>
    </xf>
    <xf numFmtId="176" fontId="3" fillId="2" borderId="0" xfId="1" applyNumberFormat="1" applyFont="1" applyFill="1" applyBorder="1" applyAlignment="1">
      <alignment horizontal="right"/>
    </xf>
    <xf numFmtId="43" fontId="3" fillId="2" borderId="0" xfId="0" applyNumberFormat="1" applyFont="1" applyFill="1" applyBorder="1" applyAlignment="1">
      <alignment horizontal="right"/>
    </xf>
    <xf numFmtId="165" fontId="3" fillId="2" borderId="0" xfId="0" applyNumberFormat="1" applyFont="1" applyFill="1" applyBorder="1" applyAlignment="1">
      <alignment horizontal="righ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left"/>
    </xf>
    <xf numFmtId="9" fontId="24" fillId="2" borderId="0" xfId="3" applyFont="1" applyFill="1" applyBorder="1" applyAlignment="1">
      <alignment horizontal="center"/>
    </xf>
    <xf numFmtId="164" fontId="0" fillId="0" borderId="0" xfId="0" applyNumberFormat="1"/>
    <xf numFmtId="0" fontId="3" fillId="3" borderId="5" xfId="0" applyNumberFormat="1" applyFont="1" applyFill="1" applyBorder="1" applyAlignment="1">
      <alignment horizontal="center"/>
    </xf>
    <xf numFmtId="0" fontId="3" fillId="3" borderId="2" xfId="0" applyNumberFormat="1" applyFont="1" applyFill="1" applyBorder="1" applyAlignment="1">
      <alignment horizontal="center"/>
    </xf>
    <xf numFmtId="0" fontId="3" fillId="3" borderId="4" xfId="0" applyNumberFormat="1" applyFont="1" applyFill="1" applyBorder="1" applyAlignment="1">
      <alignment horizontal="center"/>
    </xf>
    <xf numFmtId="171" fontId="2" fillId="0" borderId="2" xfId="1" applyNumberFormat="1" applyFont="1" applyFill="1" applyBorder="1" applyAlignment="1">
      <alignment horizontal="left"/>
    </xf>
    <xf numFmtId="171" fontId="9" fillId="0" borderId="5" xfId="6" applyNumberFormat="1" applyFont="1" applyFill="1" applyBorder="1" applyAlignment="1">
      <alignment horizontal="right"/>
    </xf>
    <xf numFmtId="43" fontId="3" fillId="0" borderId="5" xfId="0" applyNumberFormat="1" applyFont="1" applyFill="1" applyBorder="1" applyAlignment="1">
      <alignment horizontal="right"/>
    </xf>
    <xf numFmtId="0" fontId="9" fillId="3" borderId="2" xfId="0" applyNumberFormat="1" applyFont="1" applyFill="1" applyBorder="1" applyAlignment="1">
      <alignment horizontal="right"/>
    </xf>
    <xf numFmtId="171" fontId="9" fillId="0" borderId="5" xfId="1" applyNumberFormat="1" applyFont="1" applyFill="1" applyBorder="1" applyAlignment="1">
      <alignment horizontal="right"/>
    </xf>
    <xf numFmtId="0" fontId="3" fillId="3" borderId="2" xfId="0" applyNumberFormat="1" applyFont="1" applyFill="1" applyBorder="1" applyAlignment="1">
      <alignment horizontal="right"/>
    </xf>
    <xf numFmtId="0" fontId="3" fillId="0" borderId="5" xfId="0" applyNumberFormat="1" applyFont="1" applyFill="1" applyBorder="1" applyAlignment="1">
      <alignment horizontal="right"/>
    </xf>
    <xf numFmtId="171" fontId="3" fillId="2" borderId="0" xfId="1" applyNumberFormat="1" applyFont="1" applyFill="1" applyBorder="1" applyAlignment="1">
      <alignment horizontal="center"/>
    </xf>
    <xf numFmtId="171" fontId="3" fillId="0" borderId="7" xfId="1" applyNumberFormat="1" applyFont="1" applyFill="1" applyBorder="1" applyAlignment="1">
      <alignment horizontal="left" indent="1"/>
    </xf>
    <xf numFmtId="171" fontId="25" fillId="0" borderId="0" xfId="6" applyNumberFormat="1" applyFont="1" applyFill="1" applyBorder="1" applyAlignment="1">
      <alignment horizontal="right"/>
    </xf>
    <xf numFmtId="171" fontId="3" fillId="3" borderId="6" xfId="6" applyNumberFormat="1" applyFont="1" applyFill="1" applyBorder="1" applyAlignment="1">
      <alignment horizontal="right"/>
    </xf>
    <xf numFmtId="171" fontId="25" fillId="0" borderId="0" xfId="1" applyNumberFormat="1" applyFont="1" applyFill="1" applyBorder="1" applyAlignment="1">
      <alignment horizontal="right"/>
    </xf>
    <xf numFmtId="171" fontId="26" fillId="0" borderId="0" xfId="1" applyNumberFormat="1" applyFont="1" applyFill="1" applyBorder="1" applyAlignment="1">
      <alignment horizontal="right"/>
    </xf>
    <xf numFmtId="171" fontId="3" fillId="3" borderId="6" xfId="1" applyNumberFormat="1" applyFont="1" applyFill="1" applyBorder="1" applyAlignment="1">
      <alignment horizontal="right"/>
    </xf>
    <xf numFmtId="171" fontId="26" fillId="0" borderId="0" xfId="6" applyNumberFormat="1" applyFont="1" applyFill="1" applyBorder="1" applyAlignment="1">
      <alignment horizontal="right"/>
    </xf>
    <xf numFmtId="0" fontId="3" fillId="0" borderId="0" xfId="0" applyFont="1"/>
    <xf numFmtId="171" fontId="1" fillId="2" borderId="0" xfId="1" applyNumberFormat="1" applyFont="1" applyFill="1" applyBorder="1" applyAlignment="1">
      <alignment horizontal="center"/>
    </xf>
    <xf numFmtId="171" fontId="1" fillId="0" borderId="7" xfId="1" applyNumberFormat="1" applyFont="1" applyFill="1" applyBorder="1" applyAlignment="1">
      <alignment horizontal="left" indent="1"/>
    </xf>
    <xf numFmtId="171" fontId="1" fillId="0" borderId="7" xfId="1" applyNumberFormat="1" applyFont="1" applyFill="1" applyBorder="1" applyAlignment="1">
      <alignment horizontal="left" indent="2"/>
    </xf>
    <xf numFmtId="171" fontId="3" fillId="3" borderId="19" xfId="1" applyNumberFormat="1" applyFont="1" applyFill="1" applyBorder="1"/>
    <xf numFmtId="165" fontId="3" fillId="2" borderId="0" xfId="0" applyNumberFormat="1" applyFont="1" applyFill="1" applyBorder="1" applyAlignment="1">
      <alignment horizontal="center"/>
    </xf>
    <xf numFmtId="165" fontId="27" fillId="0" borderId="7" xfId="0" applyNumberFormat="1" applyFont="1" applyFill="1" applyBorder="1"/>
    <xf numFmtId="171" fontId="17" fillId="0" borderId="0" xfId="6" applyNumberFormat="1" applyFont="1" applyFill="1" applyBorder="1" applyAlignment="1">
      <alignment horizontal="right"/>
    </xf>
    <xf numFmtId="171" fontId="28" fillId="3" borderId="6" xfId="6" applyNumberFormat="1" applyFont="1" applyFill="1" applyBorder="1" applyAlignment="1">
      <alignment horizontal="right"/>
    </xf>
    <xf numFmtId="171" fontId="28" fillId="3" borderId="6" xfId="1" applyNumberFormat="1" applyFont="1" applyFill="1" applyBorder="1" applyAlignment="1">
      <alignment horizontal="right"/>
    </xf>
    <xf numFmtId="171" fontId="17" fillId="0" borderId="0" xfId="1" applyNumberFormat="1" applyFont="1" applyFill="1" applyBorder="1" applyAlignment="1">
      <alignment horizontal="right"/>
    </xf>
    <xf numFmtId="171" fontId="2" fillId="0" borderId="6" xfId="1" applyNumberFormat="1" applyFont="1" applyFill="1" applyBorder="1" applyAlignment="1">
      <alignment horizontal="left"/>
    </xf>
    <xf numFmtId="171" fontId="1" fillId="0" borderId="7" xfId="1" applyNumberFormat="1" applyFont="1" applyFill="1" applyBorder="1" applyAlignment="1">
      <alignment horizontal="left" wrapText="1" indent="2"/>
    </xf>
    <xf numFmtId="171" fontId="3" fillId="3" borderId="22" xfId="1" applyNumberFormat="1" applyFont="1" applyFill="1" applyBorder="1"/>
    <xf numFmtId="171" fontId="3" fillId="3" borderId="20" xfId="6" applyNumberFormat="1" applyFont="1" applyFill="1" applyBorder="1" applyAlignment="1">
      <alignment horizontal="right"/>
    </xf>
    <xf numFmtId="171" fontId="3" fillId="3" borderId="20" xfId="1" applyNumberFormat="1" applyFont="1" applyFill="1" applyBorder="1" applyAlignment="1">
      <alignment horizontal="right"/>
    </xf>
    <xf numFmtId="171" fontId="3" fillId="3" borderId="21" xfId="1" applyNumberFormat="1" applyFont="1" applyFill="1" applyBorder="1" applyAlignment="1">
      <alignment horizontal="right"/>
    </xf>
    <xf numFmtId="171" fontId="27" fillId="0" borderId="7" xfId="1" applyNumberFormat="1" applyFont="1" applyFill="1" applyBorder="1"/>
    <xf numFmtId="171" fontId="1" fillId="0" borderId="7" xfId="1" applyNumberFormat="1" applyFont="1" applyFill="1" applyBorder="1"/>
    <xf numFmtId="171" fontId="3" fillId="0" borderId="7" xfId="1" applyNumberFormat="1" applyFont="1" applyFill="1" applyBorder="1"/>
    <xf numFmtId="171" fontId="29" fillId="2" borderId="0" xfId="1" applyNumberFormat="1" applyFont="1" applyFill="1" applyBorder="1" applyAlignment="1">
      <alignment horizontal="center"/>
    </xf>
    <xf numFmtId="171" fontId="29" fillId="0" borderId="7" xfId="1" applyNumberFormat="1" applyFont="1" applyFill="1" applyBorder="1" applyAlignment="1">
      <alignment horizontal="left"/>
    </xf>
    <xf numFmtId="171" fontId="29" fillId="0" borderId="0" xfId="6" applyNumberFormat="1" applyFont="1" applyFill="1" applyBorder="1" applyAlignment="1">
      <alignment horizontal="right"/>
    </xf>
    <xf numFmtId="43" fontId="29" fillId="0" borderId="0" xfId="6" applyFont="1" applyFill="1" applyBorder="1" applyAlignment="1">
      <alignment horizontal="right"/>
    </xf>
    <xf numFmtId="171" fontId="29" fillId="3" borderId="6" xfId="6" applyNumberFormat="1" applyFont="1" applyFill="1" applyBorder="1" applyAlignment="1">
      <alignment horizontal="right"/>
    </xf>
    <xf numFmtId="171" fontId="29" fillId="3" borderId="6" xfId="1" applyNumberFormat="1" applyFont="1" applyFill="1" applyBorder="1" applyAlignment="1">
      <alignment horizontal="right"/>
    </xf>
    <xf numFmtId="171" fontId="29" fillId="0" borderId="0" xfId="1" applyNumberFormat="1" applyFont="1" applyFill="1" applyBorder="1" applyAlignment="1">
      <alignment horizontal="right"/>
    </xf>
    <xf numFmtId="43" fontId="29" fillId="0" borderId="0" xfId="1" applyFont="1" applyFill="1" applyBorder="1" applyAlignment="1">
      <alignment horizontal="right"/>
    </xf>
    <xf numFmtId="171" fontId="9" fillId="0" borderId="0" xfId="6" applyNumberFormat="1" applyFont="1" applyFill="1" applyBorder="1" applyAlignment="1">
      <alignment horizontal="right"/>
    </xf>
    <xf numFmtId="171" fontId="9" fillId="0" borderId="0" xfId="1" applyNumberFormat="1" applyFont="1" applyFill="1" applyBorder="1" applyAlignment="1">
      <alignment horizontal="right"/>
    </xf>
    <xf numFmtId="171" fontId="9" fillId="3" borderId="6" xfId="1" applyNumberFormat="1" applyFont="1" applyFill="1" applyBorder="1" applyAlignment="1">
      <alignment horizontal="right"/>
    </xf>
    <xf numFmtId="171" fontId="3" fillId="2" borderId="0" xfId="1" applyNumberFormat="1" applyFont="1" applyFill="1" applyBorder="1"/>
    <xf numFmtId="164" fontId="3" fillId="0" borderId="7" xfId="1" applyNumberFormat="1" applyFont="1" applyFill="1" applyBorder="1"/>
    <xf numFmtId="164" fontId="3" fillId="2" borderId="0" xfId="1" applyNumberFormat="1" applyFont="1" applyFill="1" applyBorder="1"/>
    <xf numFmtId="164" fontId="3" fillId="0" borderId="0" xfId="6" applyNumberFormat="1" applyFont="1" applyFill="1" applyBorder="1" applyAlignment="1">
      <alignment horizontal="right"/>
    </xf>
    <xf numFmtId="164" fontId="3" fillId="3" borderId="6" xfId="6" applyNumberFormat="1" applyFont="1" applyFill="1" applyBorder="1" applyAlignment="1">
      <alignment horizontal="right"/>
    </xf>
    <xf numFmtId="164" fontId="3" fillId="3" borderId="6" xfId="1" applyNumberFormat="1" applyFont="1" applyFill="1" applyBorder="1" applyAlignment="1">
      <alignment horizontal="right"/>
    </xf>
    <xf numFmtId="164" fontId="3" fillId="0" borderId="0" xfId="1" applyNumberFormat="1" applyFont="1" applyFill="1" applyBorder="1" applyAlignment="1">
      <alignment horizontal="right"/>
    </xf>
    <xf numFmtId="164" fontId="3" fillId="0" borderId="0" xfId="0" applyNumberFormat="1" applyFont="1"/>
    <xf numFmtId="171" fontId="25" fillId="3" borderId="6" xfId="6" applyNumberFormat="1" applyFont="1" applyFill="1" applyBorder="1" applyAlignment="1">
      <alignment horizontal="right"/>
    </xf>
    <xf numFmtId="171" fontId="25" fillId="3" borderId="6" xfId="1" applyNumberFormat="1" applyFont="1" applyFill="1" applyBorder="1" applyAlignment="1">
      <alignment horizontal="right"/>
    </xf>
    <xf numFmtId="7" fontId="3" fillId="2" borderId="0" xfId="1" applyNumberFormat="1" applyFont="1" applyFill="1" applyBorder="1"/>
    <xf numFmtId="7" fontId="3" fillId="0" borderId="7" xfId="6" applyNumberFormat="1" applyFont="1" applyFill="1" applyBorder="1" applyAlignment="1">
      <alignment horizontal="right"/>
    </xf>
    <xf numFmtId="7" fontId="3" fillId="3" borderId="7" xfId="6" applyNumberFormat="1" applyFont="1" applyFill="1" applyBorder="1" applyAlignment="1">
      <alignment horizontal="right"/>
    </xf>
    <xf numFmtId="7" fontId="3" fillId="3" borderId="7" xfId="1" applyNumberFormat="1" applyFont="1" applyFill="1" applyBorder="1" applyAlignment="1">
      <alignment horizontal="right"/>
    </xf>
    <xf numFmtId="7" fontId="3" fillId="0" borderId="7" xfId="1" applyNumberFormat="1" applyFont="1" applyFill="1" applyBorder="1" applyAlignment="1">
      <alignment horizontal="right"/>
    </xf>
    <xf numFmtId="7" fontId="3" fillId="3" borderId="6" xfId="1" applyNumberFormat="1" applyFont="1" applyFill="1" applyBorder="1" applyAlignment="1">
      <alignment horizontal="right"/>
    </xf>
    <xf numFmtId="7" fontId="3" fillId="2" borderId="7" xfId="1" applyNumberFormat="1" applyFont="1" applyFill="1" applyBorder="1"/>
    <xf numFmtId="164" fontId="6" fillId="2" borderId="0" xfId="1" applyNumberFormat="1" applyFont="1" applyFill="1" applyBorder="1" applyAlignment="1">
      <alignment horizontal="center"/>
    </xf>
    <xf numFmtId="164" fontId="6" fillId="0" borderId="12" xfId="1" applyNumberFormat="1" applyFont="1" applyFill="1" applyBorder="1" applyAlignment="1">
      <alignment horizontal="left" indent="1"/>
    </xf>
    <xf numFmtId="164" fontId="6" fillId="0" borderId="14" xfId="6" applyNumberFormat="1" applyFont="1" applyFill="1" applyBorder="1" applyAlignment="1">
      <alignment horizontal="right"/>
    </xf>
    <xf numFmtId="164" fontId="6" fillId="3" borderId="13" xfId="6" applyNumberFormat="1" applyFont="1" applyFill="1" applyBorder="1" applyAlignment="1">
      <alignment horizontal="right"/>
    </xf>
    <xf numFmtId="164" fontId="6" fillId="3" borderId="13" xfId="1" applyNumberFormat="1" applyFont="1" applyFill="1" applyBorder="1" applyAlignment="1">
      <alignment horizontal="right"/>
    </xf>
    <xf numFmtId="164" fontId="6" fillId="0" borderId="14" xfId="1" applyNumberFormat="1" applyFont="1" applyFill="1" applyBorder="1" applyAlignment="1">
      <alignment horizontal="right"/>
    </xf>
    <xf numFmtId="0" fontId="1" fillId="2" borderId="0" xfId="0" applyNumberFormat="1" applyFont="1" applyFill="1" applyBorder="1" applyAlignment="1">
      <alignment horizontal="left"/>
    </xf>
    <xf numFmtId="171" fontId="9" fillId="2" borderId="0" xfId="6" applyNumberFormat="1" applyFont="1" applyFill="1" applyBorder="1" applyAlignment="1">
      <alignment horizontal="right"/>
    </xf>
    <xf numFmtId="0" fontId="9" fillId="2" borderId="0" xfId="0" applyFont="1" applyFill="1" applyBorder="1" applyAlignment="1">
      <alignment horizontal="right"/>
    </xf>
    <xf numFmtId="171" fontId="9" fillId="2" borderId="0" xfId="1" applyNumberFormat="1" applyFont="1" applyFill="1" applyBorder="1" applyAlignment="1">
      <alignment horizontal="right"/>
    </xf>
    <xf numFmtId="10" fontId="29" fillId="2" borderId="0" xfId="0" applyNumberFormat="1" applyFont="1" applyFill="1" applyBorder="1" applyAlignment="1">
      <alignment horizontal="right"/>
    </xf>
    <xf numFmtId="0" fontId="3" fillId="2" borderId="0" xfId="0" applyFont="1" applyFill="1" applyBorder="1" applyAlignment="1">
      <alignment horizontal="right"/>
    </xf>
    <xf numFmtId="43" fontId="9" fillId="2" borderId="0" xfId="0" applyNumberFormat="1" applyFont="1" applyFill="1" applyBorder="1" applyAlignment="1">
      <alignment horizontal="right"/>
    </xf>
    <xf numFmtId="174" fontId="9" fillId="2" borderId="0" xfId="0" applyNumberFormat="1" applyFont="1" applyFill="1" applyBorder="1" applyAlignment="1">
      <alignment horizontal="right"/>
    </xf>
    <xf numFmtId="0" fontId="3" fillId="0" borderId="4" xfId="0" applyFont="1" applyFill="1" applyBorder="1" applyAlignment="1">
      <alignment horizontal="left"/>
    </xf>
    <xf numFmtId="0" fontId="9" fillId="0" borderId="5" xfId="0" applyNumberFormat="1" applyFont="1" applyFill="1" applyBorder="1" applyAlignment="1">
      <alignment horizontal="right"/>
    </xf>
    <xf numFmtId="171" fontId="1" fillId="0" borderId="0" xfId="1" applyNumberFormat="1" applyFont="1" applyFill="1" applyBorder="1" applyAlignment="1">
      <alignment horizontal="center"/>
    </xf>
    <xf numFmtId="171" fontId="1" fillId="0" borderId="7" xfId="1" applyNumberFormat="1" applyFont="1" applyFill="1" applyBorder="1" applyAlignment="1" applyProtection="1">
      <alignment horizontal="left" indent="1"/>
    </xf>
    <xf numFmtId="43" fontId="1" fillId="0" borderId="0" xfId="0" applyNumberFormat="1" applyFont="1"/>
    <xf numFmtId="171" fontId="13" fillId="0" borderId="0" xfId="1" applyNumberFormat="1" applyFont="1" applyBorder="1" applyAlignment="1">
      <alignment horizontal="right"/>
    </xf>
    <xf numFmtId="171" fontId="3" fillId="0" borderId="0" xfId="1" applyNumberFormat="1" applyFont="1" applyFill="1" applyBorder="1" applyAlignment="1">
      <alignment horizontal="center"/>
    </xf>
    <xf numFmtId="171" fontId="3" fillId="0" borderId="23" xfId="1" applyNumberFormat="1" applyFont="1" applyFill="1" applyBorder="1" applyAlignment="1">
      <alignment horizontal="left" vertical="center"/>
    </xf>
    <xf numFmtId="171" fontId="3" fillId="0" borderId="24" xfId="1" applyNumberFormat="1" applyFont="1" applyFill="1" applyBorder="1" applyAlignment="1">
      <alignment horizontal="right"/>
    </xf>
    <xf numFmtId="171" fontId="3" fillId="3" borderId="25" xfId="1" applyNumberFormat="1" applyFont="1" applyFill="1" applyBorder="1" applyAlignment="1">
      <alignment horizontal="right"/>
    </xf>
    <xf numFmtId="171" fontId="3" fillId="0" borderId="24" xfId="6" applyNumberFormat="1" applyFont="1" applyFill="1" applyBorder="1" applyAlignment="1">
      <alignment horizontal="right"/>
    </xf>
    <xf numFmtId="171" fontId="3" fillId="3" borderId="23" xfId="1" applyNumberFormat="1" applyFont="1" applyFill="1" applyBorder="1" applyAlignment="1">
      <alignment horizontal="left" vertical="center"/>
    </xf>
    <xf numFmtId="171" fontId="3" fillId="3" borderId="24" xfId="1" applyNumberFormat="1" applyFont="1" applyFill="1" applyBorder="1" applyAlignment="1">
      <alignment horizontal="right"/>
    </xf>
    <xf numFmtId="171" fontId="3" fillId="3" borderId="24" xfId="6" applyNumberFormat="1" applyFont="1" applyFill="1" applyBorder="1" applyAlignment="1">
      <alignment horizontal="right"/>
    </xf>
    <xf numFmtId="0" fontId="3" fillId="0" borderId="7" xfId="0" applyFont="1" applyFill="1" applyBorder="1" applyAlignment="1">
      <alignment horizontal="left"/>
    </xf>
    <xf numFmtId="171" fontId="3" fillId="0" borderId="7" xfId="1" applyNumberFormat="1" applyFont="1" applyFill="1" applyBorder="1" applyAlignment="1">
      <alignment horizontal="left" vertical="center"/>
    </xf>
    <xf numFmtId="171" fontId="3" fillId="0" borderId="7" xfId="1" applyNumberFormat="1" applyFont="1" applyFill="1" applyBorder="1" applyAlignment="1" applyProtection="1">
      <alignment horizontal="left"/>
    </xf>
    <xf numFmtId="171" fontId="1" fillId="0" borderId="7" xfId="6" applyNumberFormat="1" applyFont="1" applyFill="1" applyBorder="1" applyAlignment="1" applyProtection="1">
      <alignment horizontal="left" indent="1"/>
    </xf>
    <xf numFmtId="171" fontId="1" fillId="0" borderId="7" xfId="1" applyNumberFormat="1" applyFont="1" applyFill="1" applyBorder="1" applyAlignment="1" applyProtection="1">
      <alignment horizontal="left" wrapText="1" indent="1"/>
    </xf>
    <xf numFmtId="171" fontId="3" fillId="3" borderId="22" xfId="1" applyNumberFormat="1" applyFont="1" applyFill="1" applyBorder="1" applyAlignment="1" applyProtection="1">
      <alignment horizontal="left"/>
    </xf>
    <xf numFmtId="171" fontId="3" fillId="3" borderId="26" xfId="1" applyNumberFormat="1" applyFont="1" applyFill="1" applyBorder="1" applyAlignment="1">
      <alignment horizontal="left" vertical="center"/>
    </xf>
    <xf numFmtId="171" fontId="3" fillId="3" borderId="27" xfId="1" applyNumberFormat="1" applyFont="1" applyFill="1" applyBorder="1" applyAlignment="1">
      <alignment horizontal="right"/>
    </xf>
    <xf numFmtId="171" fontId="3" fillId="3" borderId="28" xfId="1" applyNumberFormat="1" applyFont="1" applyFill="1" applyBorder="1" applyAlignment="1">
      <alignment horizontal="right"/>
    </xf>
    <xf numFmtId="171" fontId="3" fillId="3" borderId="27" xfId="6" applyNumberFormat="1" applyFont="1" applyFill="1" applyBorder="1" applyAlignment="1">
      <alignment horizontal="right"/>
    </xf>
    <xf numFmtId="43" fontId="31" fillId="0" borderId="0" xfId="1" applyFont="1" applyFill="1" applyBorder="1" applyAlignment="1">
      <alignment horizontal="center"/>
    </xf>
    <xf numFmtId="43" fontId="31" fillId="2" borderId="0" xfId="1" applyFont="1" applyFill="1" applyBorder="1" applyAlignment="1">
      <alignment horizontal="left"/>
    </xf>
    <xf numFmtId="43" fontId="31" fillId="2" borderId="0" xfId="1" applyFont="1" applyFill="1" applyBorder="1" applyAlignment="1">
      <alignment horizontal="right"/>
    </xf>
    <xf numFmtId="43" fontId="31" fillId="0" borderId="0" xfId="1" applyFont="1"/>
    <xf numFmtId="43" fontId="3" fillId="2" borderId="0" xfId="1" applyNumberFormat="1" applyFont="1" applyFill="1" applyBorder="1" applyAlignment="1">
      <alignment horizontal="right"/>
    </xf>
    <xf numFmtId="171" fontId="1" fillId="2" borderId="0" xfId="1" applyNumberFormat="1" applyFont="1" applyFill="1" applyBorder="1" applyAlignment="1">
      <alignment horizontal="right"/>
    </xf>
    <xf numFmtId="43" fontId="13" fillId="2" borderId="0" xfId="1" applyNumberFormat="1" applyFont="1" applyFill="1" applyBorder="1" applyAlignment="1">
      <alignment horizontal="right"/>
    </xf>
    <xf numFmtId="43" fontId="25" fillId="2" borderId="0" xfId="1" applyNumberFormat="1" applyFont="1" applyFill="1" applyBorder="1" applyAlignment="1">
      <alignment horizontal="right"/>
    </xf>
    <xf numFmtId="0" fontId="3" fillId="0" borderId="0" xfId="0" applyFont="1" applyFill="1" applyBorder="1" applyAlignment="1">
      <alignment horizontal="left"/>
    </xf>
    <xf numFmtId="169" fontId="3" fillId="0" borderId="0" xfId="3" applyNumberFormat="1" applyFont="1" applyFill="1" applyBorder="1" applyAlignment="1">
      <alignment horizontal="right"/>
    </xf>
    <xf numFmtId="171" fontId="3" fillId="0" borderId="0" xfId="0" applyNumberFormat="1" applyFont="1" applyFill="1" applyBorder="1" applyAlignment="1">
      <alignment horizontal="right"/>
    </xf>
    <xf numFmtId="0" fontId="9" fillId="0" borderId="0" xfId="0" applyFont="1" applyFill="1" applyBorder="1" applyAlignment="1">
      <alignment horizontal="right"/>
    </xf>
    <xf numFmtId="169" fontId="3" fillId="0" borderId="0" xfId="1" applyNumberFormat="1" applyFont="1" applyFill="1" applyBorder="1" applyAlignment="1">
      <alignment horizontal="center"/>
    </xf>
    <xf numFmtId="164" fontId="3" fillId="0" borderId="4" xfId="0" applyNumberFormat="1" applyFont="1" applyFill="1" applyBorder="1" applyAlignment="1">
      <alignment horizontal="left" indent="1"/>
    </xf>
    <xf numFmtId="164" fontId="3" fillId="0" borderId="5" xfId="3" applyNumberFormat="1" applyFont="1" applyBorder="1" applyAlignment="1">
      <alignment horizontal="right"/>
    </xf>
    <xf numFmtId="169" fontId="3" fillId="3" borderId="2" xfId="1" applyNumberFormat="1" applyFont="1" applyFill="1" applyBorder="1" applyAlignment="1">
      <alignment horizontal="right"/>
    </xf>
    <xf numFmtId="169" fontId="3" fillId="0" borderId="5" xfId="1" applyNumberFormat="1" applyFont="1" applyBorder="1" applyAlignment="1">
      <alignment horizontal="right"/>
    </xf>
    <xf numFmtId="169" fontId="3" fillId="0" borderId="0" xfId="0" applyNumberFormat="1" applyFont="1" applyFill="1" applyBorder="1" applyAlignment="1">
      <alignment horizontal="center"/>
    </xf>
    <xf numFmtId="164" fontId="3" fillId="0" borderId="7" xfId="0" applyNumberFormat="1" applyFont="1" applyFill="1" applyBorder="1" applyAlignment="1">
      <alignment horizontal="left" indent="1"/>
    </xf>
    <xf numFmtId="177" fontId="3" fillId="0" borderId="0" xfId="3" applyNumberFormat="1" applyFont="1" applyBorder="1" applyAlignment="1">
      <alignment horizontal="right"/>
    </xf>
    <xf numFmtId="169" fontId="3" fillId="3" borderId="6" xfId="3" applyNumberFormat="1" applyFont="1" applyFill="1" applyBorder="1" applyAlignment="1">
      <alignment horizontal="right"/>
    </xf>
    <xf numFmtId="169" fontId="3" fillId="0" borderId="0" xfId="3" applyNumberFormat="1" applyFont="1" applyBorder="1" applyAlignment="1">
      <alignment horizontal="right"/>
    </xf>
    <xf numFmtId="164" fontId="3" fillId="0" borderId="0" xfId="0" applyNumberFormat="1" applyFont="1" applyFill="1" applyBorder="1" applyAlignment="1">
      <alignment horizontal="center"/>
    </xf>
    <xf numFmtId="164" fontId="3" fillId="3" borderId="6" xfId="3" applyNumberFormat="1" applyFont="1" applyFill="1" applyBorder="1" applyAlignment="1">
      <alignment horizontal="right"/>
    </xf>
    <xf numFmtId="164" fontId="3" fillId="0" borderId="0" xfId="3" applyNumberFormat="1" applyFont="1" applyBorder="1" applyAlignment="1">
      <alignment horizontal="right"/>
    </xf>
    <xf numFmtId="177" fontId="3" fillId="0" borderId="0" xfId="0" applyNumberFormat="1" applyFont="1" applyFill="1" applyBorder="1" applyAlignment="1">
      <alignment horizontal="center"/>
    </xf>
    <xf numFmtId="177" fontId="3" fillId="0" borderId="7" xfId="0" applyNumberFormat="1" applyFont="1" applyFill="1" applyBorder="1" applyAlignment="1">
      <alignment horizontal="left" indent="1"/>
    </xf>
    <xf numFmtId="177" fontId="3" fillId="3" borderId="6" xfId="3" applyNumberFormat="1" applyFont="1" applyFill="1" applyBorder="1" applyAlignment="1">
      <alignment horizontal="right"/>
    </xf>
    <xf numFmtId="9" fontId="1" fillId="0" borderId="0" xfId="3" applyNumberFormat="1" applyFont="1" applyBorder="1" applyAlignment="1">
      <alignment horizontal="right"/>
    </xf>
    <xf numFmtId="171" fontId="1" fillId="0" borderId="0" xfId="6" applyNumberFormat="1" applyFont="1" applyBorder="1" applyAlignment="1">
      <alignment horizontal="right"/>
    </xf>
    <xf numFmtId="0" fontId="1" fillId="0" borderId="7" xfId="0" applyNumberFormat="1" applyFont="1" applyFill="1" applyBorder="1" applyAlignment="1">
      <alignment horizontal="left" indent="1"/>
    </xf>
    <xf numFmtId="9" fontId="3" fillId="3" borderId="6" xfId="3" applyNumberFormat="1" applyFont="1" applyFill="1" applyBorder="1" applyAlignment="1">
      <alignment horizontal="right"/>
    </xf>
    <xf numFmtId="9" fontId="13" fillId="0" borderId="0" xfId="3" applyNumberFormat="1" applyFont="1" applyBorder="1" applyAlignment="1">
      <alignment horizontal="right"/>
    </xf>
    <xf numFmtId="9" fontId="1" fillId="0" borderId="7" xfId="0" applyNumberFormat="1" applyFont="1" applyFill="1" applyBorder="1" applyAlignment="1">
      <alignment horizontal="left" indent="1"/>
    </xf>
    <xf numFmtId="164" fontId="1" fillId="2" borderId="0" xfId="3" applyNumberFormat="1" applyFont="1" applyFill="1" applyBorder="1" applyAlignment="1">
      <alignment horizontal="right"/>
    </xf>
    <xf numFmtId="171" fontId="3" fillId="2" borderId="0" xfId="6" applyNumberFormat="1" applyFont="1" applyFill="1" applyBorder="1" applyAlignment="1" applyProtection="1">
      <alignment horizontal="right"/>
    </xf>
    <xf numFmtId="43" fontId="17" fillId="2" borderId="0" xfId="6" applyFont="1" applyFill="1" applyBorder="1" applyAlignment="1" applyProtection="1">
      <alignment horizontal="right"/>
    </xf>
    <xf numFmtId="169" fontId="3" fillId="2" borderId="0" xfId="6" applyNumberFormat="1" applyFont="1" applyFill="1" applyBorder="1" applyAlignment="1" applyProtection="1">
      <alignment horizontal="right"/>
    </xf>
    <xf numFmtId="164" fontId="13" fillId="2" borderId="0" xfId="3" applyNumberFormat="1" applyFont="1" applyFill="1" applyBorder="1" applyAlignment="1">
      <alignment horizontal="right"/>
    </xf>
    <xf numFmtId="164" fontId="3" fillId="2" borderId="0" xfId="0" applyNumberFormat="1" applyFont="1" applyFill="1" applyBorder="1" applyAlignment="1">
      <alignment horizontal="center"/>
    </xf>
    <xf numFmtId="9" fontId="1" fillId="0" borderId="12" xfId="0" applyNumberFormat="1" applyFont="1" applyFill="1" applyBorder="1" applyAlignment="1">
      <alignment horizontal="left" indent="1"/>
    </xf>
    <xf numFmtId="171" fontId="3" fillId="2" borderId="14" xfId="6" applyNumberFormat="1" applyFont="1" applyFill="1" applyBorder="1" applyAlignment="1" applyProtection="1">
      <alignment horizontal="right"/>
    </xf>
    <xf numFmtId="169" fontId="3" fillId="2" borderId="14" xfId="6" applyNumberFormat="1" applyFont="1" applyFill="1" applyBorder="1" applyAlignment="1" applyProtection="1">
      <alignment horizontal="right"/>
    </xf>
    <xf numFmtId="164" fontId="3" fillId="3" borderId="13" xfId="3" applyNumberFormat="1" applyFont="1" applyFill="1" applyBorder="1" applyAlignment="1">
      <alignment horizontal="right"/>
    </xf>
    <xf numFmtId="164" fontId="1" fillId="2" borderId="14" xfId="3" applyNumberFormat="1" applyFont="1" applyFill="1" applyBorder="1" applyAlignment="1">
      <alignment horizontal="right"/>
    </xf>
    <xf numFmtId="164" fontId="13" fillId="2" borderId="14" xfId="3" applyNumberFormat="1" applyFont="1" applyFill="1" applyBorder="1" applyAlignment="1">
      <alignment horizontal="right"/>
    </xf>
    <xf numFmtId="164" fontId="3" fillId="4" borderId="14" xfId="3" applyNumberFormat="1" applyFont="1" applyFill="1" applyBorder="1" applyAlignment="1">
      <alignment horizontal="right"/>
    </xf>
    <xf numFmtId="9" fontId="1" fillId="0" borderId="0" xfId="0" applyNumberFormat="1" applyFont="1" applyFill="1" applyBorder="1" applyAlignment="1">
      <alignment horizontal="left" indent="1"/>
    </xf>
    <xf numFmtId="169" fontId="1" fillId="0" borderId="0" xfId="1" applyNumberFormat="1" applyFont="1" applyFill="1" applyBorder="1"/>
    <xf numFmtId="0" fontId="1" fillId="2" borderId="0" xfId="0" applyNumberFormat="1" applyFont="1" applyFill="1" applyBorder="1" applyAlignment="1">
      <alignment horizontal="left" indent="1"/>
    </xf>
    <xf numFmtId="169" fontId="3" fillId="2" borderId="0" xfId="1" applyNumberFormat="1" applyFont="1" applyFill="1" applyBorder="1" applyAlignment="1" applyProtection="1">
      <alignment horizontal="right"/>
    </xf>
    <xf numFmtId="171" fontId="3" fillId="2" borderId="0" xfId="1" applyNumberFormat="1" applyFont="1" applyFill="1" applyBorder="1" applyAlignment="1" applyProtection="1">
      <alignment horizontal="right"/>
    </xf>
    <xf numFmtId="43" fontId="17" fillId="2" borderId="0" xfId="1" applyFont="1" applyFill="1" applyBorder="1" applyAlignment="1" applyProtection="1">
      <alignment horizontal="right"/>
    </xf>
    <xf numFmtId="169" fontId="1" fillId="2" borderId="0" xfId="1" applyNumberFormat="1" applyFont="1" applyFill="1" applyBorder="1"/>
    <xf numFmtId="171" fontId="1" fillId="2" borderId="0" xfId="6" applyNumberFormat="1" applyFont="1" applyFill="1" applyBorder="1" applyAlignment="1">
      <alignment horizontal="right"/>
    </xf>
    <xf numFmtId="169" fontId="25" fillId="2" borderId="0" xfId="1" applyNumberFormat="1" applyFont="1" applyFill="1" applyBorder="1" applyAlignment="1" applyProtection="1">
      <alignment horizontal="right"/>
    </xf>
    <xf numFmtId="43" fontId="17" fillId="2" borderId="0" xfId="1" applyNumberFormat="1" applyFont="1" applyFill="1" applyBorder="1" applyAlignment="1" applyProtection="1">
      <alignment horizontal="right"/>
    </xf>
    <xf numFmtId="169" fontId="17" fillId="2" borderId="0" xfId="1" applyNumberFormat="1" applyFont="1" applyFill="1" applyBorder="1" applyAlignment="1" applyProtection="1">
      <alignment horizontal="right"/>
    </xf>
    <xf numFmtId="0" fontId="1" fillId="0" borderId="0" xfId="0" applyNumberFormat="1" applyFont="1" applyFill="1" applyBorder="1"/>
    <xf numFmtId="9" fontId="1" fillId="2" borderId="0" xfId="3" applyFont="1" applyFill="1" applyBorder="1" applyAlignment="1">
      <alignment horizontal="right"/>
    </xf>
    <xf numFmtId="164" fontId="1" fillId="2" borderId="0" xfId="3" applyNumberFormat="1" applyFont="1" applyFill="1" applyBorder="1"/>
    <xf numFmtId="164" fontId="12" fillId="2" borderId="0" xfId="3" applyNumberFormat="1" applyFont="1" applyFill="1" applyBorder="1" applyAlignment="1">
      <alignment horizontal="right"/>
    </xf>
    <xf numFmtId="164" fontId="1" fillId="2" borderId="0" xfId="0" applyNumberFormat="1" applyFont="1" applyFill="1" applyBorder="1"/>
    <xf numFmtId="164" fontId="1" fillId="2" borderId="0" xfId="1" applyNumberFormat="1" applyFont="1" applyFill="1" applyBorder="1"/>
    <xf numFmtId="164" fontId="1" fillId="0" borderId="0" xfId="0" applyNumberFormat="1" applyFont="1" applyFill="1" applyBorder="1"/>
    <xf numFmtId="164" fontId="1" fillId="2" borderId="0" xfId="1" applyNumberFormat="1" applyFont="1" applyFill="1" applyBorder="1" applyAlignment="1">
      <alignment horizontal="left" indent="1"/>
    </xf>
    <xf numFmtId="171" fontId="12" fillId="2" borderId="0" xfId="6" applyNumberFormat="1" applyFont="1" applyFill="1" applyBorder="1" applyAlignment="1">
      <alignment horizontal="right"/>
    </xf>
    <xf numFmtId="171" fontId="1" fillId="2" borderId="0" xfId="1" applyNumberFormat="1" applyFont="1" applyFill="1" applyBorder="1"/>
    <xf numFmtId="171" fontId="12" fillId="2" borderId="0" xfId="1" applyNumberFormat="1" applyFont="1" applyFill="1" applyBorder="1" applyAlignment="1">
      <alignment horizontal="right"/>
    </xf>
    <xf numFmtId="0" fontId="3" fillId="0" borderId="0" xfId="0" applyNumberFormat="1" applyFont="1" applyFill="1" applyBorder="1"/>
    <xf numFmtId="0" fontId="5" fillId="0" borderId="0" xfId="8" applyFont="1" applyFill="1" applyAlignment="1"/>
    <xf numFmtId="10" fontId="3" fillId="0" borderId="0" xfId="0" applyNumberFormat="1" applyFont="1" applyFill="1" applyBorder="1" applyAlignment="1">
      <alignment horizontal="right"/>
    </xf>
    <xf numFmtId="3" fontId="1" fillId="0" borderId="0" xfId="0" applyNumberFormat="1" applyFont="1" applyFill="1" applyBorder="1" applyAlignment="1">
      <alignment horizontal="right"/>
    </xf>
    <xf numFmtId="10" fontId="12" fillId="0" borderId="0" xfId="3" applyNumberFormat="1" applyFont="1" applyBorder="1" applyAlignment="1">
      <alignment horizontal="right"/>
    </xf>
    <xf numFmtId="10" fontId="12" fillId="0" borderId="0" xfId="3" applyNumberFormat="1" applyFont="1" applyFill="1" applyBorder="1" applyAlignment="1">
      <alignment horizontal="right"/>
    </xf>
    <xf numFmtId="10" fontId="0" fillId="0" borderId="0" xfId="3" applyNumberFormat="1" applyFont="1"/>
    <xf numFmtId="164" fontId="3" fillId="2" borderId="0" xfId="3" applyNumberFormat="1" applyFont="1" applyFill="1" applyBorder="1" applyAlignment="1">
      <alignment horizontal="center"/>
    </xf>
    <xf numFmtId="0" fontId="1" fillId="0" borderId="8" xfId="0" applyFont="1" applyFill="1" applyBorder="1"/>
    <xf numFmtId="171" fontId="4" fillId="3" borderId="4" xfId="1" applyNumberFormat="1" applyFont="1" applyFill="1" applyBorder="1" applyAlignment="1">
      <alignment horizontal="left"/>
    </xf>
    <xf numFmtId="9" fontId="35" fillId="0" borderId="0" xfId="0" applyNumberFormat="1" applyFont="1" applyFill="1" applyBorder="1" applyAlignment="1">
      <alignment horizontal="right"/>
    </xf>
    <xf numFmtId="10" fontId="12" fillId="0" borderId="0" xfId="0" applyNumberFormat="1" applyFont="1" applyFill="1" applyBorder="1" applyAlignment="1">
      <alignment horizontal="right"/>
    </xf>
    <xf numFmtId="174" fontId="36" fillId="0" borderId="0" xfId="0" applyNumberFormat="1" applyFont="1" applyFill="1" applyBorder="1" applyAlignment="1">
      <alignment horizontal="right"/>
    </xf>
    <xf numFmtId="165" fontId="6" fillId="0" borderId="8" xfId="0" applyNumberFormat="1" applyFont="1" applyFill="1" applyBorder="1"/>
    <xf numFmtId="165" fontId="1" fillId="0" borderId="18" xfId="0" applyNumberFormat="1" applyFont="1" applyFill="1" applyBorder="1" applyAlignment="1">
      <alignment horizontal="right"/>
    </xf>
    <xf numFmtId="165" fontId="12" fillId="3" borderId="1" xfId="6" applyNumberFormat="1" applyFont="1" applyFill="1" applyBorder="1" applyAlignment="1">
      <alignment horizontal="right"/>
    </xf>
    <xf numFmtId="165" fontId="12" fillId="3" borderId="1" xfId="1" applyNumberFormat="1" applyFont="1" applyFill="1" applyBorder="1" applyAlignment="1">
      <alignment horizontal="right"/>
    </xf>
    <xf numFmtId="165" fontId="13" fillId="0" borderId="18" xfId="1" applyNumberFormat="1" applyFont="1" applyFill="1" applyBorder="1" applyAlignment="1">
      <alignment horizontal="right"/>
    </xf>
    <xf numFmtId="165" fontId="13" fillId="4" borderId="18" xfId="1" applyNumberFormat="1" applyFont="1" applyFill="1" applyBorder="1" applyAlignment="1">
      <alignment horizontal="right"/>
    </xf>
    <xf numFmtId="165" fontId="12" fillId="0" borderId="18" xfId="1" applyNumberFormat="1" applyFont="1" applyFill="1" applyBorder="1" applyAlignment="1">
      <alignment horizontal="right"/>
    </xf>
    <xf numFmtId="165" fontId="12" fillId="0" borderId="19" xfId="1" applyNumberFormat="1" applyFont="1" applyFill="1" applyBorder="1" applyAlignment="1">
      <alignment horizontal="right"/>
    </xf>
    <xf numFmtId="165" fontId="1" fillId="3" borderId="1" xfId="1" applyNumberFormat="1" applyFont="1" applyFill="1" applyBorder="1" applyAlignment="1">
      <alignment horizontal="right"/>
    </xf>
    <xf numFmtId="165" fontId="1" fillId="2" borderId="18" xfId="3" applyNumberFormat="1" applyFont="1" applyFill="1" applyBorder="1" applyAlignment="1">
      <alignment horizontal="right"/>
    </xf>
    <xf numFmtId="0" fontId="0" fillId="0" borderId="8" xfId="0" applyBorder="1"/>
    <xf numFmtId="164" fontId="6" fillId="3" borderId="6" xfId="0" applyNumberFormat="1" applyFont="1" applyFill="1" applyBorder="1" applyAlignment="1">
      <alignment horizontal="right"/>
    </xf>
    <xf numFmtId="164" fontId="15" fillId="0" borderId="0" xfId="0" applyNumberFormat="1" applyFont="1" applyFill="1" applyBorder="1" applyAlignment="1">
      <alignment horizontal="right"/>
    </xf>
    <xf numFmtId="164" fontId="15" fillId="3" borderId="6" xfId="0" applyNumberFormat="1" applyFont="1" applyFill="1" applyBorder="1" applyAlignment="1">
      <alignment horizontal="right"/>
    </xf>
    <xf numFmtId="9" fontId="6" fillId="0" borderId="0" xfId="0" applyNumberFormat="1" applyFont="1" applyFill="1" applyBorder="1" applyAlignment="1">
      <alignment horizontal="right"/>
    </xf>
    <xf numFmtId="174" fontId="1" fillId="0" borderId="0" xfId="0" applyNumberFormat="1" applyFont="1" applyFill="1" applyBorder="1" applyAlignment="1">
      <alignment horizontal="right"/>
    </xf>
    <xf numFmtId="174" fontId="13" fillId="0" borderId="0" xfId="0" applyNumberFormat="1" applyFont="1" applyFill="1" applyBorder="1" applyAlignment="1">
      <alignment horizontal="right"/>
    </xf>
    <xf numFmtId="174" fontId="13" fillId="0" borderId="0" xfId="0" applyNumberFormat="1" applyFont="1" applyBorder="1" applyAlignment="1">
      <alignment horizontal="right"/>
    </xf>
    <xf numFmtId="164" fontId="16" fillId="4" borderId="0" xfId="3" applyNumberFormat="1" applyFont="1" applyFill="1" applyBorder="1" applyAlignment="1">
      <alignment horizontal="right"/>
    </xf>
    <xf numFmtId="10" fontId="16" fillId="4" borderId="0" xfId="3" applyNumberFormat="1" applyFont="1" applyFill="1" applyBorder="1" applyAlignment="1">
      <alignment horizontal="right"/>
    </xf>
    <xf numFmtId="164" fontId="1" fillId="3" borderId="6" xfId="0" applyNumberFormat="1" applyFont="1" applyFill="1" applyBorder="1" applyAlignment="1">
      <alignment horizontal="right"/>
    </xf>
    <xf numFmtId="164" fontId="6" fillId="0" borderId="0" xfId="0" applyNumberFormat="1" applyFont="1" applyBorder="1" applyAlignment="1">
      <alignment horizontal="right"/>
    </xf>
    <xf numFmtId="0" fontId="10" fillId="0" borderId="6" xfId="0" applyFont="1" applyFill="1" applyBorder="1" applyAlignment="1">
      <alignment horizontal="left"/>
    </xf>
    <xf numFmtId="0" fontId="10" fillId="0" borderId="6" xfId="0" applyFont="1" applyFill="1" applyBorder="1" applyAlignment="1">
      <alignment horizontal="left" indent="2"/>
    </xf>
    <xf numFmtId="167" fontId="37" fillId="3" borderId="6" xfId="1" applyNumberFormat="1" applyFont="1" applyFill="1" applyBorder="1" applyAlignment="1">
      <alignment horizontal="right"/>
    </xf>
    <xf numFmtId="167" fontId="37" fillId="0" borderId="0" xfId="1" applyNumberFormat="1" applyFont="1" applyFill="1" applyBorder="1" applyAlignment="1">
      <alignment horizontal="right"/>
    </xf>
    <xf numFmtId="164" fontId="6" fillId="0" borderId="8" xfId="3" applyNumberFormat="1" applyFont="1" applyFill="1" applyBorder="1"/>
    <xf numFmtId="164" fontId="1" fillId="0" borderId="18" xfId="3" applyNumberFormat="1" applyFont="1" applyFill="1" applyBorder="1" applyAlignment="1">
      <alignment horizontal="right"/>
    </xf>
    <xf numFmtId="10" fontId="1" fillId="3" borderId="1" xfId="3" applyNumberFormat="1" applyFont="1" applyFill="1" applyBorder="1" applyAlignment="1">
      <alignment horizontal="right"/>
    </xf>
    <xf numFmtId="10" fontId="1" fillId="0" borderId="18" xfId="3" applyNumberFormat="1" applyFont="1" applyFill="1" applyBorder="1" applyAlignment="1">
      <alignment horizontal="right"/>
    </xf>
    <xf numFmtId="10" fontId="1" fillId="0" borderId="18" xfId="0" applyNumberFormat="1" applyFont="1" applyFill="1" applyBorder="1" applyAlignment="1">
      <alignment horizontal="right"/>
    </xf>
    <xf numFmtId="164" fontId="6" fillId="0" borderId="0" xfId="3" applyNumberFormat="1" applyFont="1"/>
    <xf numFmtId="0" fontId="6" fillId="0" borderId="8" xfId="0" applyFont="1" applyFill="1" applyBorder="1"/>
    <xf numFmtId="171" fontId="6" fillId="0" borderId="6" xfId="1" applyNumberFormat="1" applyFont="1" applyFill="1" applyBorder="1" applyAlignment="1">
      <alignment horizontal="left" indent="1"/>
    </xf>
    <xf numFmtId="164" fontId="6" fillId="3" borderId="6" xfId="1" applyNumberFormat="1" applyFont="1" applyFill="1" applyBorder="1" applyAlignment="1">
      <alignment horizontal="right"/>
    </xf>
    <xf numFmtId="3" fontId="6" fillId="3" borderId="6" xfId="0" applyNumberFormat="1" applyFont="1" applyFill="1" applyBorder="1" applyAlignment="1">
      <alignment horizontal="right"/>
    </xf>
    <xf numFmtId="3" fontId="6" fillId="0" borderId="0" xfId="0" applyNumberFormat="1" applyFont="1" applyBorder="1" applyAlignment="1">
      <alignment horizontal="right"/>
    </xf>
    <xf numFmtId="3" fontId="6" fillId="3" borderId="6" xfId="1" applyNumberFormat="1" applyFont="1" applyFill="1" applyBorder="1" applyAlignment="1">
      <alignment horizontal="right"/>
    </xf>
    <xf numFmtId="0" fontId="38" fillId="0" borderId="6" xfId="0" applyFont="1" applyFill="1" applyBorder="1" applyAlignment="1">
      <alignment horizontal="left" indent="1"/>
    </xf>
    <xf numFmtId="4" fontId="6" fillId="3" borderId="6" xfId="0" applyNumberFormat="1" applyFont="1" applyFill="1" applyBorder="1" applyAlignment="1">
      <alignment horizontal="right"/>
    </xf>
    <xf numFmtId="164" fontId="13" fillId="0" borderId="0" xfId="0" applyNumberFormat="1" applyFont="1" applyBorder="1" applyAlignment="1">
      <alignment horizontal="center"/>
    </xf>
    <xf numFmtId="164" fontId="1" fillId="5" borderId="0" xfId="0" applyNumberFormat="1" applyFont="1" applyFill="1" applyBorder="1" applyAlignment="1">
      <alignment horizontal="right"/>
    </xf>
    <xf numFmtId="10" fontId="12" fillId="5" borderId="0" xfId="0" applyNumberFormat="1" applyFont="1" applyFill="1" applyBorder="1" applyAlignment="1">
      <alignment horizontal="right"/>
    </xf>
    <xf numFmtId="164" fontId="1" fillId="0" borderId="0" xfId="0" applyNumberFormat="1" applyFont="1" applyFill="1" applyBorder="1" applyAlignment="1">
      <alignment horizontal="right"/>
    </xf>
    <xf numFmtId="167" fontId="12" fillId="0" borderId="0" xfId="0" applyNumberFormat="1" applyFont="1" applyFill="1" applyBorder="1" applyAlignment="1">
      <alignment horizontal="right"/>
    </xf>
    <xf numFmtId="167" fontId="1" fillId="3" borderId="6" xfId="0" applyNumberFormat="1" applyFont="1" applyFill="1" applyBorder="1" applyAlignment="1">
      <alignment horizontal="right"/>
    </xf>
    <xf numFmtId="167" fontId="12" fillId="0" borderId="0" xfId="0" applyNumberFormat="1" applyFont="1" applyBorder="1" applyAlignment="1">
      <alignment horizontal="right"/>
    </xf>
    <xf numFmtId="178" fontId="6" fillId="3" borderId="6" xfId="0" applyNumberFormat="1" applyFont="1" applyFill="1" applyBorder="1" applyAlignment="1">
      <alignment horizontal="right"/>
    </xf>
    <xf numFmtId="167" fontId="1" fillId="0" borderId="0" xfId="3" applyNumberFormat="1" applyFont="1" applyBorder="1" applyAlignment="1">
      <alignment horizontal="right"/>
    </xf>
    <xf numFmtId="179" fontId="12" fillId="5" borderId="0" xfId="0" applyNumberFormat="1" applyFont="1" applyFill="1" applyBorder="1" applyAlignment="1">
      <alignment horizontal="right" vertical="center"/>
    </xf>
    <xf numFmtId="10" fontId="1" fillId="3" borderId="6" xfId="0" applyNumberFormat="1" applyFont="1" applyFill="1" applyBorder="1" applyAlignment="1">
      <alignment horizontal="right"/>
    </xf>
    <xf numFmtId="10" fontId="1" fillId="0" borderId="0" xfId="0" applyNumberFormat="1" applyFont="1" applyBorder="1" applyAlignment="1">
      <alignment horizontal="right"/>
    </xf>
    <xf numFmtId="10" fontId="1" fillId="0" borderId="0" xfId="3" applyNumberFormat="1" applyFont="1" applyBorder="1" applyAlignment="1">
      <alignment horizontal="right"/>
    </xf>
    <xf numFmtId="174" fontId="1" fillId="0" borderId="0" xfId="0" applyNumberFormat="1" applyFont="1" applyBorder="1" applyAlignment="1">
      <alignment horizontal="right"/>
    </xf>
    <xf numFmtId="171" fontId="3" fillId="0" borderId="29" xfId="1" applyNumberFormat="1" applyFont="1" applyFill="1" applyBorder="1" applyAlignment="1">
      <alignment horizontal="left"/>
    </xf>
    <xf numFmtId="165" fontId="13" fillId="0" borderId="30" xfId="6" applyNumberFormat="1" applyFont="1" applyFill="1" applyBorder="1" applyAlignment="1">
      <alignment horizontal="right"/>
    </xf>
    <xf numFmtId="165" fontId="12" fillId="3" borderId="29" xfId="6" applyNumberFormat="1" applyFont="1" applyFill="1" applyBorder="1" applyAlignment="1">
      <alignment horizontal="right"/>
    </xf>
    <xf numFmtId="165" fontId="12" fillId="3" borderId="29" xfId="1" applyNumberFormat="1" applyFont="1" applyFill="1" applyBorder="1" applyAlignment="1">
      <alignment horizontal="right"/>
    </xf>
    <xf numFmtId="165" fontId="13" fillId="0" borderId="30" xfId="1" applyNumberFormat="1" applyFont="1" applyFill="1" applyBorder="1" applyAlignment="1">
      <alignment horizontal="right"/>
    </xf>
    <xf numFmtId="165" fontId="12" fillId="0" borderId="31" xfId="1" applyNumberFormat="1" applyFont="1" applyFill="1" applyBorder="1" applyAlignment="1">
      <alignment horizontal="right"/>
    </xf>
    <xf numFmtId="165" fontId="12" fillId="0" borderId="30" xfId="1" applyNumberFormat="1" applyFont="1" applyFill="1" applyBorder="1" applyAlignment="1">
      <alignment horizontal="right"/>
    </xf>
    <xf numFmtId="165" fontId="1" fillId="3" borderId="29" xfId="1" applyNumberFormat="1" applyFont="1" applyFill="1" applyBorder="1" applyAlignment="1">
      <alignment horizontal="right"/>
    </xf>
    <xf numFmtId="165" fontId="1" fillId="0" borderId="30" xfId="1" applyNumberFormat="1" applyFont="1" applyBorder="1" applyAlignment="1">
      <alignment horizontal="right"/>
    </xf>
    <xf numFmtId="165" fontId="6" fillId="0" borderId="0" xfId="0" applyNumberFormat="1" applyFont="1"/>
    <xf numFmtId="164" fontId="15" fillId="0" borderId="0" xfId="0" applyNumberFormat="1" applyFont="1" applyBorder="1" applyAlignment="1">
      <alignment horizontal="right"/>
    </xf>
    <xf numFmtId="164" fontId="6" fillId="0" borderId="6" xfId="0" applyNumberFormat="1" applyFont="1" applyFill="1" applyBorder="1" applyAlignment="1">
      <alignment horizontal="left" indent="4"/>
    </xf>
    <xf numFmtId="165" fontId="1" fillId="0" borderId="30" xfId="0" applyNumberFormat="1" applyFont="1" applyFill="1" applyBorder="1" applyAlignment="1">
      <alignment horizontal="right"/>
    </xf>
    <xf numFmtId="165" fontId="12" fillId="0" borderId="30" xfId="0" applyNumberFormat="1" applyFont="1" applyFill="1" applyBorder="1" applyAlignment="1">
      <alignment horizontal="right"/>
    </xf>
    <xf numFmtId="165" fontId="3" fillId="3" borderId="29" xfId="1" applyNumberFormat="1" applyFont="1" applyFill="1" applyBorder="1" applyAlignment="1">
      <alignment horizontal="right"/>
    </xf>
    <xf numFmtId="165" fontId="1" fillId="2" borderId="30" xfId="3" applyNumberFormat="1" applyFont="1" applyFill="1" applyBorder="1" applyAlignment="1">
      <alignment horizontal="right"/>
    </xf>
    <xf numFmtId="170" fontId="1" fillId="0" borderId="0" xfId="0" applyNumberFormat="1" applyFont="1" applyFill="1" applyBorder="1" applyAlignment="1">
      <alignment horizontal="right"/>
    </xf>
    <xf numFmtId="170" fontId="1" fillId="3" borderId="6" xfId="6" applyNumberFormat="1" applyFont="1" applyFill="1" applyBorder="1" applyAlignment="1">
      <alignment horizontal="right"/>
    </xf>
    <xf numFmtId="170" fontId="1" fillId="3" borderId="6" xfId="1" applyNumberFormat="1" applyFont="1" applyFill="1" applyBorder="1" applyAlignment="1">
      <alignment horizontal="right"/>
    </xf>
    <xf numFmtId="165" fontId="3" fillId="0" borderId="8" xfId="0" applyNumberFormat="1" applyFont="1" applyFill="1" applyBorder="1"/>
    <xf numFmtId="165" fontId="3" fillId="3" borderId="21" xfId="6" applyNumberFormat="1" applyFont="1" applyFill="1" applyBorder="1" applyAlignment="1">
      <alignment horizontal="right"/>
    </xf>
    <xf numFmtId="165" fontId="3" fillId="3" borderId="20" xfId="6" applyNumberFormat="1" applyFont="1" applyFill="1" applyBorder="1" applyAlignment="1">
      <alignment horizontal="right"/>
    </xf>
    <xf numFmtId="165" fontId="3" fillId="3" borderId="20" xfId="1" applyNumberFormat="1" applyFont="1" applyFill="1" applyBorder="1" applyAlignment="1">
      <alignment horizontal="right"/>
    </xf>
    <xf numFmtId="165" fontId="3" fillId="3" borderId="21" xfId="1" applyNumberFormat="1" applyFont="1" applyFill="1" applyBorder="1" applyAlignment="1">
      <alignment horizontal="right"/>
    </xf>
    <xf numFmtId="165" fontId="1" fillId="3" borderId="21" xfId="1" applyNumberFormat="1" applyFont="1" applyFill="1" applyBorder="1" applyAlignment="1">
      <alignment horizontal="right"/>
    </xf>
    <xf numFmtId="165" fontId="3" fillId="0" borderId="0" xfId="0" applyNumberFormat="1" applyFont="1"/>
    <xf numFmtId="164" fontId="1" fillId="0" borderId="8" xfId="0" applyNumberFormat="1" applyFont="1" applyFill="1" applyBorder="1"/>
    <xf numFmtId="165" fontId="6" fillId="0" borderId="7" xfId="1" applyNumberFormat="1" applyFont="1" applyFill="1" applyBorder="1" applyAlignment="1">
      <alignment horizontal="left" indent="2"/>
    </xf>
    <xf numFmtId="171" fontId="23" fillId="0" borderId="8" xfId="1" applyNumberFormat="1" applyFont="1" applyFill="1" applyBorder="1"/>
    <xf numFmtId="43" fontId="23" fillId="0" borderId="7" xfId="1" applyFont="1" applyFill="1" applyBorder="1" applyAlignment="1">
      <alignment horizontal="left" indent="4"/>
    </xf>
    <xf numFmtId="43" fontId="23" fillId="0" borderId="0" xfId="6" applyFont="1" applyFill="1" applyBorder="1" applyAlignment="1">
      <alignment horizontal="right"/>
    </xf>
    <xf numFmtId="43" fontId="23" fillId="3" borderId="6" xfId="6" applyFont="1" applyFill="1" applyBorder="1" applyAlignment="1">
      <alignment horizontal="right"/>
    </xf>
    <xf numFmtId="43" fontId="23" fillId="3" borderId="6" xfId="1" applyFont="1" applyFill="1" applyBorder="1" applyAlignment="1">
      <alignment horizontal="right"/>
    </xf>
    <xf numFmtId="43" fontId="23" fillId="0" borderId="0" xfId="1" applyFont="1" applyFill="1" applyBorder="1" applyAlignment="1">
      <alignment horizontal="right"/>
    </xf>
    <xf numFmtId="43" fontId="23" fillId="0" borderId="0" xfId="1" applyFont="1" applyBorder="1" applyAlignment="1">
      <alignment horizontal="right"/>
    </xf>
    <xf numFmtId="171" fontId="23" fillId="0" borderId="0" xfId="1" applyNumberFormat="1" applyFont="1" applyBorder="1"/>
    <xf numFmtId="10" fontId="13" fillId="0" borderId="0" xfId="0" applyNumberFormat="1" applyFont="1" applyFill="1" applyBorder="1" applyAlignment="1">
      <alignment horizontal="right"/>
    </xf>
    <xf numFmtId="10" fontId="6" fillId="3" borderId="6" xfId="0" applyNumberFormat="1" applyFont="1" applyFill="1" applyBorder="1" applyAlignment="1">
      <alignment horizontal="right"/>
    </xf>
    <xf numFmtId="43" fontId="23" fillId="0" borderId="12" xfId="1" applyFont="1" applyFill="1" applyBorder="1" applyAlignment="1">
      <alignment horizontal="left" indent="4"/>
    </xf>
    <xf numFmtId="43" fontId="23" fillId="0" borderId="14" xfId="6" applyFont="1" applyFill="1" applyBorder="1" applyAlignment="1">
      <alignment horizontal="right"/>
    </xf>
    <xf numFmtId="43" fontId="23" fillId="3" borderId="13" xfId="6" applyFont="1" applyFill="1" applyBorder="1" applyAlignment="1">
      <alignment horizontal="right"/>
    </xf>
    <xf numFmtId="43" fontId="23" fillId="3" borderId="13" xfId="1" applyFont="1" applyFill="1" applyBorder="1" applyAlignment="1">
      <alignment horizontal="right"/>
    </xf>
    <xf numFmtId="43" fontId="23" fillId="0" borderId="14" xfId="1" applyFont="1" applyFill="1" applyBorder="1" applyAlignment="1">
      <alignment horizontal="right"/>
    </xf>
    <xf numFmtId="43" fontId="23" fillId="0" borderId="14" xfId="1" applyFont="1" applyBorder="1" applyAlignment="1">
      <alignment horizontal="right"/>
    </xf>
    <xf numFmtId="10" fontId="1" fillId="0" borderId="0" xfId="0" applyNumberFormat="1" applyFont="1"/>
    <xf numFmtId="171" fontId="4" fillId="3" borderId="2" xfId="1" applyNumberFormat="1" applyFont="1" applyFill="1" applyBorder="1" applyAlignment="1">
      <alignment horizontal="left"/>
    </xf>
    <xf numFmtId="9" fontId="21" fillId="0" borderId="0" xfId="0" applyNumberFormat="1" applyFont="1" applyFill="1" applyBorder="1" applyAlignment="1">
      <alignment horizontal="right"/>
    </xf>
    <xf numFmtId="164" fontId="23" fillId="0" borderId="0" xfId="1" applyNumberFormat="1" applyFont="1" applyBorder="1"/>
    <xf numFmtId="171" fontId="1" fillId="0" borderId="2" xfId="1" applyNumberFormat="1" applyFont="1" applyFill="1" applyBorder="1" applyAlignment="1">
      <alignment horizontal="left"/>
    </xf>
    <xf numFmtId="164" fontId="15" fillId="0" borderId="5" xfId="3" applyNumberFormat="1" applyFont="1" applyFill="1" applyBorder="1" applyAlignment="1">
      <alignment horizontal="right"/>
    </xf>
    <xf numFmtId="164" fontId="15" fillId="3" borderId="2" xfId="3" applyNumberFormat="1" applyFont="1" applyFill="1" applyBorder="1" applyAlignment="1">
      <alignment horizontal="right"/>
    </xf>
    <xf numFmtId="164" fontId="15" fillId="0" borderId="5" xfId="3" applyNumberFormat="1" applyFont="1" applyBorder="1" applyAlignment="1">
      <alignment horizontal="right"/>
    </xf>
    <xf numFmtId="165" fontId="3" fillId="0" borderId="6" xfId="1" applyNumberFormat="1" applyFont="1" applyFill="1" applyBorder="1" applyAlignment="1">
      <alignment horizontal="left"/>
    </xf>
    <xf numFmtId="165" fontId="1" fillId="0" borderId="0" xfId="0" applyNumberFormat="1" applyFont="1" applyFill="1" applyBorder="1" applyAlignment="1">
      <alignment horizontal="right"/>
    </xf>
    <xf numFmtId="165" fontId="12" fillId="3" borderId="6" xfId="6" applyNumberFormat="1" applyFont="1" applyFill="1" applyBorder="1" applyAlignment="1">
      <alignment horizontal="right"/>
    </xf>
    <xf numFmtId="165" fontId="12" fillId="3" borderId="6" xfId="1" applyNumberFormat="1" applyFont="1" applyFill="1" applyBorder="1" applyAlignment="1">
      <alignment horizontal="right"/>
    </xf>
    <xf numFmtId="165" fontId="13" fillId="0" borderId="0" xfId="1" applyNumberFormat="1" applyFont="1" applyFill="1" applyBorder="1" applyAlignment="1">
      <alignment horizontal="right"/>
    </xf>
    <xf numFmtId="165" fontId="3" fillId="3" borderId="6" xfId="1" applyNumberFormat="1" applyFont="1" applyFill="1" applyBorder="1" applyAlignment="1">
      <alignment horizontal="right"/>
    </xf>
    <xf numFmtId="165" fontId="1" fillId="2" borderId="0" xfId="3" applyNumberFormat="1" applyFont="1" applyFill="1" applyBorder="1" applyAlignment="1">
      <alignment horizontal="right"/>
    </xf>
    <xf numFmtId="165" fontId="6" fillId="0" borderId="6" xfId="1" applyNumberFormat="1" applyFont="1" applyFill="1" applyBorder="1" applyAlignment="1">
      <alignment horizontal="left"/>
    </xf>
    <xf numFmtId="1" fontId="1" fillId="0" borderId="0" xfId="0" applyNumberFormat="1" applyFont="1" applyFill="1" applyBorder="1" applyAlignment="1">
      <alignment horizontal="right"/>
    </xf>
    <xf numFmtId="37" fontId="12" fillId="3" borderId="6" xfId="1" applyNumberFormat="1" applyFont="1" applyFill="1" applyBorder="1" applyAlignment="1">
      <alignment horizontal="right"/>
    </xf>
    <xf numFmtId="174" fontId="12" fillId="0" borderId="0" xfId="0" applyNumberFormat="1" applyFont="1" applyFill="1" applyBorder="1" applyAlignment="1">
      <alignment horizontal="right"/>
    </xf>
    <xf numFmtId="165" fontId="1" fillId="3" borderId="6" xfId="6" applyNumberFormat="1" applyFont="1" applyFill="1" applyBorder="1" applyAlignment="1">
      <alignment horizontal="right"/>
    </xf>
    <xf numFmtId="165" fontId="6" fillId="0" borderId="6" xfId="1" applyNumberFormat="1" applyFont="1" applyFill="1" applyBorder="1" applyAlignment="1">
      <alignment horizontal="left" indent="1"/>
    </xf>
    <xf numFmtId="164" fontId="12" fillId="0" borderId="8" xfId="3" applyNumberFormat="1" applyFont="1" applyFill="1" applyBorder="1"/>
    <xf numFmtId="164" fontId="12" fillId="3" borderId="6" xfId="3" applyNumberFormat="1" applyFont="1" applyFill="1" applyBorder="1" applyAlignment="1">
      <alignment horizontal="right"/>
    </xf>
    <xf numFmtId="164" fontId="12" fillId="0" borderId="0" xfId="3" applyNumberFormat="1" applyFont="1" applyBorder="1" applyAlignment="1">
      <alignment horizontal="right"/>
    </xf>
    <xf numFmtId="167" fontId="12" fillId="0" borderId="0" xfId="3" applyNumberFormat="1" applyFont="1" applyBorder="1" applyAlignment="1">
      <alignment horizontal="right"/>
    </xf>
    <xf numFmtId="3" fontId="12" fillId="0" borderId="0" xfId="3" applyNumberFormat="1" applyFont="1" applyBorder="1" applyAlignment="1">
      <alignment horizontal="right"/>
    </xf>
    <xf numFmtId="164" fontId="12" fillId="0" borderId="0" xfId="3" applyNumberFormat="1" applyFont="1" applyBorder="1"/>
    <xf numFmtId="167" fontId="12" fillId="3" borderId="6" xfId="3" applyNumberFormat="1" applyFont="1" applyFill="1" applyBorder="1" applyAlignment="1">
      <alignment horizontal="right"/>
    </xf>
    <xf numFmtId="4" fontId="12" fillId="0" borderId="0" xfId="3" applyNumberFormat="1" applyFont="1" applyBorder="1" applyAlignment="1">
      <alignment horizontal="right"/>
    </xf>
    <xf numFmtId="164" fontId="12" fillId="0" borderId="0" xfId="3" applyNumberFormat="1" applyFont="1" applyFill="1" applyBorder="1"/>
    <xf numFmtId="171" fontId="4" fillId="3" borderId="6" xfId="1" applyNumberFormat="1" applyFont="1" applyFill="1" applyBorder="1" applyAlignment="1">
      <alignment horizontal="left"/>
    </xf>
    <xf numFmtId="0" fontId="0" fillId="3" borderId="6" xfId="0" applyFill="1" applyBorder="1"/>
    <xf numFmtId="171" fontId="1" fillId="0" borderId="6" xfId="1" applyNumberFormat="1" applyFont="1" applyFill="1" applyBorder="1" applyAlignment="1">
      <alignment horizontal="left" indent="2"/>
    </xf>
    <xf numFmtId="167" fontId="12" fillId="0" borderId="0" xfId="3" applyNumberFormat="1" applyFont="1" applyFill="1" applyBorder="1" applyAlignment="1">
      <alignment horizontal="right"/>
    </xf>
    <xf numFmtId="165" fontId="6" fillId="0" borderId="6" xfId="6" applyNumberFormat="1" applyFont="1" applyFill="1" applyBorder="1" applyAlignment="1">
      <alignment horizontal="left" indent="2"/>
    </xf>
    <xf numFmtId="9" fontId="1" fillId="0" borderId="0" xfId="0" applyNumberFormat="1" applyFont="1" applyBorder="1" applyAlignment="1">
      <alignment horizontal="right"/>
    </xf>
    <xf numFmtId="9" fontId="13" fillId="0" borderId="0" xfId="0" applyNumberFormat="1" applyFont="1" applyBorder="1" applyAlignment="1">
      <alignment horizontal="right"/>
    </xf>
    <xf numFmtId="9" fontId="12" fillId="0" borderId="0" xfId="0" applyNumberFormat="1" applyFont="1" applyBorder="1" applyAlignment="1">
      <alignment horizontal="right"/>
    </xf>
    <xf numFmtId="3" fontId="12" fillId="0" borderId="0" xfId="0" applyNumberFormat="1" applyFont="1" applyBorder="1" applyAlignment="1">
      <alignment horizontal="right"/>
    </xf>
    <xf numFmtId="3" fontId="13" fillId="0" borderId="0" xfId="0" applyNumberFormat="1" applyFont="1" applyBorder="1" applyAlignment="1">
      <alignment horizontal="right"/>
    </xf>
    <xf numFmtId="167" fontId="13" fillId="0" borderId="0" xfId="0" applyNumberFormat="1" applyFont="1" applyBorder="1" applyAlignment="1">
      <alignment horizontal="right"/>
    </xf>
    <xf numFmtId="164" fontId="13" fillId="0" borderId="0" xfId="0" applyNumberFormat="1" applyFont="1" applyBorder="1" applyAlignment="1">
      <alignment horizontal="right"/>
    </xf>
    <xf numFmtId="0" fontId="1" fillId="0" borderId="0" xfId="0" applyFont="1" applyBorder="1"/>
    <xf numFmtId="9" fontId="16" fillId="0" borderId="0" xfId="0" applyNumberFormat="1" applyFont="1" applyBorder="1" applyAlignment="1">
      <alignment horizontal="right"/>
    </xf>
    <xf numFmtId="164" fontId="15" fillId="0" borderId="8" xfId="3" applyNumberFormat="1" applyFont="1" applyFill="1" applyBorder="1"/>
    <xf numFmtId="164" fontId="15" fillId="3" borderId="6" xfId="3" applyNumberFormat="1" applyFont="1" applyFill="1" applyBorder="1" applyAlignment="1">
      <alignment horizontal="right"/>
    </xf>
    <xf numFmtId="164" fontId="15" fillId="0" borderId="0" xfId="3" applyNumberFormat="1" applyFont="1" applyBorder="1" applyAlignment="1">
      <alignment horizontal="right"/>
    </xf>
    <xf numFmtId="167" fontId="15" fillId="0" borderId="0" xfId="3" applyNumberFormat="1" applyFont="1" applyBorder="1" applyAlignment="1">
      <alignment horizontal="right"/>
    </xf>
    <xf numFmtId="164" fontId="15" fillId="0" borderId="0" xfId="3" applyNumberFormat="1" applyFont="1" applyBorder="1"/>
    <xf numFmtId="171" fontId="29" fillId="0" borderId="6" xfId="1" applyNumberFormat="1" applyFont="1" applyFill="1" applyBorder="1" applyAlignment="1"/>
    <xf numFmtId="171" fontId="23" fillId="0" borderId="0" xfId="1" applyNumberFormat="1" applyFont="1" applyFill="1" applyBorder="1"/>
    <xf numFmtId="171" fontId="4" fillId="0" borderId="6" xfId="1" applyNumberFormat="1" applyFont="1" applyFill="1" applyBorder="1" applyAlignment="1">
      <alignment horizontal="left"/>
    </xf>
    <xf numFmtId="0" fontId="1" fillId="3" borderId="6" xfId="0" applyFont="1" applyFill="1" applyBorder="1" applyAlignment="1">
      <alignment horizontal="right"/>
    </xf>
    <xf numFmtId="0" fontId="12" fillId="0" borderId="0" xfId="0" applyFont="1" applyFill="1" applyBorder="1" applyAlignment="1">
      <alignment horizontal="right"/>
    </xf>
    <xf numFmtId="171" fontId="3" fillId="0" borderId="6" xfId="1" applyNumberFormat="1" applyFont="1" applyFill="1" applyBorder="1" applyAlignment="1">
      <alignment horizontal="left"/>
    </xf>
    <xf numFmtId="165" fontId="0" fillId="3" borderId="6" xfId="0" applyNumberFormat="1" applyFill="1" applyBorder="1"/>
    <xf numFmtId="165" fontId="0" fillId="0" borderId="0" xfId="0" applyNumberFormat="1" applyBorder="1"/>
    <xf numFmtId="165" fontId="12" fillId="0" borderId="0" xfId="0" applyNumberFormat="1" applyFont="1" applyBorder="1"/>
    <xf numFmtId="164" fontId="15" fillId="0" borderId="0" xfId="0" applyNumberFormat="1" applyFont="1" applyBorder="1"/>
    <xf numFmtId="167" fontId="0" fillId="3" borderId="6" xfId="0" applyNumberFormat="1" applyFill="1" applyBorder="1"/>
    <xf numFmtId="167" fontId="0" fillId="0" borderId="0" xfId="3" applyNumberFormat="1" applyFont="1" applyBorder="1"/>
    <xf numFmtId="167" fontId="12" fillId="0" borderId="0" xfId="3" applyNumberFormat="1" applyFont="1" applyBorder="1"/>
    <xf numFmtId="167" fontId="0" fillId="0" borderId="0" xfId="0" applyNumberFormat="1" applyBorder="1"/>
    <xf numFmtId="164" fontId="6" fillId="3" borderId="6" xfId="0" applyNumberFormat="1" applyFont="1" applyFill="1" applyBorder="1"/>
    <xf numFmtId="10" fontId="0" fillId="0" borderId="0" xfId="0" applyNumberFormat="1" applyBorder="1"/>
    <xf numFmtId="164" fontId="15" fillId="0" borderId="0" xfId="3" applyNumberFormat="1" applyFont="1" applyFill="1" applyBorder="1"/>
    <xf numFmtId="164" fontId="6" fillId="0" borderId="0" xfId="3" applyNumberFormat="1" applyFont="1" applyBorder="1" applyAlignment="1">
      <alignment horizontal="right"/>
    </xf>
    <xf numFmtId="9" fontId="12" fillId="0" borderId="0" xfId="0" applyNumberFormat="1" applyFont="1" applyFill="1" applyBorder="1" applyAlignment="1">
      <alignment horizontal="right"/>
    </xf>
    <xf numFmtId="164" fontId="39" fillId="3" borderId="6" xfId="0" applyNumberFormat="1" applyFont="1" applyFill="1" applyBorder="1" applyAlignment="1">
      <alignment horizontal="right"/>
    </xf>
    <xf numFmtId="171" fontId="3" fillId="0" borderId="6" xfId="1" applyNumberFormat="1" applyFont="1" applyFill="1" applyBorder="1" applyAlignment="1">
      <alignment horizontal="left" indent="2"/>
    </xf>
    <xf numFmtId="165" fontId="6" fillId="0" borderId="6" xfId="1" applyNumberFormat="1" applyFont="1" applyFill="1" applyBorder="1" applyAlignment="1">
      <alignment horizontal="left" indent="4"/>
    </xf>
    <xf numFmtId="171" fontId="1" fillId="0" borderId="13" xfId="1" applyNumberFormat="1" applyFont="1" applyFill="1" applyBorder="1" applyAlignment="1">
      <alignment horizontal="left"/>
    </xf>
    <xf numFmtId="0" fontId="1" fillId="0" borderId="14" xfId="0" applyFont="1" applyFill="1" applyBorder="1" applyAlignment="1">
      <alignment horizontal="right"/>
    </xf>
    <xf numFmtId="0" fontId="1" fillId="3" borderId="13" xfId="0" applyFont="1" applyFill="1" applyBorder="1" applyAlignment="1">
      <alignment horizontal="right"/>
    </xf>
    <xf numFmtId="164" fontId="6" fillId="3" borderId="13" xfId="0" applyNumberFormat="1" applyFont="1" applyFill="1" applyBorder="1" applyAlignment="1">
      <alignment horizontal="right"/>
    </xf>
    <xf numFmtId="164" fontId="6" fillId="0" borderId="14" xfId="0" applyNumberFormat="1" applyFont="1" applyFill="1" applyBorder="1" applyAlignment="1">
      <alignment horizontal="right"/>
    </xf>
    <xf numFmtId="165" fontId="6" fillId="0" borderId="0" xfId="6" applyNumberFormat="1" applyFont="1" applyFill="1" applyBorder="1" applyAlignment="1">
      <alignment horizontal="left" indent="2"/>
    </xf>
    <xf numFmtId="174" fontId="0" fillId="0" borderId="0" xfId="0" applyNumberFormat="1"/>
    <xf numFmtId="2" fontId="0" fillId="0" borderId="0" xfId="0" applyNumberFormat="1"/>
    <xf numFmtId="9" fontId="0" fillId="0" borderId="0" xfId="3" applyFont="1"/>
    <xf numFmtId="171" fontId="4" fillId="3" borderId="2" xfId="6" applyNumberFormat="1" applyFont="1" applyFill="1" applyBorder="1" applyAlignment="1">
      <alignment horizontal="left"/>
    </xf>
    <xf numFmtId="165" fontId="6" fillId="0" borderId="4" xfId="6" applyNumberFormat="1" applyFont="1" applyFill="1" applyBorder="1" applyAlignment="1">
      <alignment horizontal="left" indent="1"/>
    </xf>
    <xf numFmtId="0" fontId="0" fillId="0" borderId="5" xfId="0" applyBorder="1"/>
    <xf numFmtId="0" fontId="0" fillId="3" borderId="2" xfId="0" applyFill="1" applyBorder="1"/>
    <xf numFmtId="0" fontId="0" fillId="0" borderId="4" xfId="0" applyBorder="1"/>
    <xf numFmtId="167" fontId="1" fillId="3" borderId="2" xfId="0" applyNumberFormat="1" applyFont="1" applyFill="1" applyBorder="1"/>
    <xf numFmtId="167" fontId="1" fillId="0" borderId="4" xfId="0" applyNumberFormat="1" applyFont="1" applyBorder="1"/>
    <xf numFmtId="167" fontId="1" fillId="0" borderId="5" xfId="0" applyNumberFormat="1" applyFont="1" applyBorder="1"/>
    <xf numFmtId="167" fontId="1" fillId="0" borderId="5" xfId="0" applyNumberFormat="1" applyFont="1" applyFill="1" applyBorder="1"/>
    <xf numFmtId="165" fontId="6" fillId="0" borderId="7" xfId="6" applyNumberFormat="1" applyFont="1" applyFill="1" applyBorder="1" applyAlignment="1">
      <alignment horizontal="left" indent="2"/>
    </xf>
    <xf numFmtId="0" fontId="0" fillId="0" borderId="7" xfId="0" applyBorder="1"/>
    <xf numFmtId="180" fontId="15" fillId="3" borderId="6" xfId="0" applyNumberFormat="1" applyFont="1" applyFill="1" applyBorder="1" applyAlignment="1">
      <alignment horizontal="right" vertical="center"/>
    </xf>
    <xf numFmtId="180" fontId="15" fillId="5" borderId="0" xfId="0" applyNumberFormat="1" applyFont="1" applyFill="1" applyAlignment="1">
      <alignment horizontal="right" vertical="center"/>
    </xf>
    <xf numFmtId="180" fontId="6" fillId="3" borderId="6" xfId="0" applyNumberFormat="1" applyFont="1" applyFill="1" applyBorder="1" applyAlignment="1">
      <alignment horizontal="right" vertical="center"/>
    </xf>
    <xf numFmtId="180" fontId="15" fillId="5" borderId="0" xfId="0" applyNumberFormat="1" applyFont="1" applyFill="1" applyBorder="1" applyAlignment="1">
      <alignment horizontal="right" vertical="center"/>
    </xf>
    <xf numFmtId="180" fontId="6" fillId="2" borderId="0" xfId="0" applyNumberFormat="1" applyFont="1" applyFill="1" applyAlignment="1">
      <alignment horizontal="right" vertical="center"/>
    </xf>
    <xf numFmtId="181" fontId="6" fillId="2" borderId="0" xfId="0" applyNumberFormat="1" applyFont="1" applyFill="1" applyAlignment="1">
      <alignment horizontal="right" vertical="center"/>
    </xf>
    <xf numFmtId="180" fontId="6" fillId="2" borderId="0" xfId="0" applyNumberFormat="1" applyFont="1" applyFill="1" applyBorder="1" applyAlignment="1">
      <alignment horizontal="right" vertical="center"/>
    </xf>
    <xf numFmtId="165" fontId="6" fillId="0" borderId="7" xfId="6" applyNumberFormat="1" applyFont="1" applyFill="1" applyBorder="1" applyAlignment="1">
      <alignment horizontal="left" indent="1"/>
    </xf>
    <xf numFmtId="167" fontId="1" fillId="0" borderId="7" xfId="0" applyNumberFormat="1" applyFont="1" applyBorder="1"/>
    <xf numFmtId="167" fontId="1" fillId="0" borderId="0" xfId="0" applyNumberFormat="1" applyFont="1" applyBorder="1"/>
    <xf numFmtId="167" fontId="1" fillId="3" borderId="6" xfId="0" applyNumberFormat="1" applyFont="1" applyFill="1" applyBorder="1"/>
    <xf numFmtId="167" fontId="1" fillId="0" borderId="0" xfId="0" applyNumberFormat="1" applyFont="1" applyFill="1" applyBorder="1"/>
    <xf numFmtId="180" fontId="6" fillId="3" borderId="6" xfId="0" applyNumberFormat="1" applyFont="1" applyFill="1" applyBorder="1"/>
    <xf numFmtId="5" fontId="3" fillId="0" borderId="0" xfId="0" applyNumberFormat="1" applyFont="1" applyBorder="1"/>
    <xf numFmtId="5" fontId="3" fillId="3" borderId="6" xfId="0" applyNumberFormat="1" applyFont="1" applyFill="1" applyBorder="1"/>
    <xf numFmtId="181" fontId="6" fillId="2" borderId="0" xfId="0" applyNumberFormat="1" applyFont="1" applyFill="1" applyBorder="1" applyAlignment="1">
      <alignment horizontal="right" vertical="center"/>
    </xf>
    <xf numFmtId="181" fontId="6" fillId="3" borderId="6" xfId="0" applyNumberFormat="1" applyFont="1" applyFill="1" applyBorder="1" applyAlignment="1">
      <alignment horizontal="right" vertical="center"/>
    </xf>
    <xf numFmtId="164" fontId="6" fillId="3" borderId="6" xfId="0" applyNumberFormat="1" applyFont="1" applyFill="1" applyBorder="1" applyAlignment="1">
      <alignment horizontal="right" vertical="center"/>
    </xf>
    <xf numFmtId="164" fontId="6" fillId="2" borderId="0" xfId="0" applyNumberFormat="1" applyFont="1" applyFill="1" applyBorder="1" applyAlignment="1">
      <alignment horizontal="right" vertical="center"/>
    </xf>
    <xf numFmtId="164" fontId="6" fillId="0" borderId="0" xfId="0" applyNumberFormat="1" applyFont="1" applyBorder="1"/>
    <xf numFmtId="164" fontId="6" fillId="2" borderId="0" xfId="0" applyNumberFormat="1" applyFont="1" applyFill="1" applyAlignment="1">
      <alignment horizontal="right" vertical="center"/>
    </xf>
    <xf numFmtId="181" fontId="6" fillId="2" borderId="7" xfId="0" applyNumberFormat="1" applyFont="1" applyFill="1" applyBorder="1" applyAlignment="1">
      <alignment horizontal="right" vertical="center"/>
    </xf>
    <xf numFmtId="165" fontId="3" fillId="0" borderId="19" xfId="6" applyNumberFormat="1" applyFont="1" applyFill="1" applyBorder="1" applyAlignment="1">
      <alignment horizontal="left" indent="1"/>
    </xf>
    <xf numFmtId="165" fontId="3" fillId="0" borderId="18" xfId="0" applyNumberFormat="1" applyFont="1" applyBorder="1"/>
    <xf numFmtId="165" fontId="3" fillId="3" borderId="1" xfId="0" applyNumberFormat="1" applyFont="1" applyFill="1" applyBorder="1"/>
    <xf numFmtId="182" fontId="6" fillId="0" borderId="0" xfId="0" applyNumberFormat="1" applyFont="1" applyBorder="1"/>
    <xf numFmtId="180" fontId="1" fillId="3" borderId="6" xfId="0" applyNumberFormat="1" applyFont="1" applyFill="1" applyBorder="1" applyAlignment="1">
      <alignment horizontal="right" vertical="center"/>
    </xf>
    <xf numFmtId="180" fontId="1" fillId="2" borderId="0" xfId="0" applyNumberFormat="1" applyFont="1" applyFill="1" applyAlignment="1">
      <alignment horizontal="right" vertical="center"/>
    </xf>
    <xf numFmtId="180" fontId="6" fillId="4" borderId="0" xfId="0" applyNumberFormat="1" applyFont="1" applyFill="1" applyAlignment="1">
      <alignment horizontal="right" vertical="center"/>
    </xf>
    <xf numFmtId="166" fontId="6" fillId="3" borderId="6" xfId="3" applyNumberFormat="1" applyFont="1" applyFill="1" applyBorder="1" applyAlignment="1">
      <alignment horizontal="right" vertical="center"/>
    </xf>
    <xf numFmtId="9" fontId="0" fillId="0" borderId="0" xfId="0" applyNumberFormat="1"/>
    <xf numFmtId="9" fontId="6" fillId="0" borderId="0" xfId="0" applyNumberFormat="1" applyFont="1" applyBorder="1"/>
    <xf numFmtId="174" fontId="0" fillId="0" borderId="0" xfId="0" applyNumberFormat="1" applyBorder="1"/>
    <xf numFmtId="183" fontId="6" fillId="0" borderId="0" xfId="0" applyNumberFormat="1" applyFont="1" applyBorder="1"/>
    <xf numFmtId="165" fontId="7" fillId="0" borderId="7" xfId="6" applyNumberFormat="1" applyFont="1" applyFill="1" applyBorder="1" applyAlignment="1">
      <alignment horizontal="left"/>
    </xf>
    <xf numFmtId="182" fontId="15" fillId="0" borderId="0" xfId="0" applyNumberFormat="1" applyFont="1" applyBorder="1"/>
    <xf numFmtId="182" fontId="6" fillId="3" borderId="6" xfId="0" applyNumberFormat="1" applyFont="1" applyFill="1" applyBorder="1"/>
    <xf numFmtId="182" fontId="15" fillId="0" borderId="0" xfId="0" applyNumberFormat="1" applyFont="1" applyFill="1" applyBorder="1"/>
    <xf numFmtId="165" fontId="6" fillId="0" borderId="12" xfId="6" applyNumberFormat="1" applyFont="1" applyFill="1" applyBorder="1" applyAlignment="1">
      <alignment horizontal="left" indent="2"/>
    </xf>
    <xf numFmtId="0" fontId="0" fillId="0" borderId="14" xfId="0" applyBorder="1"/>
    <xf numFmtId="9" fontId="0" fillId="3" borderId="13" xfId="0" applyNumberFormat="1" applyFill="1" applyBorder="1"/>
    <xf numFmtId="164" fontId="15" fillId="0" borderId="14" xfId="0" applyNumberFormat="1" applyFont="1" applyFill="1" applyBorder="1" applyAlignment="1">
      <alignment horizontal="right"/>
    </xf>
    <xf numFmtId="171" fontId="4" fillId="3" borderId="1" xfId="6" applyNumberFormat="1" applyFont="1" applyFill="1" applyBorder="1" applyAlignment="1">
      <alignment horizontal="left"/>
    </xf>
    <xf numFmtId="9" fontId="21" fillId="0" borderId="14" xfId="0" applyNumberFormat="1" applyFont="1" applyFill="1" applyBorder="1" applyAlignment="1">
      <alignment horizontal="right"/>
    </xf>
    <xf numFmtId="10" fontId="40" fillId="0" borderId="6" xfId="3" applyNumberFormat="1" applyFont="1" applyFill="1" applyBorder="1" applyAlignment="1">
      <alignment horizontal="left"/>
    </xf>
    <xf numFmtId="165" fontId="12" fillId="0" borderId="0" xfId="6" applyNumberFormat="1" applyFont="1" applyFill="1" applyBorder="1" applyAlignment="1">
      <alignment horizontal="right"/>
    </xf>
    <xf numFmtId="165" fontId="12" fillId="0" borderId="8" xfId="6" applyNumberFormat="1" applyFont="1" applyFill="1" applyBorder="1" applyAlignment="1">
      <alignment horizontal="right"/>
    </xf>
    <xf numFmtId="165" fontId="1" fillId="2" borderId="4" xfId="3" applyNumberFormat="1" applyFont="1" applyFill="1" applyBorder="1" applyAlignment="1">
      <alignment horizontal="right"/>
    </xf>
    <xf numFmtId="165" fontId="1" fillId="3" borderId="2" xfId="6" applyNumberFormat="1" applyFont="1" applyFill="1" applyBorder="1" applyAlignment="1">
      <alignment horizontal="right"/>
    </xf>
    <xf numFmtId="165" fontId="1" fillId="2" borderId="5" xfId="3" applyNumberFormat="1" applyFont="1" applyFill="1" applyBorder="1" applyAlignment="1">
      <alignment horizontal="right"/>
    </xf>
    <xf numFmtId="171" fontId="3" fillId="0" borderId="6" xfId="6" applyNumberFormat="1" applyFont="1" applyFill="1" applyBorder="1" applyAlignment="1">
      <alignment horizontal="left"/>
    </xf>
    <xf numFmtId="10" fontId="1" fillId="0" borderId="6" xfId="3" applyNumberFormat="1" applyFont="1" applyFill="1" applyBorder="1" applyAlignment="1">
      <alignment horizontal="left"/>
    </xf>
    <xf numFmtId="171" fontId="3" fillId="3" borderId="1" xfId="6" applyNumberFormat="1" applyFont="1" applyFill="1" applyBorder="1" applyAlignment="1">
      <alignment horizontal="left"/>
    </xf>
    <xf numFmtId="165" fontId="3" fillId="3" borderId="18" xfId="9" applyNumberFormat="1" applyFont="1" applyFill="1" applyBorder="1" applyAlignment="1">
      <alignment horizontal="right"/>
    </xf>
    <xf numFmtId="165" fontId="41" fillId="3" borderId="1" xfId="6" applyNumberFormat="1" applyFont="1" applyFill="1" applyBorder="1" applyAlignment="1">
      <alignment horizontal="right"/>
    </xf>
    <xf numFmtId="165" fontId="3" fillId="3" borderId="1" xfId="6" applyNumberFormat="1" applyFont="1" applyFill="1" applyBorder="1" applyAlignment="1">
      <alignment horizontal="right"/>
    </xf>
    <xf numFmtId="165" fontId="3" fillId="3" borderId="18" xfId="3" applyNumberFormat="1" applyFont="1" applyFill="1" applyBorder="1" applyAlignment="1">
      <alignment horizontal="right"/>
    </xf>
    <xf numFmtId="164" fontId="13" fillId="0" borderId="0" xfId="0" applyNumberFormat="1" applyFont="1" applyFill="1" applyBorder="1" applyAlignment="1">
      <alignment horizontal="right"/>
    </xf>
    <xf numFmtId="164" fontId="3" fillId="3" borderId="6" xfId="0" applyNumberFormat="1" applyFont="1" applyFill="1" applyBorder="1" applyAlignment="1">
      <alignment horizontal="right"/>
    </xf>
    <xf numFmtId="164" fontId="12" fillId="0" borderId="0" xfId="0" applyNumberFormat="1" applyFont="1" applyFill="1" applyBorder="1" applyAlignment="1">
      <alignment horizontal="right"/>
    </xf>
    <xf numFmtId="10" fontId="1" fillId="0" borderId="6" xfId="3" applyNumberFormat="1" applyFont="1" applyFill="1" applyBorder="1" applyAlignment="1">
      <alignment horizontal="left" indent="1"/>
    </xf>
    <xf numFmtId="165" fontId="0" fillId="7" borderId="0" xfId="0" applyNumberFormat="1" applyFill="1"/>
    <xf numFmtId="165" fontId="0" fillId="0" borderId="0" xfId="0" applyNumberFormat="1" applyFill="1"/>
    <xf numFmtId="165" fontId="6" fillId="0" borderId="13" xfId="6" applyNumberFormat="1" applyFont="1" applyFill="1" applyBorder="1" applyAlignment="1">
      <alignment horizontal="left" indent="2"/>
    </xf>
    <xf numFmtId="165" fontId="3" fillId="3" borderId="18" xfId="0" applyNumberFormat="1" applyFont="1" applyFill="1" applyBorder="1" applyAlignment="1">
      <alignment horizontal="right"/>
    </xf>
    <xf numFmtId="165" fontId="26" fillId="3" borderId="18" xfId="3" applyNumberFormat="1" applyFont="1" applyFill="1" applyBorder="1" applyAlignment="1">
      <alignment horizontal="right"/>
    </xf>
    <xf numFmtId="165" fontId="6" fillId="0" borderId="2" xfId="6" applyNumberFormat="1" applyFont="1" applyFill="1" applyBorder="1" applyAlignment="1">
      <alignment horizontal="left" indent="2"/>
    </xf>
    <xf numFmtId="164" fontId="15" fillId="0" borderId="7" xfId="0" applyNumberFormat="1" applyFont="1" applyFill="1" applyBorder="1" applyAlignment="1">
      <alignment vertical="center"/>
    </xf>
    <xf numFmtId="164" fontId="15" fillId="0" borderId="0" xfId="0" applyNumberFormat="1" applyFont="1" applyFill="1" applyBorder="1" applyAlignment="1">
      <alignment vertical="center"/>
    </xf>
    <xf numFmtId="164" fontId="15" fillId="0" borderId="8" xfId="0" applyNumberFormat="1" applyFont="1" applyFill="1" applyBorder="1" applyAlignment="1">
      <alignment vertical="center"/>
    </xf>
    <xf numFmtId="10" fontId="3" fillId="0" borderId="6" xfId="3" applyNumberFormat="1" applyFont="1" applyFill="1" applyBorder="1" applyAlignment="1">
      <alignment horizontal="left"/>
    </xf>
    <xf numFmtId="164" fontId="12" fillId="0" borderId="7" xfId="3" applyNumberFormat="1" applyFont="1" applyFill="1" applyBorder="1" applyAlignment="1">
      <alignment horizontal="right"/>
    </xf>
    <xf numFmtId="164" fontId="12" fillId="0" borderId="8" xfId="3" applyNumberFormat="1" applyFont="1" applyFill="1" applyBorder="1" applyAlignment="1">
      <alignment horizontal="right"/>
    </xf>
    <xf numFmtId="9" fontId="0" fillId="0" borderId="0" xfId="3" applyFont="1" applyFill="1"/>
    <xf numFmtId="10" fontId="12" fillId="0" borderId="7" xfId="3" applyNumberFormat="1" applyFont="1" applyFill="1" applyBorder="1" applyAlignment="1">
      <alignment horizontal="right"/>
    </xf>
    <xf numFmtId="10" fontId="12" fillId="0" borderId="8" xfId="3" applyNumberFormat="1" applyFont="1" applyFill="1" applyBorder="1" applyAlignment="1">
      <alignment horizontal="right"/>
    </xf>
    <xf numFmtId="10" fontId="12" fillId="3" borderId="6" xfId="3" applyNumberFormat="1" applyFont="1" applyFill="1" applyBorder="1" applyAlignment="1">
      <alignment horizontal="right"/>
    </xf>
    <xf numFmtId="10" fontId="12" fillId="3" borderId="0" xfId="3" applyNumberFormat="1" applyFont="1" applyFill="1" applyBorder="1" applyAlignment="1">
      <alignment horizontal="right"/>
    </xf>
    <xf numFmtId="10" fontId="1" fillId="2" borderId="0" xfId="3" applyNumberFormat="1" applyFont="1" applyFill="1" applyBorder="1" applyAlignment="1">
      <alignment horizontal="right"/>
    </xf>
    <xf numFmtId="10" fontId="1" fillId="3" borderId="6" xfId="3" applyNumberFormat="1" applyFont="1" applyFill="1" applyBorder="1" applyAlignment="1">
      <alignment horizontal="right"/>
    </xf>
    <xf numFmtId="10" fontId="3" fillId="0" borderId="0" xfId="3" applyNumberFormat="1" applyFont="1" applyFill="1" applyBorder="1" applyAlignment="1">
      <alignment horizontal="right"/>
    </xf>
    <xf numFmtId="9" fontId="3" fillId="0" borderId="0" xfId="3" applyFont="1" applyFill="1" applyBorder="1" applyAlignment="1">
      <alignment horizontal="right"/>
    </xf>
    <xf numFmtId="9" fontId="3" fillId="0" borderId="0" xfId="0" applyNumberFormat="1" applyFont="1" applyFill="1" applyBorder="1" applyAlignment="1">
      <alignment horizontal="right"/>
    </xf>
    <xf numFmtId="37" fontId="42" fillId="3" borderId="1" xfId="1" applyNumberFormat="1" applyFont="1" applyFill="1" applyBorder="1" applyAlignment="1">
      <alignment horizontal="right"/>
    </xf>
    <xf numFmtId="37" fontId="42" fillId="0" borderId="18" xfId="0" applyNumberFormat="1" applyFont="1" applyFill="1" applyBorder="1" applyAlignment="1">
      <alignment horizontal="right"/>
    </xf>
    <xf numFmtId="37" fontId="42" fillId="0" borderId="18" xfId="1" applyNumberFormat="1" applyFont="1" applyFill="1" applyBorder="1" applyAlignment="1">
      <alignment horizontal="right"/>
    </xf>
    <xf numFmtId="37" fontId="42" fillId="4" borderId="18" xfId="1" applyNumberFormat="1" applyFont="1" applyFill="1" applyBorder="1" applyAlignment="1">
      <alignment horizontal="right"/>
    </xf>
    <xf numFmtId="37" fontId="42" fillId="0" borderId="19" xfId="1" applyNumberFormat="1" applyFont="1" applyFill="1" applyBorder="1" applyAlignment="1">
      <alignment horizontal="right"/>
    </xf>
    <xf numFmtId="37" fontId="42" fillId="2" borderId="18" xfId="3" applyNumberFormat="1" applyFont="1" applyFill="1" applyBorder="1" applyAlignment="1">
      <alignment horizontal="right"/>
    </xf>
    <xf numFmtId="0" fontId="38" fillId="0" borderId="1" xfId="0" applyFont="1" applyFill="1" applyBorder="1" applyAlignment="1">
      <alignment horizontal="left" indent="2"/>
    </xf>
    <xf numFmtId="174" fontId="1" fillId="0" borderId="18" xfId="0" applyNumberFormat="1" applyFont="1" applyFill="1" applyBorder="1" applyAlignment="1">
      <alignment horizontal="right"/>
    </xf>
    <xf numFmtId="174" fontId="13" fillId="0" borderId="18" xfId="0" applyNumberFormat="1" applyFont="1" applyFill="1" applyBorder="1" applyAlignment="1">
      <alignment horizontal="right"/>
    </xf>
    <xf numFmtId="174" fontId="3" fillId="3" borderId="1" xfId="0" applyNumberFormat="1" applyFont="1" applyFill="1" applyBorder="1" applyAlignment="1">
      <alignment horizontal="right"/>
    </xf>
    <xf numFmtId="169" fontId="13" fillId="0" borderId="18" xfId="0" applyNumberFormat="1" applyFont="1" applyFill="1" applyBorder="1" applyAlignment="1">
      <alignment horizontal="right"/>
    </xf>
    <xf numFmtId="169" fontId="1" fillId="3" borderId="1" xfId="6" applyNumberFormat="1" applyFont="1" applyFill="1" applyBorder="1" applyAlignment="1">
      <alignment horizontal="right"/>
    </xf>
    <xf numFmtId="169" fontId="13" fillId="0" borderId="18" xfId="0" applyNumberFormat="1" applyFont="1" applyBorder="1" applyAlignment="1">
      <alignment horizontal="right"/>
    </xf>
    <xf numFmtId="169" fontId="1" fillId="0" borderId="18" xfId="0" applyNumberFormat="1" applyFont="1" applyBorder="1" applyAlignment="1">
      <alignment horizontal="right"/>
    </xf>
    <xf numFmtId="169" fontId="12" fillId="0" borderId="18" xfId="0" applyNumberFormat="1" applyFont="1" applyBorder="1" applyAlignment="1">
      <alignment horizontal="right"/>
    </xf>
    <xf numFmtId="169" fontId="3" fillId="3" borderId="1" xfId="6" applyNumberFormat="1" applyFont="1" applyFill="1" applyBorder="1" applyAlignment="1">
      <alignment horizontal="right"/>
    </xf>
    <xf numFmtId="169" fontId="42" fillId="0" borderId="18" xfId="0" applyNumberFormat="1" applyFont="1" applyBorder="1" applyAlignment="1">
      <alignment horizontal="right"/>
    </xf>
    <xf numFmtId="169" fontId="3" fillId="3" borderId="1" xfId="1" applyNumberFormat="1" applyFont="1" applyFill="1" applyBorder="1" applyAlignment="1">
      <alignment horizontal="right"/>
    </xf>
    <xf numFmtId="169" fontId="1" fillId="0" borderId="18" xfId="0" applyNumberFormat="1" applyFont="1" applyFill="1" applyBorder="1" applyAlignment="1">
      <alignment horizontal="right"/>
    </xf>
    <xf numFmtId="9" fontId="42" fillId="0" borderId="5" xfId="0" applyNumberFormat="1" applyFont="1" applyBorder="1" applyAlignment="1">
      <alignment horizontal="right"/>
    </xf>
    <xf numFmtId="164" fontId="13" fillId="5" borderId="0" xfId="0" applyNumberFormat="1" applyFont="1" applyFill="1" applyBorder="1" applyAlignment="1">
      <alignment horizontal="right"/>
    </xf>
    <xf numFmtId="164" fontId="1" fillId="0" borderId="0" xfId="0" applyNumberFormat="1" applyFont="1" applyBorder="1" applyAlignment="1">
      <alignment horizontal="right"/>
    </xf>
    <xf numFmtId="174" fontId="3" fillId="3" borderId="7" xfId="0" applyNumberFormat="1" applyFont="1" applyFill="1" applyBorder="1" applyAlignment="1">
      <alignment horizontal="right"/>
    </xf>
    <xf numFmtId="10" fontId="13" fillId="5" borderId="32" xfId="0" applyNumberFormat="1" applyFont="1" applyFill="1" applyBorder="1" applyAlignment="1">
      <alignment horizontal="right"/>
    </xf>
    <xf numFmtId="10" fontId="13" fillId="5" borderId="0" xfId="0" applyNumberFormat="1" applyFont="1" applyFill="1" applyBorder="1" applyAlignment="1">
      <alignment horizontal="right"/>
    </xf>
    <xf numFmtId="10" fontId="3" fillId="3" borderId="6" xfId="1" applyNumberFormat="1" applyFont="1" applyFill="1" applyBorder="1" applyAlignment="1">
      <alignment horizontal="right"/>
    </xf>
    <xf numFmtId="10" fontId="13" fillId="5" borderId="33" xfId="0" applyNumberFormat="1" applyFont="1" applyFill="1" applyBorder="1" applyAlignment="1">
      <alignment horizontal="right"/>
    </xf>
    <xf numFmtId="167" fontId="1" fillId="0" borderId="7" xfId="0" applyNumberFormat="1" applyFont="1" applyFill="1" applyBorder="1" applyAlignment="1">
      <alignment horizontal="right"/>
    </xf>
    <xf numFmtId="167" fontId="3" fillId="3" borderId="6" xfId="1" applyNumberFormat="1" applyFont="1" applyFill="1" applyBorder="1" applyAlignment="1">
      <alignment horizontal="right"/>
    </xf>
    <xf numFmtId="165" fontId="7" fillId="0" borderId="6" xfId="1" applyNumberFormat="1" applyFont="1" applyFill="1" applyBorder="1" applyAlignment="1">
      <alignment horizontal="left" indent="2"/>
    </xf>
    <xf numFmtId="184" fontId="3" fillId="3" borderId="6" xfId="1" applyNumberFormat="1" applyFont="1" applyFill="1" applyBorder="1" applyAlignment="1">
      <alignment horizontal="right"/>
    </xf>
    <xf numFmtId="184" fontId="1" fillId="0" borderId="0" xfId="0" applyNumberFormat="1" applyFont="1" applyFill="1" applyBorder="1" applyAlignment="1">
      <alignment horizontal="right"/>
    </xf>
    <xf numFmtId="3" fontId="13" fillId="5" borderId="18" xfId="0" applyNumberFormat="1" applyFont="1" applyFill="1" applyBorder="1" applyAlignment="1">
      <alignment horizontal="right"/>
    </xf>
    <xf numFmtId="3" fontId="3" fillId="3" borderId="1" xfId="6" applyNumberFormat="1" applyFont="1" applyFill="1" applyBorder="1" applyAlignment="1">
      <alignment horizontal="right"/>
    </xf>
    <xf numFmtId="3" fontId="1" fillId="0" borderId="18" xfId="0" applyNumberFormat="1" applyFont="1" applyFill="1" applyBorder="1" applyAlignment="1">
      <alignment horizontal="right"/>
    </xf>
    <xf numFmtId="3" fontId="3" fillId="3" borderId="1" xfId="1" applyNumberFormat="1" applyFont="1" applyFill="1" applyBorder="1" applyAlignment="1">
      <alignment horizontal="right"/>
    </xf>
    <xf numFmtId="10" fontId="13" fillId="5" borderId="0" xfId="3" applyNumberFormat="1" applyFont="1" applyFill="1" applyBorder="1" applyAlignment="1">
      <alignment horizontal="right"/>
    </xf>
    <xf numFmtId="167" fontId="43" fillId="3" borderId="1" xfId="0" applyNumberFormat="1" applyFont="1" applyFill="1" applyBorder="1" applyAlignment="1">
      <alignment horizontal="right"/>
    </xf>
    <xf numFmtId="174" fontId="44" fillId="0" borderId="18" xfId="0" applyNumberFormat="1" applyFont="1" applyFill="1" applyBorder="1" applyAlignment="1">
      <alignment horizontal="right"/>
    </xf>
    <xf numFmtId="167" fontId="44" fillId="0" borderId="18" xfId="0" applyNumberFormat="1" applyFont="1" applyFill="1" applyBorder="1" applyAlignment="1">
      <alignment horizontal="right"/>
    </xf>
    <xf numFmtId="169" fontId="44" fillId="0" borderId="18" xfId="0" applyNumberFormat="1" applyFont="1" applyFill="1" applyBorder="1" applyAlignment="1">
      <alignment horizontal="right"/>
    </xf>
    <xf numFmtId="169" fontId="35" fillId="0" borderId="18" xfId="0" applyNumberFormat="1" applyFont="1" applyFill="1" applyBorder="1" applyAlignment="1">
      <alignment horizontal="right"/>
    </xf>
    <xf numFmtId="169" fontId="45" fillId="3" borderId="1" xfId="0" applyNumberFormat="1" applyFont="1" applyFill="1" applyBorder="1" applyAlignment="1">
      <alignment horizontal="right"/>
    </xf>
    <xf numFmtId="164" fontId="46" fillId="3" borderId="6" xfId="0" applyNumberFormat="1" applyFont="1" applyFill="1" applyBorder="1" applyAlignment="1">
      <alignment horizontal="right"/>
    </xf>
    <xf numFmtId="164" fontId="42" fillId="0" borderId="0" xfId="0" applyNumberFormat="1" applyFont="1" applyBorder="1" applyAlignment="1">
      <alignment horizontal="right"/>
    </xf>
    <xf numFmtId="174" fontId="6" fillId="0" borderId="0" xfId="0" applyNumberFormat="1" applyFont="1" applyFill="1" applyBorder="1" applyAlignment="1">
      <alignment horizontal="right"/>
    </xf>
    <xf numFmtId="174" fontId="16" fillId="0" borderId="0" xfId="0" applyNumberFormat="1" applyFont="1" applyFill="1" applyBorder="1" applyAlignment="1">
      <alignment horizontal="right"/>
    </xf>
    <xf numFmtId="174" fontId="7" fillId="3" borderId="6" xfId="0" applyNumberFormat="1" applyFont="1" applyFill="1" applyBorder="1" applyAlignment="1">
      <alignment horizontal="right"/>
    </xf>
    <xf numFmtId="10" fontId="46" fillId="3" borderId="6" xfId="0" applyNumberFormat="1" applyFont="1" applyFill="1" applyBorder="1" applyAlignment="1">
      <alignment horizontal="right"/>
    </xf>
    <xf numFmtId="10" fontId="42" fillId="0" borderId="0" xfId="0" applyNumberFormat="1" applyFont="1" applyFill="1" applyBorder="1" applyAlignment="1">
      <alignment horizontal="right"/>
    </xf>
    <xf numFmtId="10" fontId="3" fillId="3" borderId="8" xfId="1" applyNumberFormat="1" applyFont="1" applyFill="1" applyBorder="1" applyAlignment="1">
      <alignment horizontal="right"/>
    </xf>
    <xf numFmtId="10" fontId="42" fillId="3" borderId="6" xfId="0" applyNumberFormat="1" applyFont="1" applyFill="1" applyBorder="1" applyAlignment="1">
      <alignment horizontal="right"/>
    </xf>
    <xf numFmtId="10" fontId="42" fillId="0" borderId="0" xfId="0" applyNumberFormat="1" applyFont="1" applyBorder="1" applyAlignment="1">
      <alignment horizontal="right"/>
    </xf>
    <xf numFmtId="164" fontId="6" fillId="3" borderId="1" xfId="0" applyNumberFormat="1" applyFont="1" applyFill="1" applyBorder="1" applyAlignment="1">
      <alignment horizontal="right"/>
    </xf>
    <xf numFmtId="174" fontId="13" fillId="0" borderId="18" xfId="0" applyNumberFormat="1" applyFont="1" applyBorder="1" applyAlignment="1">
      <alignment horizontal="right"/>
    </xf>
    <xf numFmtId="171" fontId="1" fillId="3" borderId="1" xfId="1" applyNumberFormat="1" applyFont="1" applyFill="1" applyBorder="1" applyAlignment="1">
      <alignment horizontal="right"/>
    </xf>
    <xf numFmtId="3" fontId="12" fillId="5" borderId="18" xfId="0" applyNumberFormat="1" applyFont="1" applyFill="1" applyBorder="1" applyAlignment="1">
      <alignment horizontal="right"/>
    </xf>
    <xf numFmtId="174" fontId="1" fillId="3" borderId="6" xfId="0" applyNumberFormat="1" applyFont="1" applyFill="1" applyBorder="1" applyAlignment="1">
      <alignment horizontal="right"/>
    </xf>
    <xf numFmtId="171" fontId="1" fillId="3" borderId="7" xfId="1" applyNumberFormat="1" applyFont="1" applyFill="1" applyBorder="1" applyAlignment="1">
      <alignment horizontal="right"/>
    </xf>
    <xf numFmtId="3" fontId="3" fillId="3" borderId="1" xfId="0" applyNumberFormat="1" applyFont="1" applyFill="1" applyBorder="1" applyAlignment="1">
      <alignment horizontal="right"/>
    </xf>
    <xf numFmtId="3" fontId="1" fillId="0" borderId="18" xfId="0" applyNumberFormat="1" applyFont="1" applyBorder="1" applyAlignment="1">
      <alignment horizontal="right"/>
    </xf>
    <xf numFmtId="165" fontId="47" fillId="0" borderId="6" xfId="1" applyNumberFormat="1" applyFont="1" applyFill="1" applyBorder="1" applyAlignment="1">
      <alignment horizontal="left" indent="2"/>
    </xf>
    <xf numFmtId="174" fontId="48" fillId="0" borderId="0" xfId="0" applyNumberFormat="1" applyFont="1" applyFill="1" applyBorder="1" applyAlignment="1">
      <alignment horizontal="right"/>
    </xf>
    <xf numFmtId="174" fontId="49" fillId="0" borderId="0" xfId="0" applyNumberFormat="1" applyFont="1" applyFill="1" applyBorder="1" applyAlignment="1">
      <alignment horizontal="right"/>
    </xf>
    <xf numFmtId="174" fontId="48" fillId="3" borderId="6" xfId="0" applyNumberFormat="1" applyFont="1" applyFill="1" applyBorder="1" applyAlignment="1">
      <alignment horizontal="right"/>
    </xf>
    <xf numFmtId="10" fontId="50" fillId="3" borderId="6" xfId="0" applyNumberFormat="1" applyFont="1" applyFill="1" applyBorder="1" applyAlignment="1">
      <alignment horizontal="right"/>
    </xf>
    <xf numFmtId="10" fontId="48" fillId="0" borderId="0" xfId="0" applyNumberFormat="1" applyFont="1" applyFill="1" applyBorder="1" applyAlignment="1">
      <alignment horizontal="right"/>
    </xf>
    <xf numFmtId="10" fontId="48" fillId="3" borderId="6" xfId="0" applyNumberFormat="1" applyFont="1" applyFill="1" applyBorder="1" applyAlignment="1">
      <alignment horizontal="right"/>
    </xf>
    <xf numFmtId="10" fontId="48" fillId="0" borderId="0" xfId="0" applyNumberFormat="1" applyFont="1" applyBorder="1" applyAlignment="1">
      <alignment horizontal="right"/>
    </xf>
    <xf numFmtId="10" fontId="48" fillId="3" borderId="6" xfId="1" applyNumberFormat="1" applyFont="1" applyFill="1" applyBorder="1" applyAlignment="1">
      <alignment horizontal="right"/>
    </xf>
    <xf numFmtId="0" fontId="48" fillId="0" borderId="0" xfId="0" applyFont="1"/>
    <xf numFmtId="167" fontId="46" fillId="3" borderId="6" xfId="0" applyNumberFormat="1" applyFont="1" applyFill="1" applyBorder="1" applyAlignment="1">
      <alignment horizontal="right"/>
    </xf>
    <xf numFmtId="167" fontId="42" fillId="0" borderId="7" xfId="0" applyNumberFormat="1" applyFont="1" applyFill="1" applyBorder="1" applyAlignment="1">
      <alignment horizontal="right"/>
    </xf>
    <xf numFmtId="167" fontId="42" fillId="0" borderId="0" xfId="0" applyNumberFormat="1" applyFont="1" applyFill="1" applyBorder="1" applyAlignment="1">
      <alignment horizontal="right"/>
    </xf>
    <xf numFmtId="167" fontId="42" fillId="0" borderId="8" xfId="0" applyNumberFormat="1" applyFont="1" applyFill="1" applyBorder="1" applyAlignment="1">
      <alignment horizontal="right"/>
    </xf>
    <xf numFmtId="0" fontId="10" fillId="0" borderId="29" xfId="0" applyFont="1" applyFill="1" applyBorder="1" applyAlignment="1">
      <alignment horizontal="left"/>
    </xf>
    <xf numFmtId="174" fontId="1" fillId="0" borderId="30" xfId="0" applyNumberFormat="1" applyFont="1" applyFill="1" applyBorder="1" applyAlignment="1">
      <alignment horizontal="right"/>
    </xf>
    <xf numFmtId="174" fontId="13" fillId="0" borderId="30" xfId="0" applyNumberFormat="1" applyFont="1" applyFill="1" applyBorder="1" applyAlignment="1">
      <alignment horizontal="right"/>
    </xf>
    <xf numFmtId="174" fontId="3" fillId="3" borderId="29" xfId="0" applyNumberFormat="1" applyFont="1" applyFill="1" applyBorder="1" applyAlignment="1">
      <alignment horizontal="right"/>
    </xf>
    <xf numFmtId="10" fontId="3" fillId="3" borderId="29" xfId="0" applyNumberFormat="1" applyFont="1" applyFill="1" applyBorder="1" applyAlignment="1">
      <alignment horizontal="right"/>
    </xf>
    <xf numFmtId="10" fontId="1" fillId="0" borderId="30" xfId="0" applyNumberFormat="1" applyFont="1" applyFill="1" applyBorder="1" applyAlignment="1">
      <alignment horizontal="right"/>
    </xf>
    <xf numFmtId="10" fontId="1" fillId="3" borderId="29" xfId="0" applyNumberFormat="1" applyFont="1" applyFill="1" applyBorder="1" applyAlignment="1">
      <alignment horizontal="right"/>
    </xf>
    <xf numFmtId="10" fontId="1" fillId="0" borderId="30" xfId="0" applyNumberFormat="1" applyFont="1" applyBorder="1" applyAlignment="1">
      <alignment horizontal="right"/>
    </xf>
    <xf numFmtId="10" fontId="1" fillId="3" borderId="29" xfId="1" applyNumberFormat="1" applyFont="1" applyFill="1" applyBorder="1" applyAlignment="1">
      <alignment horizontal="right"/>
    </xf>
    <xf numFmtId="0" fontId="4" fillId="2" borderId="0" xfId="0" applyNumberFormat="1" applyFont="1" applyFill="1" applyBorder="1" applyAlignment="1">
      <alignment horizontal="left"/>
    </xf>
    <xf numFmtId="0" fontId="9" fillId="2" borderId="0" xfId="0" applyNumberFormat="1" applyFont="1" applyFill="1" applyBorder="1"/>
    <xf numFmtId="0" fontId="9" fillId="0" borderId="0" xfId="0" quotePrefix="1" applyNumberFormat="1" applyFont="1" applyFill="1" applyBorder="1" applyAlignment="1">
      <alignment horizontal="center"/>
    </xf>
    <xf numFmtId="0" fontId="30" fillId="2" borderId="0" xfId="0" applyNumberFormat="1" applyFont="1" applyFill="1" applyBorder="1" applyAlignment="1">
      <alignment horizontal="center"/>
    </xf>
    <xf numFmtId="0" fontId="31" fillId="0" borderId="0" xfId="0" applyFont="1"/>
    <xf numFmtId="0" fontId="3" fillId="0" borderId="0" xfId="4" applyNumberFormat="1" applyFont="1" applyFill="1" applyBorder="1" applyAlignment="1">
      <alignment horizontal="left"/>
    </xf>
    <xf numFmtId="0" fontId="9" fillId="2" borderId="0" xfId="0" quotePrefix="1" applyNumberFormat="1" applyFont="1" applyFill="1" applyBorder="1" applyAlignment="1">
      <alignment horizontal="center"/>
    </xf>
    <xf numFmtId="2" fontId="9" fillId="0" borderId="0" xfId="0" applyNumberFormat="1" applyFont="1" applyFill="1" applyBorder="1" applyAlignment="1">
      <alignment horizontal="center"/>
    </xf>
    <xf numFmtId="2" fontId="30" fillId="0" borderId="0" xfId="0" applyNumberFormat="1" applyFont="1" applyFill="1" applyBorder="1" applyAlignment="1">
      <alignment horizontal="center"/>
    </xf>
    <xf numFmtId="2" fontId="36" fillId="0" borderId="0" xfId="0" applyNumberFormat="1" applyFont="1" applyFill="1" applyBorder="1" applyAlignment="1">
      <alignment horizontal="center"/>
    </xf>
    <xf numFmtId="0" fontId="25" fillId="5" borderId="1" xfId="4" applyNumberFormat="1" applyFont="1" applyFill="1" applyBorder="1" applyAlignment="1">
      <alignment horizontal="center"/>
    </xf>
    <xf numFmtId="0" fontId="9" fillId="2" borderId="0" xfId="0" applyNumberFormat="1" applyFont="1" applyFill="1" applyBorder="1" applyAlignment="1">
      <alignment horizontal="left"/>
    </xf>
    <xf numFmtId="0" fontId="36" fillId="0" borderId="0" xfId="0" applyNumberFormat="1" applyFont="1" applyFill="1" applyBorder="1" applyAlignment="1">
      <alignment horizontal="center"/>
    </xf>
    <xf numFmtId="0" fontId="3" fillId="0" borderId="0" xfId="0" applyNumberFormat="1" applyFont="1" applyFill="1" applyBorder="1" applyAlignment="1">
      <alignment horizontal="left"/>
    </xf>
    <xf numFmtId="38" fontId="3" fillId="5" borderId="4" xfId="0" applyNumberFormat="1" applyFont="1" applyFill="1" applyBorder="1"/>
    <xf numFmtId="37" fontId="51" fillId="0" borderId="0" xfId="0" applyNumberFormat="1" applyFont="1"/>
    <xf numFmtId="37" fontId="3" fillId="0" borderId="0" xfId="0" applyNumberFormat="1" applyFont="1"/>
    <xf numFmtId="0" fontId="7" fillId="5" borderId="7" xfId="0" applyFont="1" applyFill="1" applyBorder="1" applyAlignment="1">
      <alignment horizontal="left" indent="2"/>
    </xf>
    <xf numFmtId="164" fontId="7" fillId="0" borderId="0" xfId="3" applyNumberFormat="1" applyFont="1"/>
    <xf numFmtId="164" fontId="52" fillId="0" borderId="0" xfId="0" applyNumberFormat="1" applyFont="1"/>
    <xf numFmtId="0" fontId="6" fillId="5" borderId="7" xfId="0" applyFont="1" applyFill="1" applyBorder="1" applyAlignment="1">
      <alignment horizontal="left" indent="2"/>
    </xf>
    <xf numFmtId="164" fontId="16" fillId="0" borderId="0" xfId="3" applyNumberFormat="1" applyFont="1"/>
    <xf numFmtId="164" fontId="23" fillId="0" borderId="0" xfId="3" applyNumberFormat="1" applyFont="1"/>
    <xf numFmtId="38" fontId="3" fillId="5" borderId="7" xfId="0" applyNumberFormat="1" applyFont="1" applyFill="1" applyBorder="1"/>
    <xf numFmtId="10" fontId="7" fillId="0" borderId="0" xfId="3" applyNumberFormat="1" applyFont="1"/>
    <xf numFmtId="10" fontId="52" fillId="0" borderId="0" xfId="0" applyNumberFormat="1" applyFont="1"/>
    <xf numFmtId="165" fontId="1" fillId="5" borderId="7" xfId="1" applyNumberFormat="1" applyFont="1" applyFill="1" applyBorder="1" applyAlignment="1"/>
    <xf numFmtId="37" fontId="14" fillId="0" borderId="0" xfId="0" applyNumberFormat="1" applyFont="1"/>
    <xf numFmtId="37" fontId="1" fillId="0" borderId="0" xfId="0" applyNumberFormat="1" applyFont="1"/>
    <xf numFmtId="164" fontId="23" fillId="0" borderId="0" xfId="0" applyNumberFormat="1" applyFont="1"/>
    <xf numFmtId="164" fontId="52" fillId="0" borderId="0" xfId="3" applyNumberFormat="1" applyFont="1"/>
    <xf numFmtId="0" fontId="7" fillId="5" borderId="12" xfId="0" applyFont="1" applyFill="1" applyBorder="1" applyAlignment="1">
      <alignment horizontal="left" indent="2"/>
    </xf>
    <xf numFmtId="165" fontId="3" fillId="5" borderId="7" xfId="1" applyNumberFormat="1" applyFont="1" applyFill="1" applyBorder="1" applyAlignment="1"/>
    <xf numFmtId="37" fontId="3" fillId="0" borderId="5" xfId="0" applyNumberFormat="1" applyFont="1" applyBorder="1"/>
    <xf numFmtId="37" fontId="3" fillId="0" borderId="3" xfId="0" applyNumberFormat="1" applyFont="1" applyBorder="1"/>
    <xf numFmtId="164" fontId="7" fillId="0" borderId="0" xfId="3" applyNumberFormat="1" applyFont="1" applyBorder="1" applyAlignment="1">
      <alignment horizontal="right"/>
    </xf>
    <xf numFmtId="164" fontId="7" fillId="0" borderId="8" xfId="3" applyNumberFormat="1" applyFont="1" applyBorder="1" applyAlignment="1">
      <alignment horizontal="right"/>
    </xf>
    <xf numFmtId="169" fontId="7" fillId="0" borderId="14" xfId="1" applyNumberFormat="1" applyFont="1" applyBorder="1"/>
    <xf numFmtId="169" fontId="7" fillId="0" borderId="15" xfId="1" applyNumberFormat="1" applyFont="1" applyBorder="1"/>
    <xf numFmtId="165" fontId="3" fillId="5" borderId="4" xfId="1" applyNumberFormat="1" applyFont="1" applyFill="1" applyBorder="1" applyAlignment="1"/>
    <xf numFmtId="164" fontId="7" fillId="0" borderId="0" xfId="3" applyNumberFormat="1" applyFont="1" applyBorder="1"/>
    <xf numFmtId="164" fontId="7" fillId="0" borderId="8" xfId="3" applyNumberFormat="1" applyFont="1" applyBorder="1"/>
    <xf numFmtId="38" fontId="1" fillId="5" borderId="7" xfId="0" applyNumberFormat="1" applyFont="1" applyFill="1" applyBorder="1"/>
    <xf numFmtId="37" fontId="1" fillId="0" borderId="0" xfId="0" applyNumberFormat="1" applyFont="1" applyFill="1"/>
    <xf numFmtId="164" fontId="16" fillId="0" borderId="0" xfId="0" applyNumberFormat="1" applyFont="1"/>
    <xf numFmtId="37" fontId="1" fillId="5" borderId="7" xfId="0" applyNumberFormat="1" applyFont="1" applyFill="1" applyBorder="1"/>
    <xf numFmtId="37" fontId="14" fillId="0" borderId="0" xfId="0" applyNumberFormat="1" applyFont="1" applyBorder="1"/>
    <xf numFmtId="169" fontId="1" fillId="0" borderId="0" xfId="1" applyNumberFormat="1" applyFont="1" applyBorder="1"/>
    <xf numFmtId="164" fontId="16" fillId="0" borderId="0" xfId="0" applyNumberFormat="1" applyFont="1" applyBorder="1"/>
    <xf numFmtId="9" fontId="1" fillId="0" borderId="0" xfId="0" applyNumberFormat="1" applyFont="1"/>
    <xf numFmtId="165" fontId="1" fillId="5" borderId="12" xfId="1" applyNumberFormat="1" applyFont="1" applyFill="1" applyBorder="1" applyAlignment="1"/>
    <xf numFmtId="37" fontId="1" fillId="0" borderId="14" xfId="0" applyNumberFormat="1" applyFont="1" applyBorder="1"/>
    <xf numFmtId="169" fontId="13" fillId="0" borderId="14" xfId="1" applyNumberFormat="1" applyFont="1" applyBorder="1"/>
    <xf numFmtId="169" fontId="53" fillId="0" borderId="0" xfId="0" applyNumberFormat="1" applyFont="1"/>
    <xf numFmtId="169" fontId="1" fillId="0" borderId="0" xfId="0" applyNumberFormat="1" applyFont="1"/>
    <xf numFmtId="9" fontId="53" fillId="0" borderId="0" xfId="0" applyNumberFormat="1" applyFont="1"/>
    <xf numFmtId="38" fontId="40" fillId="5" borderId="7" xfId="0" applyNumberFormat="1" applyFont="1" applyFill="1" applyBorder="1"/>
    <xf numFmtId="43" fontId="1" fillId="0" borderId="0" xfId="1" applyFont="1"/>
    <xf numFmtId="0" fontId="1" fillId="5" borderId="7" xfId="0" applyFont="1" applyFill="1" applyBorder="1"/>
    <xf numFmtId="9" fontId="3" fillId="0" borderId="0" xfId="0" applyNumberFormat="1" applyFont="1"/>
    <xf numFmtId="9" fontId="3" fillId="0" borderId="0" xfId="3" applyFont="1"/>
    <xf numFmtId="37" fontId="26" fillId="0" borderId="0" xfId="0" applyNumberFormat="1" applyFont="1"/>
    <xf numFmtId="9" fontId="1" fillId="5" borderId="12" xfId="0" applyNumberFormat="1" applyFont="1" applyFill="1" applyBorder="1" applyAlignment="1">
      <alignment horizontal="left"/>
    </xf>
    <xf numFmtId="37" fontId="26" fillId="0" borderId="14" xfId="0" applyNumberFormat="1" applyFont="1" applyBorder="1"/>
    <xf numFmtId="4" fontId="6" fillId="0" borderId="0" xfId="3" applyNumberFormat="1" applyFont="1"/>
    <xf numFmtId="0" fontId="3" fillId="5" borderId="7" xfId="0" applyFont="1" applyFill="1" applyBorder="1"/>
    <xf numFmtId="164" fontId="7" fillId="0" borderId="0" xfId="0" applyNumberFormat="1" applyFont="1"/>
    <xf numFmtId="37" fontId="25" fillId="0" borderId="0" xfId="0" applyNumberFormat="1" applyFont="1"/>
    <xf numFmtId="0" fontId="1" fillId="5" borderId="19" xfId="0" applyFont="1" applyFill="1" applyBorder="1"/>
    <xf numFmtId="171" fontId="3" fillId="0" borderId="18" xfId="1" applyNumberFormat="1" applyFont="1" applyBorder="1"/>
    <xf numFmtId="0" fontId="3" fillId="5" borderId="19" xfId="0" applyFont="1" applyFill="1" applyBorder="1"/>
    <xf numFmtId="0" fontId="1" fillId="0" borderId="18" xfId="0" applyFont="1" applyBorder="1"/>
    <xf numFmtId="9" fontId="1" fillId="0" borderId="18" xfId="3" applyFont="1" applyBorder="1"/>
    <xf numFmtId="171" fontId="3" fillId="2" borderId="18" xfId="1" applyNumberFormat="1" applyFont="1" applyFill="1" applyBorder="1"/>
    <xf numFmtId="169" fontId="3" fillId="0" borderId="18" xfId="1" applyNumberFormat="1" applyFont="1" applyFill="1" applyBorder="1"/>
    <xf numFmtId="169" fontId="13" fillId="0" borderId="0" xfId="1" applyNumberFormat="1" applyFont="1"/>
    <xf numFmtId="0" fontId="40" fillId="3" borderId="4" xfId="0" applyFont="1" applyFill="1" applyBorder="1"/>
    <xf numFmtId="164" fontId="13" fillId="3" borderId="3" xfId="3" applyNumberFormat="1" applyFont="1" applyFill="1" applyBorder="1" applyAlignment="1">
      <alignment horizontal="center"/>
    </xf>
    <xf numFmtId="0" fontId="40" fillId="3" borderId="4" xfId="10" applyFont="1" applyFill="1" applyBorder="1"/>
    <xf numFmtId="0" fontId="1" fillId="3" borderId="5" xfId="0" applyFont="1" applyFill="1" applyBorder="1"/>
    <xf numFmtId="0" fontId="1" fillId="3" borderId="3" xfId="0" applyFont="1" applyFill="1" applyBorder="1"/>
    <xf numFmtId="0" fontId="3" fillId="3" borderId="5" xfId="0" applyFont="1" applyFill="1" applyBorder="1" applyAlignment="1">
      <alignment horizontal="center"/>
    </xf>
    <xf numFmtId="0" fontId="3" fillId="3" borderId="5" xfId="0" applyFont="1" applyFill="1" applyBorder="1" applyAlignment="1">
      <alignment horizontal="left"/>
    </xf>
    <xf numFmtId="0" fontId="3" fillId="3" borderId="3" xfId="0" applyFont="1" applyFill="1" applyBorder="1" applyAlignment="1">
      <alignment horizontal="left"/>
    </xf>
    <xf numFmtId="0" fontId="1" fillId="3" borderId="7" xfId="0" applyFont="1" applyFill="1" applyBorder="1"/>
    <xf numFmtId="164" fontId="1" fillId="3" borderId="8" xfId="3" applyNumberFormat="1" applyFont="1" applyFill="1" applyBorder="1" applyAlignment="1">
      <alignment horizontal="center"/>
    </xf>
    <xf numFmtId="0" fontId="1" fillId="3" borderId="7" xfId="10" applyFont="1" applyFill="1" applyBorder="1"/>
    <xf numFmtId="0" fontId="1" fillId="3" borderId="0" xfId="0" applyFont="1" applyFill="1" applyBorder="1"/>
    <xf numFmtId="37" fontId="1" fillId="3" borderId="8" xfId="0" applyNumberFormat="1" applyFont="1" applyFill="1" applyBorder="1"/>
    <xf numFmtId="0" fontId="40" fillId="3" borderId="7" xfId="0" applyFont="1" applyFill="1" applyBorder="1"/>
    <xf numFmtId="0" fontId="3" fillId="3" borderId="0" xfId="0" applyFont="1" applyFill="1" applyBorder="1" applyAlignment="1">
      <alignment horizontal="center"/>
    </xf>
    <xf numFmtId="0" fontId="3" fillId="3" borderId="0" xfId="0" applyFont="1" applyFill="1" applyBorder="1" applyAlignment="1">
      <alignment horizontal="left"/>
    </xf>
    <xf numFmtId="0" fontId="3" fillId="3" borderId="8" xfId="0" applyFont="1" applyFill="1" applyBorder="1" applyAlignment="1">
      <alignment horizontal="left"/>
    </xf>
    <xf numFmtId="0" fontId="3" fillId="3" borderId="8" xfId="0" applyFont="1" applyFill="1" applyBorder="1" applyAlignment="1"/>
    <xf numFmtId="172" fontId="54" fillId="3" borderId="0" xfId="0" applyNumberFormat="1" applyFont="1" applyFill="1" applyBorder="1" applyAlignment="1"/>
    <xf numFmtId="164" fontId="3" fillId="3" borderId="19" xfId="0" applyNumberFormat="1" applyFont="1" applyFill="1" applyBorder="1" applyAlignment="1">
      <alignment horizontal="center"/>
    </xf>
    <xf numFmtId="164" fontId="3" fillId="3" borderId="18" xfId="0" applyNumberFormat="1" applyFont="1" applyFill="1" applyBorder="1" applyAlignment="1">
      <alignment horizontal="center"/>
    </xf>
    <xf numFmtId="164" fontId="3" fillId="3" borderId="34" xfId="0" applyNumberFormat="1" applyFont="1" applyFill="1" applyBorder="1" applyAlignment="1">
      <alignment horizontal="center"/>
    </xf>
    <xf numFmtId="0" fontId="1" fillId="3" borderId="8" xfId="0" applyFont="1" applyFill="1" applyBorder="1" applyAlignment="1"/>
    <xf numFmtId="177" fontId="1" fillId="3" borderId="8" xfId="1" applyNumberFormat="1" applyFont="1" applyFill="1" applyBorder="1" applyAlignment="1">
      <alignment horizontal="center"/>
    </xf>
    <xf numFmtId="0" fontId="3" fillId="3" borderId="4" xfId="10" applyFont="1" applyFill="1" applyBorder="1"/>
    <xf numFmtId="9" fontId="3" fillId="3" borderId="5" xfId="3" applyFont="1" applyFill="1" applyBorder="1"/>
    <xf numFmtId="0" fontId="3" fillId="3" borderId="5" xfId="0" applyFont="1" applyFill="1" applyBorder="1"/>
    <xf numFmtId="37" fontId="3" fillId="3" borderId="3" xfId="0" applyNumberFormat="1" applyFont="1" applyFill="1" applyBorder="1"/>
    <xf numFmtId="0" fontId="3" fillId="3" borderId="7" xfId="0" applyFont="1" applyFill="1" applyBorder="1" applyAlignment="1">
      <alignment horizontal="center"/>
    </xf>
    <xf numFmtId="164" fontId="3" fillId="3" borderId="2" xfId="3" applyNumberFormat="1" applyFont="1" applyFill="1" applyBorder="1" applyAlignment="1">
      <alignment horizontal="center"/>
    </xf>
    <xf numFmtId="5" fontId="1" fillId="0" borderId="4" xfId="2" applyNumberFormat="1" applyFont="1" applyFill="1" applyBorder="1" applyAlignment="1">
      <alignment horizontal="center"/>
    </xf>
    <xf numFmtId="5" fontId="1" fillId="0" borderId="5" xfId="2" applyNumberFormat="1" applyFont="1" applyFill="1" applyBorder="1" applyAlignment="1">
      <alignment horizontal="center"/>
    </xf>
    <xf numFmtId="5" fontId="1" fillId="0" borderId="0" xfId="2" applyNumberFormat="1" applyFont="1" applyFill="1" applyBorder="1" applyAlignment="1">
      <alignment horizontal="center"/>
    </xf>
    <xf numFmtId="5" fontId="1" fillId="0" borderId="3" xfId="2" applyNumberFormat="1" applyFont="1" applyFill="1" applyBorder="1" applyAlignment="1">
      <alignment horizontal="center"/>
    </xf>
    <xf numFmtId="0" fontId="14" fillId="3" borderId="7" xfId="10" applyFont="1" applyFill="1" applyBorder="1"/>
    <xf numFmtId="37" fontId="14" fillId="3" borderId="8" xfId="0" applyNumberFormat="1" applyFont="1" applyFill="1" applyBorder="1"/>
    <xf numFmtId="164" fontId="3" fillId="3" borderId="6" xfId="3" applyNumberFormat="1" applyFont="1" applyFill="1" applyBorder="1" applyAlignment="1">
      <alignment horizontal="center"/>
    </xf>
    <xf numFmtId="5" fontId="1" fillId="0" borderId="7" xfId="2" applyNumberFormat="1" applyFont="1" applyFill="1" applyBorder="1" applyAlignment="1">
      <alignment horizontal="center"/>
    </xf>
    <xf numFmtId="5" fontId="1" fillId="0" borderId="8" xfId="2" applyNumberFormat="1" applyFont="1" applyFill="1" applyBorder="1" applyAlignment="1">
      <alignment horizontal="center"/>
    </xf>
    <xf numFmtId="169" fontId="14" fillId="3" borderId="8" xfId="1" applyNumberFormat="1" applyFont="1" applyFill="1" applyBorder="1"/>
    <xf numFmtId="5" fontId="3" fillId="0" borderId="1" xfId="2" applyNumberFormat="1" applyFont="1" applyFill="1" applyBorder="1" applyAlignment="1">
      <alignment horizontal="center"/>
    </xf>
    <xf numFmtId="10" fontId="16" fillId="5" borderId="8" xfId="3" applyNumberFormat="1" applyFont="1" applyFill="1" applyBorder="1" applyAlignment="1">
      <alignment horizontal="center"/>
    </xf>
    <xf numFmtId="164" fontId="3" fillId="3" borderId="13" xfId="3" applyNumberFormat="1" applyFont="1" applyFill="1" applyBorder="1" applyAlignment="1">
      <alignment horizontal="center"/>
    </xf>
    <xf numFmtId="5" fontId="1" fillId="0" borderId="12" xfId="2" applyNumberFormat="1" applyFont="1" applyFill="1" applyBorder="1" applyAlignment="1">
      <alignment horizontal="center"/>
    </xf>
    <xf numFmtId="5" fontId="1" fillId="0" borderId="14" xfId="2" applyNumberFormat="1" applyFont="1" applyFill="1" applyBorder="1" applyAlignment="1">
      <alignment horizontal="center"/>
    </xf>
    <xf numFmtId="5" fontId="1" fillId="0" borderId="15" xfId="2" applyNumberFormat="1" applyFont="1" applyFill="1" applyBorder="1" applyAlignment="1">
      <alignment horizontal="center"/>
    </xf>
    <xf numFmtId="0" fontId="6" fillId="5" borderId="12" xfId="0" applyFont="1" applyFill="1" applyBorder="1" applyAlignment="1">
      <alignment horizontal="left" indent="2"/>
    </xf>
    <xf numFmtId="10" fontId="16" fillId="5" borderId="15" xfId="3" applyNumberFormat="1" applyFont="1" applyFill="1" applyBorder="1" applyAlignment="1">
      <alignment horizontal="center"/>
    </xf>
    <xf numFmtId="165" fontId="14" fillId="3" borderId="8" xfId="0" applyNumberFormat="1" applyFont="1" applyFill="1" applyBorder="1"/>
    <xf numFmtId="0" fontId="1" fillId="3" borderId="12" xfId="0" applyFont="1" applyFill="1" applyBorder="1"/>
    <xf numFmtId="0" fontId="3" fillId="3" borderId="14" xfId="0" applyFont="1" applyFill="1" applyBorder="1" applyAlignment="1">
      <alignment horizontal="center"/>
    </xf>
    <xf numFmtId="0" fontId="29" fillId="3" borderId="14" xfId="0" applyFont="1" applyFill="1" applyBorder="1" applyAlignment="1">
      <alignment horizontal="center"/>
    </xf>
    <xf numFmtId="0" fontId="3" fillId="3" borderId="15" xfId="0" applyFont="1" applyFill="1" applyBorder="1" applyAlignment="1">
      <alignment horizontal="center"/>
    </xf>
    <xf numFmtId="0" fontId="6" fillId="5" borderId="4" xfId="0" applyFont="1" applyFill="1" applyBorder="1" applyAlignment="1">
      <alignment horizontal="left" indent="2"/>
    </xf>
    <xf numFmtId="3" fontId="16" fillId="5" borderId="3" xfId="3" applyNumberFormat="1" applyFont="1" applyFill="1" applyBorder="1" applyAlignment="1">
      <alignment horizontal="center"/>
    </xf>
    <xf numFmtId="0" fontId="3" fillId="3" borderId="19" xfId="10" applyFont="1" applyFill="1" applyBorder="1"/>
    <xf numFmtId="0" fontId="3" fillId="3" borderId="18" xfId="0" applyFont="1" applyFill="1" applyBorder="1"/>
    <xf numFmtId="175" fontId="3" fillId="3" borderId="34" xfId="1" applyNumberFormat="1" applyFont="1" applyFill="1" applyBorder="1"/>
    <xf numFmtId="5" fontId="1" fillId="0" borderId="0" xfId="0" applyNumberFormat="1" applyFont="1"/>
    <xf numFmtId="164" fontId="16" fillId="5" borderId="15" xfId="3" applyNumberFormat="1" applyFont="1" applyFill="1" applyBorder="1" applyAlignment="1">
      <alignment horizontal="center"/>
    </xf>
    <xf numFmtId="7" fontId="1" fillId="0" borderId="0" xfId="0" applyNumberFormat="1" applyFont="1"/>
    <xf numFmtId="0" fontId="6" fillId="3" borderId="3" xfId="0" applyFont="1" applyFill="1" applyBorder="1"/>
    <xf numFmtId="0" fontId="1" fillId="3" borderId="7" xfId="0" applyFont="1" applyFill="1" applyBorder="1" applyAlignment="1">
      <alignment horizontal="left"/>
    </xf>
    <xf numFmtId="0" fontId="6" fillId="3" borderId="8" xfId="0" applyFont="1" applyFill="1" applyBorder="1"/>
    <xf numFmtId="0" fontId="1" fillId="3" borderId="8" xfId="0" applyFont="1" applyFill="1" applyBorder="1"/>
    <xf numFmtId="0" fontId="1" fillId="3" borderId="8" xfId="0" applyFont="1" applyFill="1" applyBorder="1" applyAlignment="1">
      <alignment horizontal="center"/>
    </xf>
    <xf numFmtId="0" fontId="1" fillId="3" borderId="0" xfId="0" applyFont="1" applyFill="1" applyBorder="1" applyAlignment="1">
      <alignment horizontal="right"/>
    </xf>
    <xf numFmtId="0" fontId="1" fillId="3" borderId="0" xfId="0" applyFont="1" applyFill="1" applyBorder="1" applyAlignment="1">
      <alignment horizontal="center"/>
    </xf>
    <xf numFmtId="0" fontId="51" fillId="3" borderId="4" xfId="0" applyFont="1" applyFill="1" applyBorder="1"/>
    <xf numFmtId="37" fontId="14" fillId="3" borderId="5" xfId="1" applyNumberFormat="1" applyFont="1" applyFill="1" applyBorder="1"/>
    <xf numFmtId="9" fontId="1" fillId="3" borderId="5" xfId="1" applyNumberFormat="1" applyFont="1" applyFill="1" applyBorder="1"/>
    <xf numFmtId="10" fontId="1" fillId="3" borderId="5" xfId="0" applyNumberFormat="1" applyFont="1" applyFill="1" applyBorder="1"/>
    <xf numFmtId="10" fontId="1" fillId="3" borderId="3" xfId="0" applyNumberFormat="1" applyFont="1" applyFill="1" applyBorder="1"/>
    <xf numFmtId="0" fontId="51" fillId="3" borderId="12" xfId="0" applyFont="1" applyFill="1" applyBorder="1"/>
    <xf numFmtId="37" fontId="14" fillId="3" borderId="14" xfId="1" applyNumberFormat="1" applyFont="1" applyFill="1" applyBorder="1"/>
    <xf numFmtId="9" fontId="1" fillId="3" borderId="14" xfId="0" applyNumberFormat="1" applyFont="1" applyFill="1" applyBorder="1"/>
    <xf numFmtId="10" fontId="13" fillId="3" borderId="14" xfId="0" applyNumberFormat="1" applyFont="1" applyFill="1" applyBorder="1" applyAlignment="1">
      <alignment horizontal="right"/>
    </xf>
    <xf numFmtId="10" fontId="1" fillId="3" borderId="15" xfId="0" applyNumberFormat="1" applyFont="1" applyFill="1" applyBorder="1"/>
    <xf numFmtId="0" fontId="3" fillId="3" borderId="7" xfId="0" applyFont="1" applyFill="1" applyBorder="1"/>
    <xf numFmtId="37" fontId="3" fillId="3" borderId="0" xfId="1" applyNumberFormat="1" applyFont="1" applyFill="1" applyBorder="1"/>
    <xf numFmtId="9" fontId="3" fillId="3" borderId="0" xfId="0" applyNumberFormat="1" applyFont="1" applyFill="1" applyBorder="1"/>
    <xf numFmtId="10" fontId="25" fillId="3" borderId="0" xfId="0" applyNumberFormat="1" applyFont="1" applyFill="1" applyBorder="1"/>
    <xf numFmtId="10" fontId="3" fillId="3" borderId="8" xfId="0" applyNumberFormat="1" applyFont="1" applyFill="1" applyBorder="1"/>
    <xf numFmtId="164" fontId="1" fillId="3" borderId="0" xfId="0" applyNumberFormat="1" applyFont="1" applyFill="1" applyBorder="1"/>
    <xf numFmtId="10" fontId="13" fillId="3" borderId="0" xfId="0" applyNumberFormat="1" applyFont="1" applyFill="1" applyBorder="1"/>
    <xf numFmtId="0" fontId="6" fillId="3" borderId="0" xfId="0" applyFont="1" applyFill="1" applyBorder="1"/>
    <xf numFmtId="0" fontId="1" fillId="3" borderId="7" xfId="0" applyFont="1" applyFill="1" applyBorder="1" applyAlignment="1">
      <alignment horizontal="left" indent="1"/>
    </xf>
    <xf numFmtId="2" fontId="1" fillId="3" borderId="0" xfId="0" applyNumberFormat="1" applyFont="1" applyFill="1" applyBorder="1"/>
    <xf numFmtId="43" fontId="13" fillId="3" borderId="0" xfId="1" applyFont="1" applyFill="1" applyBorder="1"/>
    <xf numFmtId="0" fontId="1" fillId="3" borderId="7" xfId="0" quotePrefix="1" applyFont="1" applyFill="1" applyBorder="1"/>
    <xf numFmtId="10" fontId="1" fillId="3" borderId="0" xfId="0" applyNumberFormat="1" applyFont="1" applyFill="1" applyBorder="1"/>
    <xf numFmtId="164" fontId="6" fillId="3" borderId="0" xfId="0" applyNumberFormat="1" applyFont="1" applyFill="1" applyBorder="1"/>
    <xf numFmtId="0" fontId="3" fillId="3" borderId="4" xfId="0" applyFont="1" applyFill="1" applyBorder="1"/>
    <xf numFmtId="10" fontId="3" fillId="3" borderId="5" xfId="3" applyNumberFormat="1" applyFont="1" applyFill="1" applyBorder="1"/>
    <xf numFmtId="0" fontId="1" fillId="3" borderId="12" xfId="0" quotePrefix="1" applyFont="1" applyFill="1" applyBorder="1" applyAlignment="1">
      <alignment horizontal="left" indent="1"/>
    </xf>
    <xf numFmtId="10" fontId="13" fillId="3" borderId="14" xfId="3" applyNumberFormat="1" applyFont="1" applyFill="1" applyBorder="1"/>
    <xf numFmtId="0" fontId="11" fillId="0" borderId="0" xfId="0" applyFont="1" applyFill="1" applyBorder="1" applyAlignment="1" applyProtection="1">
      <alignment horizontal="right"/>
    </xf>
    <xf numFmtId="0" fontId="3" fillId="0" borderId="0" xfId="0" applyFont="1" applyFill="1" applyBorder="1" applyAlignment="1">
      <alignment wrapText="1"/>
    </xf>
    <xf numFmtId="2" fontId="11" fillId="0" borderId="0" xfId="0" applyNumberFormat="1" applyFont="1" applyFill="1" applyBorder="1" applyAlignment="1" applyProtection="1">
      <alignment horizontal="right"/>
    </xf>
    <xf numFmtId="175" fontId="11" fillId="0" borderId="0" xfId="0" applyNumberFormat="1" applyFont="1" applyFill="1" applyBorder="1" applyAlignment="1" applyProtection="1">
      <alignment horizontal="right"/>
    </xf>
    <xf numFmtId="0" fontId="3" fillId="3" borderId="19" xfId="0" applyNumberFormat="1" applyFont="1" applyFill="1" applyBorder="1"/>
    <xf numFmtId="0" fontId="1" fillId="2" borderId="19" xfId="0" applyNumberFormat="1" applyFont="1" applyFill="1" applyBorder="1"/>
    <xf numFmtId="0" fontId="3" fillId="2" borderId="18" xfId="0" applyNumberFormat="1" applyFont="1" applyFill="1" applyBorder="1" applyAlignment="1">
      <alignment horizontal="center"/>
    </xf>
    <xf numFmtId="0" fontId="3" fillId="2" borderId="1" xfId="0" applyNumberFormat="1" applyFont="1" applyFill="1" applyBorder="1" applyAlignment="1">
      <alignment horizontal="center"/>
    </xf>
    <xf numFmtId="0" fontId="1" fillId="2" borderId="7" xfId="0" applyNumberFormat="1" applyFont="1" applyFill="1" applyBorder="1"/>
    <xf numFmtId="5" fontId="14" fillId="2" borderId="0" xfId="0" applyNumberFormat="1" applyFont="1" applyFill="1" applyBorder="1" applyAlignment="1">
      <alignment horizontal="center"/>
    </xf>
    <xf numFmtId="9" fontId="13" fillId="2" borderId="6" xfId="9" applyFont="1" applyFill="1" applyBorder="1" applyAlignment="1">
      <alignment horizontal="center"/>
    </xf>
    <xf numFmtId="5" fontId="1" fillId="2" borderId="0" xfId="0" applyNumberFormat="1" applyFont="1" applyFill="1" applyBorder="1" applyAlignment="1">
      <alignment horizontal="center"/>
    </xf>
    <xf numFmtId="9" fontId="1" fillId="2" borderId="6" xfId="9" applyFont="1" applyFill="1" applyBorder="1" applyAlignment="1">
      <alignment horizontal="center"/>
    </xf>
    <xf numFmtId="5" fontId="3" fillId="3" borderId="18" xfId="0" applyNumberFormat="1" applyFont="1" applyFill="1" applyBorder="1" applyAlignment="1">
      <alignment horizontal="center"/>
    </xf>
    <xf numFmtId="0" fontId="1" fillId="3" borderId="1" xfId="0" applyNumberFormat="1" applyFont="1" applyFill="1" applyBorder="1" applyAlignment="1">
      <alignment horizontal="center"/>
    </xf>
    <xf numFmtId="0" fontId="3" fillId="3" borderId="4" xfId="0" applyNumberFormat="1" applyFont="1" applyFill="1" applyBorder="1"/>
    <xf numFmtId="0" fontId="3" fillId="3" borderId="35" xfId="0" applyNumberFormat="1" applyFont="1" applyFill="1" applyBorder="1" applyAlignment="1">
      <alignment horizontal="right"/>
    </xf>
    <xf numFmtId="0" fontId="3" fillId="3" borderId="3" xfId="0" applyNumberFormat="1" applyFont="1" applyFill="1" applyBorder="1" applyAlignment="1">
      <alignment horizontal="right"/>
    </xf>
    <xf numFmtId="0" fontId="1" fillId="2" borderId="4" xfId="0" applyNumberFormat="1" applyFont="1" applyFill="1" applyBorder="1"/>
    <xf numFmtId="7" fontId="14" fillId="2" borderId="3" xfId="0" applyNumberFormat="1" applyFont="1" applyFill="1" applyBorder="1"/>
    <xf numFmtId="7" fontId="1" fillId="2" borderId="3" xfId="0" applyNumberFormat="1" applyFont="1" applyFill="1" applyBorder="1"/>
    <xf numFmtId="177" fontId="1" fillId="2" borderId="8" xfId="0" applyNumberFormat="1" applyFont="1" applyFill="1" applyBorder="1"/>
    <xf numFmtId="0" fontId="15" fillId="5" borderId="7" xfId="0" applyNumberFormat="1" applyFont="1" applyFill="1" applyBorder="1" applyAlignment="1">
      <alignment horizontal="left" indent="1"/>
    </xf>
    <xf numFmtId="177" fontId="16" fillId="5" borderId="8" xfId="0" applyNumberFormat="1" applyFont="1" applyFill="1" applyBorder="1" applyAlignment="1">
      <alignment horizontal="right"/>
    </xf>
    <xf numFmtId="177" fontId="13" fillId="2" borderId="8" xfId="0" applyNumberFormat="1" applyFont="1" applyFill="1" applyBorder="1"/>
    <xf numFmtId="0" fontId="15" fillId="5" borderId="12" xfId="0" applyNumberFormat="1" applyFont="1" applyFill="1" applyBorder="1" applyAlignment="1">
      <alignment horizontal="left" indent="1"/>
    </xf>
    <xf numFmtId="177" fontId="16" fillId="5" borderId="15" xfId="0" applyNumberFormat="1" applyFont="1" applyFill="1" applyBorder="1" applyAlignment="1">
      <alignment horizontal="right"/>
    </xf>
    <xf numFmtId="5" fontId="3" fillId="3" borderId="34" xfId="0" applyNumberFormat="1" applyFont="1" applyFill="1" applyBorder="1"/>
    <xf numFmtId="0" fontId="1" fillId="0" borderId="4" xfId="0" applyNumberFormat="1" applyFont="1" applyFill="1" applyBorder="1"/>
    <xf numFmtId="7" fontId="13" fillId="0" borderId="3" xfId="0" applyNumberFormat="1" applyFont="1" applyFill="1" applyBorder="1"/>
    <xf numFmtId="7" fontId="1" fillId="2" borderId="0" xfId="0" applyNumberFormat="1" applyFont="1" applyFill="1" applyBorder="1"/>
    <xf numFmtId="0" fontId="1" fillId="0" borderId="7" xfId="0" applyNumberFormat="1" applyFont="1" applyFill="1" applyBorder="1"/>
    <xf numFmtId="5" fontId="1" fillId="0" borderId="8" xfId="0" applyNumberFormat="1" applyFont="1" applyFill="1" applyBorder="1"/>
    <xf numFmtId="0" fontId="3" fillId="3" borderId="12" xfId="0" applyNumberFormat="1" applyFont="1" applyFill="1" applyBorder="1"/>
    <xf numFmtId="164" fontId="3" fillId="3" borderId="15" xfId="9" applyNumberFormat="1" applyFont="1" applyFill="1" applyBorder="1"/>
    <xf numFmtId="174" fontId="1" fillId="2" borderId="0" xfId="0" applyNumberFormat="1" applyFont="1" applyFill="1" applyBorder="1"/>
    <xf numFmtId="0" fontId="3" fillId="2" borderId="19" xfId="0" applyNumberFormat="1" applyFont="1" applyFill="1" applyBorder="1"/>
    <xf numFmtId="185" fontId="3" fillId="2" borderId="34" xfId="0" applyNumberFormat="1" applyFont="1" applyFill="1" applyBorder="1"/>
    <xf numFmtId="0" fontId="35" fillId="0" borderId="0" xfId="0" applyFont="1"/>
    <xf numFmtId="171" fontId="3" fillId="2" borderId="0" xfId="0" applyNumberFormat="1" applyFont="1" applyFill="1" applyBorder="1" applyAlignment="1">
      <alignment horizontal="right"/>
    </xf>
    <xf numFmtId="0" fontId="1" fillId="2" borderId="36" xfId="0" applyFont="1" applyFill="1" applyBorder="1"/>
    <xf numFmtId="0" fontId="9" fillId="8" borderId="37" xfId="0" applyFont="1" applyFill="1" applyBorder="1" applyAlignment="1">
      <alignment horizontal="right"/>
    </xf>
    <xf numFmtId="0" fontId="9" fillId="8" borderId="38" xfId="0" quotePrefix="1" applyFont="1" applyFill="1" applyBorder="1" applyAlignment="1">
      <alignment horizontal="right"/>
    </xf>
    <xf numFmtId="0" fontId="9" fillId="8" borderId="38" xfId="0" applyFont="1" applyFill="1" applyBorder="1" applyAlignment="1">
      <alignment horizontal="right"/>
    </xf>
    <xf numFmtId="0" fontId="9" fillId="8" borderId="39" xfId="0" quotePrefix="1" applyFont="1" applyFill="1" applyBorder="1" applyAlignment="1">
      <alignment horizontal="right"/>
    </xf>
    <xf numFmtId="0" fontId="9" fillId="8" borderId="14" xfId="0" applyFont="1" applyFill="1" applyBorder="1" applyAlignment="1">
      <alignment horizontal="right"/>
    </xf>
    <xf numFmtId="0" fontId="9" fillId="8" borderId="40" xfId="0" applyFont="1" applyFill="1" applyBorder="1" applyAlignment="1">
      <alignment horizontal="right"/>
    </xf>
    <xf numFmtId="0" fontId="9" fillId="8" borderId="41" xfId="0" applyFont="1" applyFill="1" applyBorder="1" applyAlignment="1">
      <alignment horizontal="right"/>
    </xf>
    <xf numFmtId="171" fontId="14" fillId="0" borderId="2" xfId="1" applyNumberFormat="1" applyFont="1" applyFill="1" applyBorder="1" applyAlignment="1">
      <alignment horizontal="right"/>
    </xf>
    <xf numFmtId="171" fontId="14" fillId="0" borderId="2" xfId="1" applyNumberFormat="1" applyFont="1" applyFill="1" applyBorder="1" applyAlignment="1"/>
    <xf numFmtId="169" fontId="3" fillId="0" borderId="6" xfId="1" applyNumberFormat="1" applyFont="1" applyFill="1" applyBorder="1" applyAlignment="1"/>
    <xf numFmtId="169" fontId="51" fillId="0" borderId="0" xfId="6" applyNumberFormat="1" applyFont="1" applyFill="1" applyBorder="1" applyAlignment="1">
      <alignment horizontal="right"/>
    </xf>
    <xf numFmtId="169" fontId="3" fillId="0" borderId="6" xfId="1" applyNumberFormat="1" applyFont="1" applyFill="1" applyBorder="1" applyAlignment="1">
      <alignment horizontal="right"/>
    </xf>
    <xf numFmtId="164" fontId="6" fillId="0" borderId="6" xfId="3" applyNumberFormat="1" applyFont="1" applyFill="1" applyBorder="1" applyAlignment="1">
      <alignment horizontal="right"/>
    </xf>
    <xf numFmtId="10" fontId="1" fillId="0" borderId="6" xfId="1" applyNumberFormat="1" applyFont="1" applyFill="1" applyBorder="1" applyAlignment="1">
      <alignment horizontal="right"/>
    </xf>
    <xf numFmtId="10" fontId="1" fillId="0" borderId="0" xfId="1" applyNumberFormat="1" applyFont="1" applyFill="1" applyBorder="1" applyAlignment="1">
      <alignment horizontal="right"/>
    </xf>
    <xf numFmtId="10" fontId="1" fillId="0" borderId="6" xfId="1" applyNumberFormat="1" applyFont="1" applyFill="1" applyBorder="1" applyAlignment="1"/>
    <xf numFmtId="171" fontId="14" fillId="0" borderId="6" xfId="1" applyNumberFormat="1" applyFont="1" applyFill="1" applyBorder="1" applyAlignment="1">
      <alignment horizontal="right"/>
    </xf>
    <xf numFmtId="171" fontId="14" fillId="0" borderId="6" xfId="1" applyNumberFormat="1" applyFont="1" applyFill="1" applyBorder="1" applyAlignment="1"/>
    <xf numFmtId="169" fontId="1" fillId="0" borderId="6" xfId="1" applyNumberFormat="1" applyFont="1" applyFill="1" applyBorder="1" applyAlignment="1"/>
    <xf numFmtId="169" fontId="1" fillId="0" borderId="0" xfId="6" applyNumberFormat="1" applyFont="1" applyFill="1" applyBorder="1" applyAlignment="1">
      <alignment horizontal="right"/>
    </xf>
    <xf numFmtId="169" fontId="1" fillId="0" borderId="6" xfId="1" applyNumberFormat="1" applyFont="1" applyFill="1" applyBorder="1" applyAlignment="1">
      <alignment horizontal="right"/>
    </xf>
    <xf numFmtId="169" fontId="1" fillId="0" borderId="0" xfId="1" applyNumberFormat="1" applyFont="1" applyFill="1" applyBorder="1" applyAlignment="1">
      <alignment horizontal="right"/>
    </xf>
    <xf numFmtId="171" fontId="1" fillId="0" borderId="6" xfId="1" applyNumberFormat="1" applyFont="1" applyFill="1" applyBorder="1" applyAlignment="1">
      <alignment horizontal="right"/>
    </xf>
    <xf numFmtId="169" fontId="3" fillId="3" borderId="1" xfId="1" applyNumberFormat="1" applyFont="1" applyFill="1" applyBorder="1" applyAlignment="1">
      <alignment horizontal="left"/>
    </xf>
    <xf numFmtId="169" fontId="3" fillId="3" borderId="18" xfId="6" applyNumberFormat="1" applyFont="1" applyFill="1" applyBorder="1" applyAlignment="1">
      <alignment horizontal="right"/>
    </xf>
    <xf numFmtId="169" fontId="3" fillId="3" borderId="18" xfId="1" applyNumberFormat="1" applyFont="1" applyFill="1" applyBorder="1" applyAlignment="1">
      <alignment horizontal="right"/>
    </xf>
    <xf numFmtId="164" fontId="6" fillId="0" borderId="6" xfId="3" applyNumberFormat="1" applyFont="1" applyFill="1" applyBorder="1" applyAlignment="1"/>
    <xf numFmtId="164" fontId="7" fillId="0" borderId="6" xfId="3" applyNumberFormat="1" applyFont="1" applyFill="1" applyBorder="1" applyAlignment="1">
      <alignment horizontal="right"/>
    </xf>
    <xf numFmtId="164" fontId="7" fillId="0" borderId="6" xfId="3" applyNumberFormat="1" applyFont="1" applyFill="1" applyBorder="1" applyAlignment="1"/>
    <xf numFmtId="169" fontId="1" fillId="0" borderId="0" xfId="3" applyNumberFormat="1" applyFont="1" applyFill="1" applyBorder="1" applyAlignment="1">
      <alignment horizontal="right"/>
    </xf>
    <xf numFmtId="10" fontId="6" fillId="0" borderId="6" xfId="3" applyNumberFormat="1" applyFont="1" applyFill="1" applyBorder="1" applyAlignment="1">
      <alignment horizontal="right"/>
    </xf>
    <xf numFmtId="0" fontId="6" fillId="0" borderId="13" xfId="0" applyFont="1" applyFill="1" applyBorder="1" applyAlignment="1">
      <alignment horizontal="left" indent="4"/>
    </xf>
    <xf numFmtId="173" fontId="6" fillId="0" borderId="6" xfId="3" applyNumberFormat="1" applyFont="1" applyFill="1" applyBorder="1" applyAlignment="1">
      <alignment horizontal="right"/>
    </xf>
    <xf numFmtId="169" fontId="1" fillId="0" borderId="7" xfId="1" applyNumberFormat="1" applyFont="1" applyFill="1" applyBorder="1" applyAlignment="1">
      <alignment horizontal="right"/>
    </xf>
    <xf numFmtId="169" fontId="3" fillId="3" borderId="2" xfId="1" applyNumberFormat="1" applyFont="1" applyFill="1" applyBorder="1" applyAlignment="1">
      <alignment horizontal="left"/>
    </xf>
    <xf numFmtId="169" fontId="3" fillId="3" borderId="5" xfId="6" applyNumberFormat="1" applyFont="1" applyFill="1" applyBorder="1" applyAlignment="1">
      <alignment horizontal="right"/>
    </xf>
    <xf numFmtId="169" fontId="3" fillId="3" borderId="2" xfId="0" applyNumberFormat="1" applyFont="1" applyFill="1" applyBorder="1" applyAlignment="1">
      <alignment horizontal="right"/>
    </xf>
    <xf numFmtId="169" fontId="3" fillId="3" borderId="5" xfId="1" applyNumberFormat="1" applyFont="1" applyFill="1" applyBorder="1" applyAlignment="1">
      <alignment horizontal="right"/>
    </xf>
    <xf numFmtId="164" fontId="6" fillId="0" borderId="7" xfId="0" applyNumberFormat="1" applyFont="1" applyFill="1" applyBorder="1" applyAlignment="1">
      <alignment horizontal="left" indent="3"/>
    </xf>
    <xf numFmtId="169" fontId="3" fillId="3" borderId="4" xfId="1" applyNumberFormat="1" applyFont="1" applyFill="1" applyBorder="1" applyAlignment="1">
      <alignment horizontal="left"/>
    </xf>
    <xf numFmtId="169" fontId="3" fillId="3" borderId="5" xfId="0" applyNumberFormat="1" applyFont="1" applyFill="1" applyBorder="1" applyAlignment="1">
      <alignment horizontal="right"/>
    </xf>
    <xf numFmtId="164" fontId="6" fillId="3" borderId="6" xfId="1" applyNumberFormat="1" applyFont="1" applyFill="1" applyBorder="1" applyAlignment="1">
      <alignment horizontal="left" indent="2"/>
    </xf>
    <xf numFmtId="164" fontId="6" fillId="3" borderId="13" xfId="1" applyNumberFormat="1" applyFont="1" applyFill="1" applyBorder="1" applyAlignment="1">
      <alignment horizontal="left" indent="2"/>
    </xf>
    <xf numFmtId="169" fontId="1" fillId="0" borderId="6" xfId="1" applyNumberFormat="1" applyFont="1" applyFill="1" applyBorder="1" applyAlignment="1">
      <alignment horizontal="left"/>
    </xf>
    <xf numFmtId="169" fontId="1" fillId="0" borderId="6" xfId="3" applyNumberFormat="1" applyFont="1" applyFill="1" applyBorder="1" applyAlignment="1">
      <alignment horizontal="right"/>
    </xf>
    <xf numFmtId="169" fontId="1" fillId="0" borderId="6" xfId="0" applyNumberFormat="1" applyFont="1" applyFill="1" applyBorder="1" applyAlignment="1"/>
    <xf numFmtId="169" fontId="1" fillId="0" borderId="6" xfId="0" applyNumberFormat="1" applyFont="1" applyFill="1" applyBorder="1" applyAlignment="1">
      <alignment horizontal="right"/>
    </xf>
    <xf numFmtId="164" fontId="1" fillId="0" borderId="6" xfId="3" applyNumberFormat="1" applyFont="1" applyFill="1" applyBorder="1" applyAlignment="1"/>
    <xf numFmtId="164" fontId="1" fillId="0" borderId="6" xfId="3" applyNumberFormat="1" applyFont="1" applyFill="1" applyBorder="1" applyAlignment="1">
      <alignment horizontal="right"/>
    </xf>
    <xf numFmtId="164" fontId="6" fillId="0" borderId="0" xfId="1" applyNumberFormat="1" applyFont="1" applyFill="1" applyBorder="1" applyAlignment="1">
      <alignment horizontal="right"/>
    </xf>
    <xf numFmtId="169" fontId="3" fillId="3" borderId="1" xfId="0" applyNumberFormat="1" applyFont="1" applyFill="1" applyBorder="1" applyAlignment="1">
      <alignment horizontal="right"/>
    </xf>
    <xf numFmtId="169" fontId="6" fillId="0" borderId="0" xfId="3" applyNumberFormat="1" applyFont="1" applyFill="1" applyBorder="1" applyAlignment="1">
      <alignment horizontal="right"/>
    </xf>
    <xf numFmtId="169" fontId="1" fillId="0" borderId="7" xfId="6" applyNumberFormat="1" applyFont="1" applyFill="1" applyBorder="1" applyAlignment="1">
      <alignment horizontal="right"/>
    </xf>
    <xf numFmtId="169" fontId="6" fillId="0" borderId="6" xfId="3" applyNumberFormat="1" applyFont="1" applyFill="1" applyBorder="1" applyAlignment="1">
      <alignment horizontal="right"/>
    </xf>
    <xf numFmtId="169" fontId="3" fillId="0" borderId="1" xfId="1" applyNumberFormat="1" applyFont="1" applyFill="1" applyBorder="1" applyAlignment="1">
      <alignment horizontal="left"/>
    </xf>
    <xf numFmtId="169" fontId="3" fillId="0" borderId="18" xfId="6" applyNumberFormat="1" applyFont="1" applyFill="1" applyBorder="1" applyAlignment="1">
      <alignment horizontal="right"/>
    </xf>
    <xf numFmtId="169" fontId="3" fillId="0" borderId="1" xfId="1" applyNumberFormat="1" applyFont="1" applyFill="1" applyBorder="1" applyAlignment="1">
      <alignment horizontal="right"/>
    </xf>
    <xf numFmtId="169" fontId="3" fillId="0" borderId="18" xfId="1" applyNumberFormat="1" applyFont="1" applyFill="1" applyBorder="1" applyAlignment="1">
      <alignment horizontal="right"/>
    </xf>
    <xf numFmtId="7" fontId="3" fillId="0" borderId="20" xfId="0" applyNumberFormat="1" applyFont="1" applyFill="1" applyBorder="1" applyAlignment="1">
      <alignment horizontal="right"/>
    </xf>
    <xf numFmtId="172" fontId="6" fillId="0" borderId="14" xfId="0" applyNumberFormat="1" applyFont="1" applyFill="1" applyBorder="1" applyAlignment="1">
      <alignment horizontal="right"/>
    </xf>
    <xf numFmtId="164" fontId="6" fillId="0" borderId="13" xfId="3" applyNumberFormat="1" applyFont="1" applyFill="1" applyBorder="1" applyAlignment="1">
      <alignment horizontal="right"/>
    </xf>
    <xf numFmtId="171" fontId="2" fillId="0" borderId="7" xfId="1" applyNumberFormat="1" applyFont="1" applyFill="1" applyBorder="1" applyAlignment="1">
      <alignment horizontal="left"/>
    </xf>
    <xf numFmtId="0" fontId="3" fillId="0" borderId="6" xfId="0" applyNumberFormat="1" applyFont="1" applyFill="1" applyBorder="1" applyAlignment="1">
      <alignment horizontal="right"/>
    </xf>
    <xf numFmtId="0" fontId="3" fillId="0" borderId="2" xfId="0" applyNumberFormat="1" applyFont="1" applyFill="1" applyBorder="1" applyAlignment="1">
      <alignment horizontal="right"/>
    </xf>
    <xf numFmtId="169" fontId="3" fillId="0" borderId="0" xfId="6" applyNumberFormat="1" applyFont="1" applyFill="1" applyBorder="1" applyAlignment="1">
      <alignment horizontal="right"/>
    </xf>
    <xf numFmtId="169" fontId="1" fillId="4" borderId="0" xfId="1" applyNumberFormat="1" applyFont="1" applyFill="1" applyBorder="1" applyAlignment="1">
      <alignment horizontal="right"/>
    </xf>
    <xf numFmtId="169" fontId="28" fillId="0" borderId="6" xfId="1" applyNumberFormat="1" applyFont="1" applyFill="1" applyBorder="1" applyAlignment="1">
      <alignment horizontal="right"/>
    </xf>
    <xf numFmtId="169" fontId="3" fillId="3" borderId="20" xfId="1" applyNumberFormat="1" applyFont="1" applyFill="1" applyBorder="1" applyAlignment="1">
      <alignment horizontal="right"/>
    </xf>
    <xf numFmtId="169" fontId="3" fillId="3" borderId="21" xfId="1" applyNumberFormat="1" applyFont="1" applyFill="1" applyBorder="1" applyAlignment="1">
      <alignment horizontal="right"/>
    </xf>
    <xf numFmtId="169" fontId="3" fillId="3" borderId="21" xfId="6" applyNumberFormat="1" applyFont="1" applyFill="1" applyBorder="1" applyAlignment="1">
      <alignment horizontal="right"/>
    </xf>
    <xf numFmtId="164" fontId="3" fillId="0" borderId="6" xfId="1" applyNumberFormat="1" applyFont="1" applyFill="1" applyBorder="1" applyAlignment="1">
      <alignment horizontal="right"/>
    </xf>
    <xf numFmtId="171" fontId="3" fillId="0" borderId="6" xfId="1" applyNumberFormat="1" applyFont="1" applyFill="1" applyBorder="1" applyAlignment="1">
      <alignment horizontal="right"/>
    </xf>
    <xf numFmtId="7" fontId="3" fillId="0" borderId="6" xfId="1" applyNumberFormat="1" applyFont="1" applyFill="1" applyBorder="1" applyAlignment="1">
      <alignment horizontal="right"/>
    </xf>
    <xf numFmtId="164" fontId="6" fillId="0" borderId="13" xfId="1" applyNumberFormat="1" applyFont="1" applyFill="1" applyBorder="1" applyAlignment="1">
      <alignment horizontal="right"/>
    </xf>
    <xf numFmtId="171" fontId="3" fillId="0" borderId="5" xfId="1" applyNumberFormat="1" applyFont="1" applyFill="1" applyBorder="1" applyAlignment="1">
      <alignment horizontal="right"/>
    </xf>
    <xf numFmtId="169" fontId="3" fillId="0" borderId="25" xfId="1" applyNumberFormat="1" applyFont="1" applyFill="1" applyBorder="1" applyAlignment="1">
      <alignment horizontal="right"/>
    </xf>
    <xf numFmtId="169" fontId="3" fillId="0" borderId="24" xfId="1" applyNumberFormat="1" applyFont="1" applyFill="1" applyBorder="1" applyAlignment="1">
      <alignment horizontal="right"/>
    </xf>
    <xf numFmtId="169" fontId="3" fillId="0" borderId="24" xfId="6" applyNumberFormat="1" applyFont="1" applyFill="1" applyBorder="1" applyAlignment="1">
      <alignment horizontal="right"/>
    </xf>
    <xf numFmtId="169" fontId="3" fillId="3" borderId="25" xfId="1" applyNumberFormat="1" applyFont="1" applyFill="1" applyBorder="1" applyAlignment="1">
      <alignment horizontal="right"/>
    </xf>
    <xf numFmtId="169" fontId="3" fillId="3" borderId="24" xfId="1" applyNumberFormat="1" applyFont="1" applyFill="1" applyBorder="1" applyAlignment="1">
      <alignment horizontal="right"/>
    </xf>
    <xf numFmtId="169" fontId="3" fillId="3" borderId="24" xfId="6" applyNumberFormat="1" applyFont="1" applyFill="1" applyBorder="1" applyAlignment="1">
      <alignment horizontal="right"/>
    </xf>
    <xf numFmtId="169" fontId="3" fillId="3" borderId="28" xfId="1" applyNumberFormat="1" applyFont="1" applyFill="1" applyBorder="1" applyAlignment="1">
      <alignment horizontal="right"/>
    </xf>
    <xf numFmtId="169" fontId="3" fillId="3" borderId="27" xfId="1" applyNumberFormat="1" applyFont="1" applyFill="1" applyBorder="1" applyAlignment="1">
      <alignment horizontal="right"/>
    </xf>
    <xf numFmtId="169" fontId="3" fillId="3" borderId="27" xfId="6" applyNumberFormat="1" applyFont="1" applyFill="1" applyBorder="1" applyAlignment="1">
      <alignment horizontal="right"/>
    </xf>
    <xf numFmtId="0" fontId="55" fillId="0" borderId="0" xfId="0" applyFont="1"/>
    <xf numFmtId="0" fontId="57" fillId="0" borderId="0" xfId="0" applyFont="1" applyAlignment="1">
      <alignment horizontal="centerContinuous"/>
    </xf>
    <xf numFmtId="0" fontId="58" fillId="8" borderId="0" xfId="0" applyFont="1" applyFill="1" applyAlignment="1">
      <alignment horizontal="left" wrapText="1"/>
    </xf>
    <xf numFmtId="0" fontId="59" fillId="8" borderId="0" xfId="0" applyFont="1" applyFill="1" applyAlignment="1">
      <alignment horizontal="center" wrapText="1"/>
    </xf>
    <xf numFmtId="3" fontId="60" fillId="0" borderId="0" xfId="0" applyNumberFormat="1" applyFont="1" applyAlignment="1">
      <alignment horizontal="center"/>
    </xf>
    <xf numFmtId="10" fontId="60" fillId="0" borderId="0" xfId="3" applyNumberFormat="1" applyFont="1" applyAlignment="1">
      <alignment horizontal="center"/>
    </xf>
    <xf numFmtId="7" fontId="60" fillId="0" borderId="0" xfId="0" applyNumberFormat="1" applyFont="1" applyAlignment="1">
      <alignment horizontal="center"/>
    </xf>
    <xf numFmtId="3" fontId="55" fillId="0" borderId="0" xfId="0" applyNumberFormat="1" applyFont="1" applyAlignment="1">
      <alignment horizontal="center"/>
    </xf>
    <xf numFmtId="0" fontId="61" fillId="0" borderId="0" xfId="0" applyFont="1" applyAlignment="1">
      <alignment horizontal="left" indent="1"/>
    </xf>
    <xf numFmtId="9" fontId="62" fillId="0" borderId="0" xfId="0" applyNumberFormat="1" applyFont="1" applyAlignment="1">
      <alignment horizontal="center"/>
    </xf>
    <xf numFmtId="164" fontId="62" fillId="9" borderId="0" xfId="0" applyNumberFormat="1" applyFont="1" applyFill="1" applyAlignment="1">
      <alignment horizontal="center"/>
    </xf>
    <xf numFmtId="164" fontId="61" fillId="0" borderId="0" xfId="0" applyNumberFormat="1" applyFont="1" applyFill="1" applyAlignment="1">
      <alignment horizontal="center"/>
    </xf>
    <xf numFmtId="10" fontId="55" fillId="0" borderId="0" xfId="0" applyNumberFormat="1" applyFont="1" applyAlignment="1">
      <alignment horizontal="center"/>
    </xf>
    <xf numFmtId="10" fontId="62" fillId="0" borderId="0" xfId="0" applyNumberFormat="1" applyFont="1" applyAlignment="1">
      <alignment horizontal="center"/>
    </xf>
    <xf numFmtId="10" fontId="62" fillId="0" borderId="0" xfId="0" applyNumberFormat="1" applyFont="1" applyFill="1" applyAlignment="1">
      <alignment horizontal="center"/>
    </xf>
    <xf numFmtId="10" fontId="62" fillId="9" borderId="0" xfId="0" applyNumberFormat="1" applyFont="1" applyFill="1" applyAlignment="1">
      <alignment horizontal="center"/>
    </xf>
    <xf numFmtId="10" fontId="63" fillId="0" borderId="0" xfId="0" applyNumberFormat="1" applyFont="1" applyAlignment="1">
      <alignment horizontal="center"/>
    </xf>
    <xf numFmtId="10" fontId="61" fillId="4" borderId="0" xfId="0" applyNumberFormat="1" applyFont="1" applyFill="1" applyAlignment="1">
      <alignment horizontal="center"/>
    </xf>
    <xf numFmtId="0" fontId="61" fillId="0" borderId="0" xfId="0" applyFont="1" applyAlignment="1">
      <alignment horizontal="left" indent="3"/>
    </xf>
    <xf numFmtId="3" fontId="61" fillId="0" borderId="0" xfId="0" applyNumberFormat="1" applyFont="1" applyAlignment="1">
      <alignment horizontal="center"/>
    </xf>
    <xf numFmtId="164" fontId="57" fillId="0" borderId="0" xfId="0" applyNumberFormat="1" applyFont="1" applyAlignment="1">
      <alignment horizontal="centerContinuous"/>
    </xf>
    <xf numFmtId="3" fontId="55" fillId="0" borderId="0" xfId="0" applyNumberFormat="1" applyFont="1"/>
    <xf numFmtId="9" fontId="55" fillId="0" borderId="0" xfId="3" applyFont="1" applyAlignment="1">
      <alignment horizontal="center"/>
    </xf>
    <xf numFmtId="4" fontId="55" fillId="0" borderId="0" xfId="0" applyNumberFormat="1" applyFont="1" applyAlignment="1">
      <alignment horizontal="center"/>
    </xf>
    <xf numFmtId="9" fontId="57" fillId="3" borderId="1" xfId="0" applyNumberFormat="1" applyFont="1" applyFill="1" applyBorder="1" applyAlignment="1">
      <alignment horizontal="center"/>
    </xf>
    <xf numFmtId="4" fontId="60" fillId="0" borderId="0" xfId="0" applyNumberFormat="1" applyFont="1" applyAlignment="1">
      <alignment horizontal="center"/>
    </xf>
    <xf numFmtId="9" fontId="60" fillId="0" borderId="0" xfId="0" applyNumberFormat="1" applyFont="1" applyAlignment="1">
      <alignment horizontal="center"/>
    </xf>
    <xf numFmtId="9" fontId="55" fillId="0" borderId="0" xfId="0" applyNumberFormat="1" applyFont="1" applyAlignment="1">
      <alignment horizontal="center"/>
    </xf>
    <xf numFmtId="9" fontId="55" fillId="0" borderId="0" xfId="0" applyNumberFormat="1" applyFont="1"/>
    <xf numFmtId="8" fontId="55" fillId="0" borderId="0" xfId="0" applyNumberFormat="1" applyFont="1" applyAlignment="1">
      <alignment horizontal="center"/>
    </xf>
    <xf numFmtId="10" fontId="63" fillId="0" borderId="0" xfId="0" applyNumberFormat="1" applyFont="1"/>
    <xf numFmtId="10" fontId="55" fillId="0" borderId="0" xfId="0" applyNumberFormat="1" applyFont="1"/>
    <xf numFmtId="1" fontId="55" fillId="0" borderId="0" xfId="0" applyNumberFormat="1" applyFont="1"/>
    <xf numFmtId="0" fontId="58" fillId="8" borderId="0" xfId="0" applyFont="1" applyFill="1"/>
    <xf numFmtId="1" fontId="58" fillId="8" borderId="0" xfId="0" applyNumberFormat="1" applyFont="1" applyFill="1" applyAlignment="1">
      <alignment horizontal="center"/>
    </xf>
    <xf numFmtId="10" fontId="63" fillId="0" borderId="0" xfId="0" applyNumberFormat="1" applyFont="1" applyAlignment="1">
      <alignment horizontal="centerContinuous"/>
    </xf>
    <xf numFmtId="0" fontId="55" fillId="0" borderId="0" xfId="0" applyFont="1" applyAlignment="1">
      <alignment horizontal="centerContinuous"/>
    </xf>
    <xf numFmtId="0" fontId="57" fillId="0" borderId="30" xfId="0" applyFont="1" applyBorder="1"/>
    <xf numFmtId="10" fontId="57" fillId="0" borderId="30" xfId="0" applyNumberFormat="1" applyFont="1" applyBorder="1" applyAlignment="1">
      <alignment horizontal="center"/>
    </xf>
    <xf numFmtId="10" fontId="57" fillId="0" borderId="30" xfId="0" applyNumberFormat="1" applyFont="1" applyBorder="1" applyAlignment="1">
      <alignment horizontal="centerContinuous"/>
    </xf>
    <xf numFmtId="0" fontId="57" fillId="0" borderId="30" xfId="0" applyFont="1" applyBorder="1" applyAlignment="1">
      <alignment horizontal="centerContinuous"/>
    </xf>
    <xf numFmtId="0" fontId="57" fillId="0" borderId="0" xfId="0" applyFont="1" applyBorder="1" applyAlignment="1">
      <alignment horizontal="centerContinuous"/>
    </xf>
    <xf numFmtId="164" fontId="58" fillId="8" borderId="14" xfId="0" applyNumberFormat="1" applyFont="1" applyFill="1" applyBorder="1" applyAlignment="1">
      <alignment horizontal="center"/>
    </xf>
    <xf numFmtId="0" fontId="65" fillId="0" borderId="0" xfId="0" applyFont="1"/>
    <xf numFmtId="164" fontId="55" fillId="0" borderId="0" xfId="3" applyNumberFormat="1" applyFont="1"/>
    <xf numFmtId="10" fontId="55" fillId="0" borderId="0" xfId="3" applyNumberFormat="1" applyFont="1"/>
    <xf numFmtId="164" fontId="58" fillId="8" borderId="0" xfId="0" applyNumberFormat="1" applyFont="1" applyFill="1" applyBorder="1" applyAlignment="1">
      <alignment horizontal="center"/>
    </xf>
    <xf numFmtId="9" fontId="64" fillId="0" borderId="0" xfId="0" applyNumberFormat="1" applyFont="1"/>
    <xf numFmtId="9" fontId="58" fillId="8" borderId="14" xfId="0" applyNumberFormat="1" applyFont="1" applyFill="1" applyBorder="1" applyAlignment="1">
      <alignment horizontal="center"/>
    </xf>
    <xf numFmtId="10" fontId="58" fillId="8" borderId="8" xfId="0" applyNumberFormat="1" applyFont="1" applyFill="1" applyBorder="1" applyAlignment="1">
      <alignment horizontal="center"/>
    </xf>
    <xf numFmtId="9" fontId="57" fillId="0" borderId="0" xfId="0" applyNumberFormat="1" applyFont="1" applyAlignment="1">
      <alignment horizontal="center"/>
    </xf>
    <xf numFmtId="9" fontId="57" fillId="0" borderId="42" xfId="0" applyNumberFormat="1" applyFont="1" applyBorder="1" applyAlignment="1">
      <alignment horizontal="center"/>
    </xf>
    <xf numFmtId="9" fontId="57" fillId="0" borderId="43" xfId="0" applyNumberFormat="1" applyFont="1" applyBorder="1" applyAlignment="1">
      <alignment horizontal="center"/>
    </xf>
    <xf numFmtId="9" fontId="57" fillId="0" borderId="44" xfId="0" applyNumberFormat="1" applyFont="1" applyBorder="1" applyAlignment="1">
      <alignment horizontal="center"/>
    </xf>
    <xf numFmtId="9" fontId="57" fillId="0" borderId="45" xfId="0" applyNumberFormat="1" applyFont="1" applyBorder="1" applyAlignment="1">
      <alignment horizontal="center"/>
    </xf>
    <xf numFmtId="9" fontId="57" fillId="0" borderId="0" xfId="0" applyNumberFormat="1" applyFont="1" applyBorder="1" applyAlignment="1">
      <alignment horizontal="center"/>
    </xf>
    <xf numFmtId="9" fontId="57" fillId="0" borderId="46" xfId="0" applyNumberFormat="1" applyFont="1" applyBorder="1" applyAlignment="1">
      <alignment horizontal="center"/>
    </xf>
    <xf numFmtId="9" fontId="57" fillId="0" borderId="47" xfId="0" applyNumberFormat="1" applyFont="1" applyBorder="1" applyAlignment="1">
      <alignment horizontal="center"/>
    </xf>
    <xf numFmtId="9" fontId="57" fillId="0" borderId="48" xfId="0" applyNumberFormat="1" applyFont="1" applyBorder="1" applyAlignment="1">
      <alignment horizontal="center"/>
    </xf>
    <xf numFmtId="9" fontId="57" fillId="0" borderId="49" xfId="0" applyNumberFormat="1" applyFont="1" applyBorder="1" applyAlignment="1">
      <alignment horizontal="center"/>
    </xf>
    <xf numFmtId="0" fontId="57" fillId="0" borderId="0" xfId="0" applyFont="1" applyFill="1" applyAlignment="1">
      <alignment horizontal="right" vertical="center"/>
    </xf>
    <xf numFmtId="0" fontId="67" fillId="0" borderId="0" xfId="0" applyFont="1" applyAlignment="1">
      <alignment horizontal="left"/>
    </xf>
    <xf numFmtId="0" fontId="67" fillId="0" borderId="0" xfId="0" applyFont="1" applyAlignment="1">
      <alignment horizontal="center"/>
    </xf>
    <xf numFmtId="0" fontId="67" fillId="0" borderId="0" xfId="0" applyFont="1" applyAlignment="1">
      <alignment horizontal="centerContinuous"/>
    </xf>
    <xf numFmtId="0" fontId="64" fillId="0" borderId="0" xfId="0" applyFont="1"/>
    <xf numFmtId="164" fontId="67" fillId="0" borderId="0" xfId="0" applyNumberFormat="1" applyFont="1" applyAlignment="1">
      <alignment horizontal="center"/>
    </xf>
    <xf numFmtId="171" fontId="0" fillId="0" borderId="6" xfId="1" applyNumberFormat="1" applyFont="1" applyFill="1" applyBorder="1" applyAlignment="1"/>
    <xf numFmtId="176" fontId="3" fillId="3" borderId="6" xfId="1" applyNumberFormat="1" applyFont="1" applyFill="1" applyBorder="1" applyAlignment="1">
      <alignment horizontal="right"/>
    </xf>
    <xf numFmtId="0" fontId="0" fillId="2" borderId="0" xfId="0" applyNumberFormat="1" applyFont="1" applyFill="1" applyBorder="1"/>
    <xf numFmtId="167" fontId="1" fillId="2" borderId="0" xfId="0" applyNumberFormat="1" applyFont="1" applyFill="1" applyBorder="1"/>
    <xf numFmtId="6" fontId="3" fillId="2" borderId="0" xfId="0" applyNumberFormat="1" applyFont="1" applyFill="1" applyBorder="1"/>
    <xf numFmtId="43" fontId="0" fillId="0" borderId="0" xfId="0" applyNumberFormat="1"/>
    <xf numFmtId="165" fontId="0" fillId="0" borderId="0" xfId="0" applyNumberFormat="1"/>
    <xf numFmtId="0" fontId="3" fillId="3" borderId="50" xfId="0" applyNumberFormat="1" applyFont="1" applyFill="1" applyBorder="1"/>
    <xf numFmtId="5" fontId="3" fillId="3" borderId="51" xfId="0" applyNumberFormat="1" applyFont="1" applyFill="1" applyBorder="1"/>
    <xf numFmtId="49" fontId="0" fillId="0" borderId="0" xfId="0" applyNumberFormat="1"/>
    <xf numFmtId="200" fontId="3" fillId="2" borderId="0" xfId="0" applyNumberFormat="1" applyFont="1" applyFill="1" applyBorder="1" applyAlignment="1">
      <alignment horizontal="right"/>
    </xf>
    <xf numFmtId="200" fontId="78" fillId="2" borderId="0" xfId="0" applyNumberFormat="1" applyFont="1" applyFill="1" applyBorder="1" applyAlignment="1">
      <alignment horizontal="right"/>
    </xf>
    <xf numFmtId="9" fontId="55" fillId="0" borderId="0" xfId="3" applyFont="1"/>
    <xf numFmtId="0" fontId="0" fillId="2" borderId="0" xfId="5" applyFont="1" applyFill="1" applyAlignment="1">
      <alignment horizontal="right"/>
    </xf>
    <xf numFmtId="167" fontId="0" fillId="3" borderId="6" xfId="0" applyNumberFormat="1" applyFont="1" applyFill="1" applyBorder="1" applyAlignment="1">
      <alignment horizontal="right"/>
    </xf>
    <xf numFmtId="9" fontId="12" fillId="3" borderId="6" xfId="0" applyNumberFormat="1" applyFont="1" applyFill="1" applyBorder="1" applyAlignment="1">
      <alignment horizontal="right"/>
    </xf>
    <xf numFmtId="171" fontId="0" fillId="0" borderId="7" xfId="1" applyNumberFormat="1" applyFont="1" applyFill="1" applyBorder="1" applyAlignment="1" applyProtection="1">
      <alignment horizontal="left" indent="1"/>
    </xf>
    <xf numFmtId="10" fontId="3" fillId="2" borderId="0" xfId="0" applyNumberFormat="1" applyFont="1" applyFill="1" applyBorder="1" applyAlignment="1">
      <alignment horizontal="right"/>
    </xf>
    <xf numFmtId="178" fontId="1" fillId="0" borderId="0" xfId="0" applyNumberFormat="1" applyFont="1"/>
    <xf numFmtId="10" fontId="3" fillId="0" borderId="0" xfId="3" applyNumberFormat="1" applyFont="1" applyFill="1" applyBorder="1"/>
    <xf numFmtId="10" fontId="3" fillId="3" borderId="18" xfId="3" applyNumberFormat="1" applyFont="1" applyFill="1" applyBorder="1" applyAlignment="1">
      <alignment horizontal="center"/>
    </xf>
    <xf numFmtId="165" fontId="1" fillId="0" borderId="30" xfId="3" applyNumberFormat="1" applyFont="1" applyFill="1" applyBorder="1" applyAlignment="1">
      <alignment horizontal="right"/>
    </xf>
    <xf numFmtId="9" fontId="57" fillId="0" borderId="0" xfId="3" applyFont="1" applyAlignment="1">
      <alignment horizontal="centerContinuous"/>
    </xf>
    <xf numFmtId="9" fontId="57" fillId="0" borderId="0" xfId="3" applyNumberFormat="1" applyFont="1" applyAlignment="1">
      <alignment horizontal="centerContinuous"/>
    </xf>
    <xf numFmtId="2" fontId="55" fillId="0" borderId="0" xfId="0" applyNumberFormat="1" applyFont="1"/>
    <xf numFmtId="0" fontId="58" fillId="8" borderId="0" xfId="0" applyFont="1" applyFill="1" applyAlignment="1"/>
    <xf numFmtId="0" fontId="55" fillId="0" borderId="0" xfId="0" applyFont="1" applyAlignment="1"/>
    <xf numFmtId="0" fontId="55" fillId="0" borderId="14" xfId="0" applyFont="1" applyBorder="1" applyAlignment="1"/>
    <xf numFmtId="0" fontId="57" fillId="0" borderId="30" xfId="0" applyFont="1" applyBorder="1" applyAlignment="1"/>
    <xf numFmtId="201" fontId="57" fillId="0" borderId="0" xfId="0" applyNumberFormat="1" applyFont="1" applyAlignment="1">
      <alignment horizontal="centerContinuous"/>
    </xf>
    <xf numFmtId="10" fontId="57" fillId="0" borderId="0" xfId="0" applyNumberFormat="1" applyFont="1" applyAlignment="1">
      <alignment horizontal="centerContinuous"/>
    </xf>
    <xf numFmtId="202" fontId="55" fillId="0" borderId="0" xfId="0" applyNumberFormat="1" applyFont="1"/>
    <xf numFmtId="0" fontId="3" fillId="3" borderId="12" xfId="0" applyFont="1" applyFill="1" applyBorder="1"/>
    <xf numFmtId="10" fontId="3" fillId="3" borderId="14" xfId="3" applyNumberFormat="1" applyFont="1" applyFill="1" applyBorder="1"/>
    <xf numFmtId="0" fontId="1" fillId="3" borderId="14" xfId="0" applyFont="1" applyFill="1" applyBorder="1"/>
    <xf numFmtId="0" fontId="1" fillId="3" borderId="15" xfId="0" applyFont="1" applyFill="1" applyBorder="1"/>
    <xf numFmtId="10" fontId="1" fillId="3" borderId="8" xfId="3" applyNumberFormat="1" applyFont="1" applyFill="1" applyBorder="1" applyAlignment="1">
      <alignment horizontal="center"/>
    </xf>
    <xf numFmtId="0" fontId="9" fillId="8" borderId="52" xfId="0" applyFont="1" applyFill="1" applyBorder="1" applyAlignment="1">
      <alignment horizontal="right"/>
    </xf>
    <xf numFmtId="0" fontId="9" fillId="8" borderId="53" xfId="0" applyFont="1" applyFill="1" applyBorder="1" applyAlignment="1">
      <alignment horizontal="right"/>
    </xf>
    <xf numFmtId="0" fontId="9" fillId="8" borderId="54" xfId="0" applyFont="1" applyFill="1" applyBorder="1" applyAlignment="1">
      <alignment horizontal="right"/>
    </xf>
    <xf numFmtId="0" fontId="9" fillId="8" borderId="55" xfId="0" applyFont="1" applyFill="1" applyBorder="1" applyAlignment="1">
      <alignment horizontal="right"/>
    </xf>
    <xf numFmtId="171" fontId="0" fillId="0" borderId="6" xfId="1" applyNumberFormat="1" applyFont="1" applyFill="1" applyBorder="1" applyAlignment="1">
      <alignment horizontal="left"/>
    </xf>
    <xf numFmtId="0" fontId="0" fillId="2" borderId="0" xfId="4" applyFont="1" applyFill="1" applyAlignment="1">
      <alignment horizontal="right"/>
    </xf>
    <xf numFmtId="164" fontId="0" fillId="0" borderId="0" xfId="0" applyNumberFormat="1" applyFont="1" applyFill="1" applyBorder="1" applyAlignment="1">
      <alignment horizontal="centerContinuous"/>
    </xf>
    <xf numFmtId="0" fontId="26" fillId="5" borderId="1" xfId="4" applyNumberFormat="1" applyFont="1" applyFill="1" applyBorder="1" applyAlignment="1">
      <alignment horizontal="center"/>
    </xf>
    <xf numFmtId="0" fontId="0" fillId="0" borderId="0" xfId="0" applyFont="1"/>
    <xf numFmtId="0" fontId="12" fillId="0" borderId="0" xfId="0" applyFont="1"/>
    <xf numFmtId="0" fontId="80" fillId="0" borderId="0" xfId="0" applyFont="1"/>
    <xf numFmtId="174" fontId="80" fillId="0" borderId="0" xfId="0" applyNumberFormat="1" applyFont="1"/>
    <xf numFmtId="167" fontId="12" fillId="4" borderId="0" xfId="0" applyNumberFormat="1" applyFont="1" applyFill="1" applyBorder="1" applyAlignment="1">
      <alignment horizontal="right"/>
    </xf>
    <xf numFmtId="171" fontId="14" fillId="4" borderId="0" xfId="1" applyNumberFormat="1" applyFont="1" applyFill="1" applyBorder="1" applyAlignment="1">
      <alignment horizontal="right"/>
    </xf>
    <xf numFmtId="0" fontId="3" fillId="2" borderId="0" xfId="0" applyNumberFormat="1" applyFont="1" applyFill="1" applyBorder="1" applyAlignment="1">
      <alignment horizontal="center" wrapText="1"/>
    </xf>
    <xf numFmtId="171" fontId="0" fillId="0" borderId="7" xfId="1" applyNumberFormat="1" applyFont="1" applyFill="1" applyBorder="1"/>
    <xf numFmtId="182" fontId="3" fillId="2" borderId="0" xfId="0" applyNumberFormat="1" applyFont="1" applyFill="1" applyBorder="1" applyAlignment="1">
      <alignment horizontal="right"/>
    </xf>
    <xf numFmtId="0" fontId="1" fillId="10" borderId="0" xfId="58" applyFont="1" applyFill="1" applyAlignment="1">
      <alignment vertical="top"/>
    </xf>
    <xf numFmtId="0" fontId="0" fillId="10" borderId="0" xfId="0" applyFill="1" applyAlignment="1">
      <alignment vertical="top"/>
    </xf>
    <xf numFmtId="0" fontId="0" fillId="10" borderId="0" xfId="0" applyFill="1"/>
    <xf numFmtId="0" fontId="68" fillId="10" borderId="0" xfId="58" applyFont="1" applyFill="1" applyAlignment="1">
      <alignment horizontal="left" vertical="top"/>
    </xf>
    <xf numFmtId="0" fontId="1" fillId="10" borderId="0" xfId="0" applyFont="1" applyFill="1" applyAlignment="1">
      <alignment vertical="top"/>
    </xf>
    <xf numFmtId="0" fontId="56" fillId="10" borderId="0" xfId="58" applyFont="1" applyFill="1" applyAlignment="1">
      <alignment vertical="top"/>
    </xf>
    <xf numFmtId="0" fontId="80" fillId="10" borderId="0" xfId="0" applyFont="1" applyFill="1" applyAlignment="1">
      <alignment vertical="top"/>
    </xf>
    <xf numFmtId="0" fontId="82" fillId="10" borderId="0" xfId="0" applyFont="1" applyFill="1" applyAlignment="1">
      <alignment vertical="top"/>
    </xf>
    <xf numFmtId="0" fontId="0" fillId="10" borderId="0" xfId="0" applyFill="1" applyAlignment="1">
      <alignment vertical="top"/>
    </xf>
    <xf numFmtId="0" fontId="80" fillId="10" borderId="56" xfId="0" applyFont="1" applyFill="1" applyBorder="1" applyAlignment="1">
      <alignment vertical="top"/>
    </xf>
    <xf numFmtId="9" fontId="80" fillId="10" borderId="56" xfId="0" applyNumberFormat="1" applyFont="1" applyFill="1" applyBorder="1" applyAlignment="1">
      <alignment vertical="top"/>
    </xf>
    <xf numFmtId="3" fontId="80" fillId="10" borderId="56" xfId="0" applyNumberFormat="1" applyFont="1" applyFill="1" applyBorder="1" applyAlignment="1">
      <alignment vertical="top"/>
    </xf>
    <xf numFmtId="2" fontId="0" fillId="0" borderId="0" xfId="0" applyNumberFormat="1" applyAlignment="1">
      <alignment horizontal="left"/>
    </xf>
    <xf numFmtId="0" fontId="0" fillId="0" borderId="0" xfId="0" applyNumberFormat="1" applyAlignment="1">
      <alignment horizontal="left"/>
    </xf>
    <xf numFmtId="1" fontId="0" fillId="0" borderId="0" xfId="0" applyNumberFormat="1" applyAlignment="1">
      <alignment horizontal="left"/>
    </xf>
    <xf numFmtId="203" fontId="0" fillId="0" borderId="0" xfId="0" applyNumberFormat="1" applyAlignment="1">
      <alignment horizontal="left"/>
    </xf>
    <xf numFmtId="0" fontId="0" fillId="10" borderId="61" xfId="0" applyFill="1" applyBorder="1" applyAlignment="1">
      <alignment vertical="top"/>
    </xf>
    <xf numFmtId="0" fontId="80" fillId="10" borderId="0" xfId="0" applyFont="1" applyFill="1" applyAlignment="1">
      <alignment vertical="top"/>
    </xf>
    <xf numFmtId="0" fontId="80" fillId="10" borderId="57" xfId="0" applyFont="1" applyFill="1" applyBorder="1" applyAlignment="1">
      <alignment vertical="top"/>
    </xf>
    <xf numFmtId="0" fontId="80" fillId="10" borderId="58" xfId="0" applyFont="1" applyFill="1" applyBorder="1" applyAlignment="1">
      <alignment vertical="top"/>
    </xf>
    <xf numFmtId="0" fontId="80" fillId="10" borderId="59" xfId="0" applyFont="1" applyFill="1" applyBorder="1" applyAlignment="1">
      <alignment vertical="top"/>
    </xf>
    <xf numFmtId="0" fontId="82" fillId="10" borderId="0" xfId="0" applyFont="1" applyFill="1" applyAlignment="1">
      <alignment vertical="top"/>
    </xf>
    <xf numFmtId="0" fontId="0" fillId="10" borderId="0" xfId="0" applyFill="1" applyAlignment="1">
      <alignment vertical="top"/>
    </xf>
    <xf numFmtId="0" fontId="0" fillId="10" borderId="60" xfId="0" applyFill="1" applyBorder="1" applyAlignment="1">
      <alignment vertical="top"/>
    </xf>
    <xf numFmtId="0" fontId="3" fillId="3" borderId="14" xfId="0" applyFont="1" applyFill="1" applyBorder="1" applyAlignment="1">
      <alignment horizontal="center"/>
    </xf>
    <xf numFmtId="0" fontId="3" fillId="3" borderId="0" xfId="0" applyFont="1" applyFill="1" applyBorder="1" applyAlignment="1">
      <alignment horizontal="center"/>
    </xf>
    <xf numFmtId="0" fontId="9" fillId="8" borderId="4" xfId="0" applyFont="1"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58" fillId="8" borderId="0" xfId="0" applyFont="1" applyFill="1" applyAlignment="1">
      <alignment horizontal="center" wrapText="1"/>
    </xf>
    <xf numFmtId="0" fontId="66" fillId="0" borderId="0" xfId="0" applyFont="1" applyFill="1" applyAlignment="1">
      <alignment horizontal="right" vertical="center" wrapText="1"/>
    </xf>
    <xf numFmtId="0" fontId="56" fillId="10" borderId="0" xfId="58" applyFont="1" applyFill="1" applyAlignment="1">
      <alignment vertical="top" wrapText="1"/>
    </xf>
  </cellXfs>
  <cellStyles count="59">
    <cellStyle name="$_AA - BenefitsBonus " xfId="15"/>
    <cellStyle name="_AA - BenefitsBonus " xfId="16"/>
    <cellStyle name="_Comma_AA - BenefitsBonus " xfId="17"/>
    <cellStyle name="_Currency_AA - BenefitsBonus " xfId="18"/>
    <cellStyle name="_CurrencySpace_AA - BenefitsBonus " xfId="19"/>
    <cellStyle name="—_GS_Cash " xfId="20"/>
    <cellStyle name="_Multiple_AA - BenefitsBonus " xfId="21"/>
    <cellStyle name="_MultipleSpace_AA - BenefitsBonus " xfId="22"/>
    <cellStyle name="_Percent_AA - BenefitsBonus " xfId="23"/>
    <cellStyle name="_PercentSpace_AA - BenefitsBonus " xfId="24"/>
    <cellStyle name="_PF Quarterly Financial Model " xfId="25"/>
    <cellStyle name="_Quarterly Financial Model " xfId="26"/>
    <cellStyle name="_SUMMARY " xfId="27"/>
    <cellStyle name="_Wireline Tel Forecast " xfId="28"/>
    <cellStyle name="0_Capex &amp; Depreciation " xfId="29"/>
    <cellStyle name="0_Valuing BP " xfId="30"/>
    <cellStyle name="0_Wireline Tel Forecast " xfId="31"/>
    <cellStyle name="ÅëÈ­ [0]_cover " xfId="32"/>
    <cellStyle name="ÅëÈ­_cover " xfId="33"/>
    <cellStyle name="ÄÞ¸¶ [0]_cover " xfId="34"/>
    <cellStyle name="ÄÞ¸¶_cover " xfId="35"/>
    <cellStyle name="c_HardInc " xfId="36"/>
    <cellStyle name="C￥AØ_¿μ¾÷CoE² " xfId="37"/>
    <cellStyle name="Ç¥ÁØ_cover " xfId="38"/>
    <cellStyle name="Comma" xfId="1" builtinId="3"/>
    <cellStyle name="Comma 2" xfId="6"/>
    <cellStyle name="Currency" xfId="2" builtinId="4"/>
    <cellStyle name="Currency 2" xfId="57"/>
    <cellStyle name="d_yield_AA - BenefitsBonus " xfId="39"/>
    <cellStyle name="g_rate_AA - BenefitsBonus " xfId="40"/>
    <cellStyle name="Hard Percent_2005 TDS Mgmt Summaries MASTER " xfId="41"/>
    <cellStyle name="m_AA - BenefitsBonus " xfId="42"/>
    <cellStyle name="Millares [0]_ " xfId="43"/>
    <cellStyle name="Millares_ " xfId="44"/>
    <cellStyle name="Moneda [0]_ " xfId="45"/>
    <cellStyle name="Moneda_ " xfId="46"/>
    <cellStyle name="Normal" xfId="0" builtinId="0"/>
    <cellStyle name="Normal 2" xfId="11"/>
    <cellStyle name="Normal 3" xfId="13"/>
    <cellStyle name="Normal 4" xfId="56"/>
    <cellStyle name="Normal_DisclaimerSheet Samples" xfId="58"/>
    <cellStyle name="Normal_Model - Quarter" xfId="8"/>
    <cellStyle name="Normal_PF Quarterly Financial Model " xfId="7"/>
    <cellStyle name="Normal_RAZFmod0600_betty" xfId="10"/>
    <cellStyle name="Normal_TSS Model (2)" xfId="5"/>
    <cellStyle name="Onedec_FT Valuation " xfId="47"/>
    <cellStyle name="p " xfId="48"/>
    <cellStyle name="Percent" xfId="3" builtinId="5"/>
    <cellStyle name="Percent 2" xfId="9"/>
    <cellStyle name="q_AA - BenefitsBonus " xfId="49"/>
    <cellStyle name="RRSInstruction" xfId="14"/>
    <cellStyle name="s_DCFLBO Code_Wireline Tel Forecast " xfId="50"/>
    <cellStyle name="s_HardInc " xfId="51"/>
    <cellStyle name="s_Valuation " xfId="52"/>
    <cellStyle name="ssp " xfId="53"/>
    <cellStyle name="Style 1" xfId="4"/>
    <cellStyle name="Style 1 2" xfId="12"/>
    <cellStyle name="콤마 [0]_ 2팀층별 " xfId="54"/>
    <cellStyle name="콤마_ 2팀층별 " xfId="5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theme/theme1.xml" Type="http://schemas.openxmlformats.org/officeDocument/2006/relationships/theme"/>
<Relationship Id="rId14" Target="styles.xml" Type="http://schemas.openxmlformats.org/officeDocument/2006/relationships/styles"/>
<Relationship Id="rId15" Target="sharedStrings.xml" Type="http://schemas.openxmlformats.org/officeDocument/2006/relationships/sharedStrings"/>
<Relationship Id="rId16"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activeX/_rels/activeX1.xml.rels><?xml version="1.0" encoding="UTF-8" standalone="yes"?>
<Relationships xmlns="http://schemas.openxmlformats.org/package/2006/relationships">
<Relationship Id="rId1" Target="activeX1.bin" Type="http://schemas.microsoft.com/office/2006/relationships/activeXControlBinary"/>
</Relationships>

</file>

<file path=xl/activeX/_rels/activeX2.xml.rels><?xml version="1.0" encoding="UTF-8" standalone="yes"?>
<Relationships xmlns="http://schemas.openxmlformats.org/package/2006/relationships">
<Relationship Id="rId1" Target="activeX2.bin" Type="http://schemas.microsoft.com/office/2006/relationships/activeXControlBinary"/>
</Relationships>

</file>

<file path=xl/activeX/_rels/activeX3.xml.rels><?xml version="1.0" encoding="UTF-8" standalone="yes"?>
<Relationships xmlns="http://schemas.openxmlformats.org/package/2006/relationships">
<Relationship Id="rId1" Target="activeX3.bin" Type="http://schemas.microsoft.com/office/2006/relationships/activeXControlBinary"/>
</Relationships>

</file>

<file path=xl/activeX/_rels/activeX4.xml.rels><?xml version="1.0" encoding="UTF-8" standalone="yes"?>
<Relationships xmlns="http://schemas.openxmlformats.org/package/2006/relationships">
<Relationship Id="rId1" Target="activeX4.bin" Type="http://schemas.microsoft.com/office/2006/relationships/activeXControlBinary"/>
</Relationships>

</file>

<file path=xl/activeX/_rels/activeX5.xml.rels><?xml version="1.0" encoding="UTF-8" standalone="yes"?>
<Relationships xmlns="http://schemas.openxmlformats.org/package/2006/relationships">
<Relationship Id="rId1" Target="activeX5.bin" Type="http://schemas.microsoft.com/office/2006/relationships/activeXControlBinary"/>
</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activeX/activeX3.xml><?xml version="1.0" encoding="utf-8"?>
<ax:ocx xmlns:ax="http://schemas.microsoft.com/office/2006/activeX" xmlns:r="http://schemas.openxmlformats.org/officeDocument/2006/relationships" ax:classid="{8BD21D30-EC42-11CE-9E0D-00AA006002F3}" ax:persistence="persistStreamInit" r:id="rId1"/>
</file>

<file path=xl/activeX/activeX4.xml><?xml version="1.0" encoding="utf-8"?>
<ax:ocx xmlns:ax="http://schemas.microsoft.com/office/2006/activeX" xmlns:r="http://schemas.openxmlformats.org/officeDocument/2006/relationships" ax:classid="{8BD21D30-EC42-11CE-9E0D-00AA006002F3}" ax:persistence="persistStreamInit" r:id="rId1"/>
</file>

<file path=xl/activeX/activeX5.xml><?xml version="1.0" encoding="utf-8"?>
<ax:ocx xmlns:ax="http://schemas.microsoft.com/office/2006/activeX" xmlns:r="http://schemas.openxmlformats.org/officeDocument/2006/relationships" ax:classid="{8BD21D30-EC42-11CE-9E0D-00AA006002F3}" ax:persistence="persistStreamInit" r:id="rId1"/>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_rels/vmlDrawing1.vml.rels><?xml version="1.0" encoding="UTF-8" standalone="yes"?>
<Relationships xmlns="http://schemas.openxmlformats.org/package/2006/relationships">
<Relationship Id="rId1" Target="../media/image4.emf" Type="http://schemas.openxmlformats.org/officeDocument/2006/relationships/image"/>
</Relationships>

</file>

<file path=xl/drawings/_rels/vmlDrawing2.vml.rels><?xml version="1.0" encoding="UTF-8" standalone="yes"?>
<Relationships xmlns="http://schemas.openxmlformats.org/package/2006/relationships">
<Relationship Id="rId1" Target="../media/image5.emf" Type="http://schemas.openxmlformats.org/officeDocument/2006/relationships/image"/>
</Relationships>

</file>

<file path=xl/drawings/_rels/vmlDrawing3.vml.rels><?xml version="1.0" encoding="UTF-8" standalone="yes"?>
<Relationships xmlns="http://schemas.openxmlformats.org/package/2006/relationships">
<Relationship Id="rId1" Target="../media/image6.emf" Type="http://schemas.openxmlformats.org/officeDocument/2006/relationships/image"/>
</Relationships>

</file>

<file path=xl/drawings/_rels/vmlDrawing4.vml.rels><?xml version="1.0" encoding="UTF-8" standalone="yes"?>
<Relationships xmlns="http://schemas.openxmlformats.org/package/2006/relationships">
<Relationship Id="rId1" Target="../media/image7.emf" Type="http://schemas.openxmlformats.org/officeDocument/2006/relationships/image"/>
</Relationships>

</file>

<file path=xl/drawings/_rels/vmlDrawing6.vml.rels><?xml version="1.0" encoding="UTF-8" standalone="yes"?>
<Relationships xmlns="http://schemas.openxmlformats.org/package/2006/relationships">
<Relationship Id="rId1" Target="../media/image8.emf"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1581150</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0</xdr:col>
      <xdr:colOff>2238375</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179</xdr:row>
      <xdr:rowOff>0</xdr:rowOff>
    </xdr:from>
    <xdr:to>
      <xdr:col>1</xdr:col>
      <xdr:colOff>409575</xdr:colOff>
      <xdr:row>202</xdr:row>
      <xdr:rowOff>104775</xdr:rowOff>
    </xdr:to>
    <xdr:pic>
      <xdr:nvPicPr>
        <xdr:cNvPr id="79873" name="Picture 1" descr="C:\Users\priscr\AppData\Local\Temp\MercuryPriceRatingHistoryChart\PYPL.O_2018_04_26_01_20_25.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7289125"/>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895350</xdr:colOff>
          <xdr:row>6</xdr:row>
          <xdr:rowOff>66675</xdr:rowOff>
        </xdr:from>
        <xdr:to>
          <xdr:col>1</xdr:col>
          <xdr:colOff>2352675</xdr:colOff>
          <xdr:row>6</xdr:row>
          <xdr:rowOff>342900</xdr:rowOff>
        </xdr:to>
        <xdr:sp macro="" textlink="">
          <xdr:nvSpPr>
            <xdr:cNvPr id="1025" name="ComboBox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xdr:col>
          <xdr:colOff>723900</xdr:colOff>
          <xdr:row>0</xdr:row>
          <xdr:rowOff>123825</xdr:rowOff>
        </xdr:from>
        <xdr:to>
          <xdr:col>1</xdr:col>
          <xdr:colOff>2657475</xdr:colOff>
          <xdr:row>2</xdr:row>
          <xdr:rowOff>114300</xdr:rowOff>
        </xdr:to>
        <xdr:sp macro="" textlink="">
          <xdr:nvSpPr>
            <xdr:cNvPr id="2049" name="ComboBox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781050</xdr:colOff>
          <xdr:row>1</xdr:row>
          <xdr:rowOff>142875</xdr:rowOff>
        </xdr:from>
        <xdr:to>
          <xdr:col>1</xdr:col>
          <xdr:colOff>3048000</xdr:colOff>
          <xdr:row>3</xdr:row>
          <xdr:rowOff>114300</xdr:rowOff>
        </xdr:to>
        <xdr:sp macro="" textlink="">
          <xdr:nvSpPr>
            <xdr:cNvPr id="3073" name="ComboBox1" hidden="1">
              <a:extLst>
                <a:ext uri="{63B3BB69-23CF-44E3-9099-C40C66FF867C}">
                  <a14:compatExt spid="_x0000_s3073"/>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742950</xdr:colOff>
          <xdr:row>2</xdr:row>
          <xdr:rowOff>47625</xdr:rowOff>
        </xdr:from>
        <xdr:to>
          <xdr:col>1</xdr:col>
          <xdr:colOff>2295525</xdr:colOff>
          <xdr:row>3</xdr:row>
          <xdr:rowOff>114300</xdr:rowOff>
        </xdr:to>
        <xdr:sp macro="" textlink="">
          <xdr:nvSpPr>
            <xdr:cNvPr id="5121" name="ComboBox1" hidden="1">
              <a:extLst>
                <a:ext uri="{63B3BB69-23CF-44E3-9099-C40C66FF867C}">
                  <a14:compatExt spid="_x0000_s5121"/>
                </a:ext>
              </a:extLst>
            </xdr:cNvPr>
            <xdr:cNvSpPr/>
          </xdr:nvSpPr>
          <xdr:spPr>
            <a:xfrm>
              <a:off x="0" y="0"/>
              <a:ext cx="0" cy="0"/>
            </a:xfrm>
            <a:prstGeom prst="rect">
              <a:avLst/>
            </a:prstGeom>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1</xdr:col>
          <xdr:colOff>657225</xdr:colOff>
          <xdr:row>3</xdr:row>
          <xdr:rowOff>57150</xdr:rowOff>
        </xdr:from>
        <xdr:to>
          <xdr:col>3</xdr:col>
          <xdr:colOff>219075</xdr:colOff>
          <xdr:row>5</xdr:row>
          <xdr:rowOff>95250</xdr:rowOff>
        </xdr:to>
        <xdr:sp macro="" textlink="">
          <xdr:nvSpPr>
            <xdr:cNvPr id="6145" name="ComboBox1" hidden="1">
              <a:extLst>
                <a:ext uri="{63B3BB69-23CF-44E3-9099-C40C66FF867C}">
                  <a14:compatExt spid="_x0000_s6145"/>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mailto:vasundhara.govil@morganstanley.com" TargetMode="External" Type="http://schemas.openxmlformats.org/officeDocument/2006/relationships/hyperlink"/>
<Relationship Id="rId2" Target="mailto:vasundhara.govil@morganstanley.com" TargetMode="External" Type="http://schemas.openxmlformats.org/officeDocument/2006/relationships/hyperlink"/>
<Relationship Id="rId3" Target="../printerSettings/printerSettings2.bin" Type="http://schemas.openxmlformats.org/officeDocument/2006/relationships/printerSettings"/>
<Relationship Id="rId4" Target="../drawings/drawing2.xml" Type="http://schemas.openxmlformats.org/officeDocument/2006/relationships/drawing"/>
<Relationship Id="rId5" Target="../drawings/vmlDrawing1.vml" Type="http://schemas.openxmlformats.org/officeDocument/2006/relationships/vmlDrawing"/>
<Relationship Id="rId6" Target="../activeX/activeX1.xml" Type="http://schemas.openxmlformats.org/officeDocument/2006/relationships/control"/>
<Relationship Id="rId7" Target="../media/image4.emf" Type="http://schemas.openxmlformats.org/officeDocument/2006/relationships/image"/>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 Id="rId2" Target="../drawings/drawing3.xml" Type="http://schemas.openxmlformats.org/officeDocument/2006/relationships/drawing"/>
<Relationship Id="rId3" Target="../drawings/vmlDrawing2.vml" Type="http://schemas.openxmlformats.org/officeDocument/2006/relationships/vmlDrawing"/>
<Relationship Id="rId4" Target="../activeX/activeX2.xml" Type="http://schemas.openxmlformats.org/officeDocument/2006/relationships/control"/>
<Relationship Id="rId5" Target="../media/image5.emf" Type="http://schemas.openxmlformats.org/officeDocument/2006/relationships/image"/>
<Relationship Id="rId6" Target="../comments1.xml" Type="http://schemas.openxmlformats.org/officeDocument/2006/relationships/comments"/>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 Id="rId2" Target="../drawings/drawing4.xml" Type="http://schemas.openxmlformats.org/officeDocument/2006/relationships/drawing"/>
<Relationship Id="rId3" Target="../drawings/vmlDrawing3.vml" Type="http://schemas.openxmlformats.org/officeDocument/2006/relationships/vmlDrawing"/>
<Relationship Id="rId4" Target="../activeX/activeX3.xml" Type="http://schemas.openxmlformats.org/officeDocument/2006/relationships/control"/>
<Relationship Id="rId5" Target="../media/image6.emf" Type="http://schemas.openxmlformats.org/officeDocument/2006/relationships/image"/>
<Relationship Id="rId6" Target="../comments2.xml" Type="http://schemas.openxmlformats.org/officeDocument/2006/relationships/comment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 Id="rId2" Target="../drawings/drawing5.xml" Type="http://schemas.openxmlformats.org/officeDocument/2006/relationships/drawing"/>
<Relationship Id="rId3" Target="../drawings/vmlDrawing4.vml" Type="http://schemas.openxmlformats.org/officeDocument/2006/relationships/vmlDrawing"/>
<Relationship Id="rId4" Target="../activeX/activeX4.xml" Type="http://schemas.openxmlformats.org/officeDocument/2006/relationships/control"/>
<Relationship Id="rId5" Target="../media/image7.emf" Type="http://schemas.openxmlformats.org/officeDocument/2006/relationships/image"/>
<Relationship Id="rId6"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 Id="rId2" Target="../drawings/vmlDrawing5.vml" Type="http://schemas.openxmlformats.org/officeDocument/2006/relationships/vmlDrawing"/>
<Relationship Id="rId3"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 Id="rId2" Target="../drawings/drawing6.xml" Type="http://schemas.openxmlformats.org/officeDocument/2006/relationships/drawing"/>
<Relationship Id="rId3" Target="../drawings/vmlDrawing6.vml" Type="http://schemas.openxmlformats.org/officeDocument/2006/relationships/vmlDrawing"/>
<Relationship Id="rId4" Target="../activeX/activeX5.xml" Type="http://schemas.openxmlformats.org/officeDocument/2006/relationships/control"/>
<Relationship Id="rId5" Target="../media/image8.emf" Type="http://schemas.openxmlformats.org/officeDocument/2006/relationships/image"/>
</Relationships>

</file>

<file path=xl/worksheets/_rels/sheet8.xml.rels><?xml version="1.0" encoding="UTF-8" standalone="yes"?>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yes"?>
<Relationships xmlns="http://schemas.openxmlformats.org/package/2006/relationships">
<Relationship Id="rId1" Target="../printerSettings/printerSettings9.bin" Type="http://schemas.openxmlformats.org/officeDocument/2006/relationships/printerSettings"/>
<Relationship Id="rId2" Target="../drawings/vmlDrawing7.vml" Type="http://schemas.openxmlformats.org/officeDocument/2006/relationships/vmlDrawing"/>
<Relationship Id="rId3" Target="../comments5.xml" Type="http://schemas.openxmlformats.org/officeDocument/2006/relationships/comments"/>
</Relationships>

</file>

<file path=xl/worksheets/_rels/sheet10.xml.rels><?xml version="1.0" encoding="UTF-8" standalone="yes"?>
<Relationships xmlns="http://schemas.openxmlformats.org/package/2006/relationships">
<Relationship Id="rId1" Target="../printerSettings/printerSettings10.bin" Type="http://schemas.openxmlformats.org/officeDocument/2006/relationships/printerSettings"/>
</Relationships>

</file>

<file path=xl/worksheets/_rels/sheet12.xml.rels><?xml version="1.0" encoding="UTF-8" standalone="yes"?>
<Relationships xmlns="http://schemas.openxmlformats.org/package/2006/relationships">
<Relationship Id="rId1" Target="../printerSettings/printerSettings11.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396"/>
  <sheetViews>
    <sheetView showGridLines="0" tabSelected="1" workbookViewId="0">
      <selection activeCell="A23" sqref="A23"/>
    </sheetView>
  </sheetViews>
  <sheetFormatPr defaultRowHeight="12.75"/>
  <cols>
    <col min="1" max="1" width="89.85546875" style="1313" customWidth="1"/>
    <col min="2" max="5" width="9.140625" style="1313"/>
    <col min="6" max="6" width="18.7109375" style="1313" customWidth="1"/>
    <col min="7" max="256" width="9.140625" style="1313"/>
    <col min="257" max="257" width="100.7109375" style="1313" customWidth="1"/>
    <col min="258" max="512" width="9.140625" style="1313"/>
    <col min="513" max="513" width="100.7109375" style="1313" customWidth="1"/>
    <col min="514" max="768" width="9.140625" style="1313"/>
    <col min="769" max="769" width="100.7109375" style="1313" customWidth="1"/>
    <col min="770" max="1024" width="9.140625" style="1313"/>
    <col min="1025" max="1025" width="100.7109375" style="1313" customWidth="1"/>
    <col min="1026" max="1280" width="9.140625" style="1313"/>
    <col min="1281" max="1281" width="100.7109375" style="1313" customWidth="1"/>
    <col min="1282" max="1536" width="9.140625" style="1313"/>
    <col min="1537" max="1537" width="100.7109375" style="1313" customWidth="1"/>
    <col min="1538" max="1792" width="9.140625" style="1313"/>
    <col min="1793" max="1793" width="100.7109375" style="1313" customWidth="1"/>
    <col min="1794" max="2048" width="9.140625" style="1313"/>
    <col min="2049" max="2049" width="100.7109375" style="1313" customWidth="1"/>
    <col min="2050" max="2304" width="9.140625" style="1313"/>
    <col min="2305" max="2305" width="100.7109375" style="1313" customWidth="1"/>
    <col min="2306" max="2560" width="9.140625" style="1313"/>
    <col min="2561" max="2561" width="100.7109375" style="1313" customWidth="1"/>
    <col min="2562" max="2816" width="9.140625" style="1313"/>
    <col min="2817" max="2817" width="100.7109375" style="1313" customWidth="1"/>
    <col min="2818" max="3072" width="9.140625" style="1313"/>
    <col min="3073" max="3073" width="100.7109375" style="1313" customWidth="1"/>
    <col min="3074" max="3328" width="9.140625" style="1313"/>
    <col min="3329" max="3329" width="100.7109375" style="1313" customWidth="1"/>
    <col min="3330" max="3584" width="9.140625" style="1313"/>
    <col min="3585" max="3585" width="100.7109375" style="1313" customWidth="1"/>
    <col min="3586" max="3840" width="9.140625" style="1313"/>
    <col min="3841" max="3841" width="100.7109375" style="1313" customWidth="1"/>
    <col min="3842" max="4096" width="9.140625" style="1313"/>
    <col min="4097" max="4097" width="100.7109375" style="1313" customWidth="1"/>
    <col min="4098" max="4352" width="9.140625" style="1313"/>
    <col min="4353" max="4353" width="100.7109375" style="1313" customWidth="1"/>
    <col min="4354" max="4608" width="9.140625" style="1313"/>
    <col min="4609" max="4609" width="100.7109375" style="1313" customWidth="1"/>
    <col min="4610" max="4864" width="9.140625" style="1313"/>
    <col min="4865" max="4865" width="100.7109375" style="1313" customWidth="1"/>
    <col min="4866" max="5120" width="9.140625" style="1313"/>
    <col min="5121" max="5121" width="100.7109375" style="1313" customWidth="1"/>
    <col min="5122" max="5376" width="9.140625" style="1313"/>
    <col min="5377" max="5377" width="100.7109375" style="1313" customWidth="1"/>
    <col min="5378" max="5632" width="9.140625" style="1313"/>
    <col min="5633" max="5633" width="100.7109375" style="1313" customWidth="1"/>
    <col min="5634" max="5888" width="9.140625" style="1313"/>
    <col min="5889" max="5889" width="100.7109375" style="1313" customWidth="1"/>
    <col min="5890" max="6144" width="9.140625" style="1313"/>
    <col min="6145" max="6145" width="100.7109375" style="1313" customWidth="1"/>
    <col min="6146" max="6400" width="9.140625" style="1313"/>
    <col min="6401" max="6401" width="100.7109375" style="1313" customWidth="1"/>
    <col min="6402" max="6656" width="9.140625" style="1313"/>
    <col min="6657" max="6657" width="100.7109375" style="1313" customWidth="1"/>
    <col min="6658" max="6912" width="9.140625" style="1313"/>
    <col min="6913" max="6913" width="100.7109375" style="1313" customWidth="1"/>
    <col min="6914" max="7168" width="9.140625" style="1313"/>
    <col min="7169" max="7169" width="100.7109375" style="1313" customWidth="1"/>
    <col min="7170" max="7424" width="9.140625" style="1313"/>
    <col min="7425" max="7425" width="100.7109375" style="1313" customWidth="1"/>
    <col min="7426" max="7680" width="9.140625" style="1313"/>
    <col min="7681" max="7681" width="100.7109375" style="1313" customWidth="1"/>
    <col min="7682" max="7936" width="9.140625" style="1313"/>
    <col min="7937" max="7937" width="100.7109375" style="1313" customWidth="1"/>
    <col min="7938" max="8192" width="9.140625" style="1313"/>
    <col min="8193" max="8193" width="100.7109375" style="1313" customWidth="1"/>
    <col min="8194" max="8448" width="9.140625" style="1313"/>
    <col min="8449" max="8449" width="100.7109375" style="1313" customWidth="1"/>
    <col min="8450" max="8704" width="9.140625" style="1313"/>
    <col min="8705" max="8705" width="100.7109375" style="1313" customWidth="1"/>
    <col min="8706" max="8960" width="9.140625" style="1313"/>
    <col min="8961" max="8961" width="100.7109375" style="1313" customWidth="1"/>
    <col min="8962" max="9216" width="9.140625" style="1313"/>
    <col min="9217" max="9217" width="100.7109375" style="1313" customWidth="1"/>
    <col min="9218" max="9472" width="9.140625" style="1313"/>
    <col min="9473" max="9473" width="100.7109375" style="1313" customWidth="1"/>
    <col min="9474" max="9728" width="9.140625" style="1313"/>
    <col min="9729" max="9729" width="100.7109375" style="1313" customWidth="1"/>
    <col min="9730" max="9984" width="9.140625" style="1313"/>
    <col min="9985" max="9985" width="100.7109375" style="1313" customWidth="1"/>
    <col min="9986" max="10240" width="9.140625" style="1313"/>
    <col min="10241" max="10241" width="100.7109375" style="1313" customWidth="1"/>
    <col min="10242" max="10496" width="9.140625" style="1313"/>
    <col min="10497" max="10497" width="100.7109375" style="1313" customWidth="1"/>
    <col min="10498" max="10752" width="9.140625" style="1313"/>
    <col min="10753" max="10753" width="100.7109375" style="1313" customWidth="1"/>
    <col min="10754" max="11008" width="9.140625" style="1313"/>
    <col min="11009" max="11009" width="100.7109375" style="1313" customWidth="1"/>
    <col min="11010" max="11264" width="9.140625" style="1313"/>
    <col min="11265" max="11265" width="100.7109375" style="1313" customWidth="1"/>
    <col min="11266" max="11520" width="9.140625" style="1313"/>
    <col min="11521" max="11521" width="100.7109375" style="1313" customWidth="1"/>
    <col min="11522" max="11776" width="9.140625" style="1313"/>
    <col min="11777" max="11777" width="100.7109375" style="1313" customWidth="1"/>
    <col min="11778" max="12032" width="9.140625" style="1313"/>
    <col min="12033" max="12033" width="100.7109375" style="1313" customWidth="1"/>
    <col min="12034" max="12288" width="9.140625" style="1313"/>
    <col min="12289" max="12289" width="100.7109375" style="1313" customWidth="1"/>
    <col min="12290" max="12544" width="9.140625" style="1313"/>
    <col min="12545" max="12545" width="100.7109375" style="1313" customWidth="1"/>
    <col min="12546" max="12800" width="9.140625" style="1313"/>
    <col min="12801" max="12801" width="100.7109375" style="1313" customWidth="1"/>
    <col min="12802" max="13056" width="9.140625" style="1313"/>
    <col min="13057" max="13057" width="100.7109375" style="1313" customWidth="1"/>
    <col min="13058" max="13312" width="9.140625" style="1313"/>
    <col min="13313" max="13313" width="100.7109375" style="1313" customWidth="1"/>
    <col min="13314" max="13568" width="9.140625" style="1313"/>
    <col min="13569" max="13569" width="100.7109375" style="1313" customWidth="1"/>
    <col min="13570" max="13824" width="9.140625" style="1313"/>
    <col min="13825" max="13825" width="100.7109375" style="1313" customWidth="1"/>
    <col min="13826" max="14080" width="9.140625" style="1313"/>
    <col min="14081" max="14081" width="100.7109375" style="1313" customWidth="1"/>
    <col min="14082" max="14336" width="9.140625" style="1313"/>
    <col min="14337" max="14337" width="100.7109375" style="1313" customWidth="1"/>
    <col min="14338" max="14592" width="9.140625" style="1313"/>
    <col min="14593" max="14593" width="100.7109375" style="1313" customWidth="1"/>
    <col min="14594" max="14848" width="9.140625" style="1313"/>
    <col min="14849" max="14849" width="100.7109375" style="1313" customWidth="1"/>
    <col min="14850" max="15104" width="9.140625" style="1313"/>
    <col min="15105" max="15105" width="100.7109375" style="1313" customWidth="1"/>
    <col min="15106" max="15360" width="9.140625" style="1313"/>
    <col min="15361" max="15361" width="100.7109375" style="1313" customWidth="1"/>
    <col min="15362" max="15616" width="9.140625" style="1313"/>
    <col min="15617" max="15617" width="100.7109375" style="1313" customWidth="1"/>
    <col min="15618" max="15872" width="9.140625" style="1313"/>
    <col min="15873" max="15873" width="100.7109375" style="1313" customWidth="1"/>
    <col min="15874" max="16128" width="9.140625" style="1313"/>
    <col min="16129" max="16129" width="100.7109375" style="1313" customWidth="1"/>
    <col min="16130" max="16384" width="9.140625" style="1313"/>
  </cols>
  <sheetData>
    <row r="1" spans="1:8" ht="30" customHeight="1">
      <c r="A1" s="1311"/>
      <c r="B1" s="1312"/>
      <c r="C1" s="1312"/>
      <c r="D1" s="1312"/>
      <c r="E1" s="1312"/>
      <c r="F1" s="1312"/>
      <c r="G1" s="1312"/>
      <c r="H1" s="1312"/>
    </row>
    <row r="2" spans="1:8" ht="14.25">
      <c r="A2" s="1314" t="s">
        <v>643</v>
      </c>
      <c r="B2" s="1312"/>
      <c r="C2" s="1312"/>
      <c r="D2" s="1312"/>
      <c r="E2" s="1312"/>
      <c r="F2" s="1312"/>
      <c r="G2" s="1312"/>
      <c r="H2" s="1312"/>
    </row>
    <row r="3" spans="1:8" ht="14.25">
      <c r="A3" s="1314" t="s">
        <v>644</v>
      </c>
      <c r="B3" s="1312"/>
      <c r="C3" s="1312"/>
      <c r="D3" s="1312"/>
      <c r="E3" s="1312"/>
      <c r="F3" s="1312"/>
      <c r="G3" s="1312"/>
      <c r="H3" s="1312"/>
    </row>
    <row r="4" spans="1:8" ht="14.25">
      <c r="A4" s="1314" t="s">
        <v>645</v>
      </c>
      <c r="B4" s="1312"/>
      <c r="C4" s="1312"/>
      <c r="D4" s="1312"/>
      <c r="E4" s="1312"/>
      <c r="F4" s="1312"/>
      <c r="G4" s="1312"/>
      <c r="H4" s="1312"/>
    </row>
    <row r="5" spans="1:8" ht="14.25">
      <c r="A5" s="1314" t="s">
        <v>646</v>
      </c>
      <c r="B5" s="1312"/>
      <c r="C5" s="1312"/>
      <c r="D5" s="1312"/>
      <c r="E5" s="1312"/>
      <c r="F5" s="1312"/>
      <c r="G5" s="1312"/>
      <c r="H5" s="1312"/>
    </row>
    <row r="6" spans="1:8" ht="14.25">
      <c r="A6" s="1314"/>
      <c r="B6" s="1312"/>
      <c r="C6" s="1312"/>
      <c r="D6" s="1312"/>
      <c r="E6" s="1312"/>
      <c r="F6" s="1312"/>
      <c r="G6" s="1312"/>
      <c r="H6" s="1312"/>
    </row>
    <row r="7" spans="1:8">
      <c r="A7" s="1311" t="s">
        <v>647</v>
      </c>
      <c r="B7" s="1312"/>
      <c r="C7" s="1312"/>
      <c r="D7" s="1312"/>
      <c r="E7" s="1312"/>
      <c r="F7" s="1312"/>
      <c r="G7" s="1312"/>
      <c r="H7" s="1312"/>
    </row>
    <row r="8" spans="1:8">
      <c r="A8" s="1311" t="s">
        <v>648</v>
      </c>
      <c r="B8" s="1312"/>
      <c r="C8" s="1312"/>
      <c r="D8" s="1312"/>
      <c r="E8" s="1312"/>
      <c r="F8" s="1312"/>
      <c r="G8" s="1312"/>
      <c r="H8" s="1312"/>
    </row>
    <row r="9" spans="1:8">
      <c r="A9" s="1311"/>
      <c r="B9" s="1312"/>
      <c r="C9" s="1312"/>
      <c r="D9" s="1312"/>
      <c r="E9" s="1312"/>
      <c r="F9" s="1312"/>
      <c r="G9" s="1312"/>
      <c r="H9" s="1312"/>
    </row>
    <row r="10" spans="1:8">
      <c r="A10" s="1315" t="s">
        <v>649</v>
      </c>
      <c r="B10" s="1312"/>
      <c r="C10" s="1312"/>
      <c r="D10" s="1312"/>
      <c r="E10" s="1312"/>
      <c r="F10" s="1312"/>
      <c r="G10" s="1312"/>
      <c r="H10" s="1312"/>
    </row>
    <row r="11" spans="1:8">
      <c r="A11" s="1315" t="s">
        <v>650</v>
      </c>
      <c r="B11" s="1312"/>
      <c r="C11" s="1312"/>
      <c r="D11" s="1312"/>
      <c r="E11" s="1312"/>
      <c r="F11" s="1312"/>
      <c r="G11" s="1312"/>
      <c r="H11" s="1312"/>
    </row>
    <row r="12" spans="1:8">
      <c r="A12" s="1315" t="s">
        <v>651</v>
      </c>
      <c r="B12" s="1312"/>
      <c r="C12" s="1312"/>
      <c r="D12" s="1312"/>
      <c r="E12" s="1312"/>
      <c r="F12" s="1312"/>
      <c r="G12" s="1312"/>
      <c r="H12" s="1312"/>
    </row>
    <row r="13" spans="1:8">
      <c r="A13" s="1315" t="s">
        <v>652</v>
      </c>
      <c r="B13" s="1312"/>
      <c r="C13" s="1312"/>
      <c r="D13" s="1312"/>
      <c r="E13" s="1312"/>
      <c r="F13" s="1312"/>
      <c r="G13" s="1312"/>
      <c r="H13" s="1312"/>
    </row>
    <row r="14" spans="1:8">
      <c r="A14" s="1315" t="s">
        <v>653</v>
      </c>
      <c r="B14" s="1312"/>
      <c r="C14" s="1312"/>
      <c r="D14" s="1312"/>
      <c r="E14" s="1312"/>
      <c r="F14" s="1312"/>
      <c r="G14" s="1312"/>
      <c r="H14" s="1312"/>
    </row>
    <row r="15" spans="1:8">
      <c r="A15" s="1315" t="s">
        <v>654</v>
      </c>
      <c r="B15" s="1312"/>
      <c r="C15" s="1312"/>
      <c r="D15" s="1312"/>
      <c r="E15" s="1312"/>
      <c r="F15" s="1312"/>
      <c r="G15" s="1312"/>
      <c r="H15" s="1312"/>
    </row>
    <row r="16" spans="1:8">
      <c r="A16" s="1315"/>
      <c r="B16" s="1312"/>
      <c r="C16" s="1312"/>
      <c r="D16" s="1312"/>
      <c r="E16" s="1312"/>
      <c r="F16" s="1312"/>
      <c r="G16" s="1312"/>
      <c r="H16" s="1312"/>
    </row>
    <row r="17" spans="1:8">
      <c r="A17" s="1315" t="s">
        <v>640</v>
      </c>
      <c r="B17" s="1312"/>
      <c r="C17" s="1312"/>
      <c r="D17" s="1312"/>
      <c r="E17" s="1312"/>
      <c r="F17" s="1312"/>
      <c r="G17" s="1312"/>
      <c r="H17" s="1312"/>
    </row>
    <row r="18" spans="1:8">
      <c r="A18" s="1315"/>
      <c r="B18" s="1312"/>
      <c r="C18" s="1312"/>
      <c r="D18" s="1312"/>
      <c r="E18" s="1312"/>
      <c r="F18" s="1312"/>
      <c r="G18" s="1312"/>
      <c r="H18" s="1312"/>
    </row>
    <row r="19" spans="1:8">
      <c r="A19" s="1315" t="s">
        <v>641</v>
      </c>
      <c r="B19" s="1312"/>
      <c r="C19" s="1312"/>
      <c r="D19" s="1312"/>
      <c r="E19" s="1312"/>
      <c r="F19" s="1312"/>
      <c r="G19" s="1312"/>
      <c r="H19" s="1312"/>
    </row>
    <row r="20" spans="1:8">
      <c r="A20" s="1311"/>
      <c r="B20" s="1312"/>
      <c r="C20" s="1312"/>
      <c r="D20" s="1312"/>
      <c r="E20" s="1312"/>
      <c r="F20" s="1312"/>
      <c r="G20" s="1312"/>
      <c r="H20" s="1312"/>
    </row>
    <row r="21" spans="1:8">
      <c r="A21" s="1316" t="s">
        <v>642</v>
      </c>
      <c r="B21" s="1312"/>
      <c r="C21" s="1312"/>
      <c r="D21" s="1312"/>
      <c r="E21" s="1312"/>
      <c r="F21" s="1312"/>
      <c r="G21" s="1312"/>
      <c r="H21" s="1312"/>
    </row>
    <row r="22" spans="1:8">
      <c r="A22" s="1316"/>
      <c r="B22" s="1319"/>
      <c r="C22" s="1319"/>
      <c r="D22" s="1319"/>
      <c r="E22" s="1319"/>
      <c r="F22" s="1319"/>
      <c r="G22" s="1319"/>
      <c r="H22" s="1319"/>
    </row>
    <row r="23" spans="1:8" ht="51">
      <c r="A23" s="1342" t="s">
        <v>1007</v>
      </c>
      <c r="B23" s="1319"/>
      <c r="C23" s="1319"/>
      <c r="D23" s="1319"/>
      <c r="E23" s="1319"/>
      <c r="F23" s="1319"/>
      <c r="G23" s="1319"/>
      <c r="H23" s="1319"/>
    </row>
    <row r="24" spans="1:8">
      <c r="A24" s="1312"/>
      <c r="B24" s="1312"/>
      <c r="C24" s="1312"/>
      <c r="D24" s="1312"/>
      <c r="E24" s="1312"/>
      <c r="F24" s="1312"/>
      <c r="G24" s="1312"/>
      <c r="H24" s="1312"/>
    </row>
    <row r="25" spans="1:8">
      <c r="A25" s="1317" t="s">
        <v>934</v>
      </c>
      <c r="B25" s="1312"/>
      <c r="C25" s="1312"/>
      <c r="D25" s="1312"/>
      <c r="E25" s="1312"/>
      <c r="F25" s="1312"/>
      <c r="G25" s="1312"/>
      <c r="H25" s="1312"/>
    </row>
    <row r="26" spans="1:8">
      <c r="A26" s="1317" t="s">
        <v>935</v>
      </c>
      <c r="B26" s="1312"/>
      <c r="C26" s="1312"/>
      <c r="D26" s="1312"/>
      <c r="E26" s="1312"/>
      <c r="F26" s="1312"/>
      <c r="G26" s="1312"/>
      <c r="H26" s="1312"/>
    </row>
    <row r="27" spans="1:8">
      <c r="A27" s="1317" t="s">
        <v>936</v>
      </c>
      <c r="B27" s="1312"/>
      <c r="C27" s="1312"/>
      <c r="D27" s="1312"/>
      <c r="E27" s="1312"/>
      <c r="F27" s="1312"/>
      <c r="G27" s="1312"/>
      <c r="H27" s="1312"/>
    </row>
    <row r="28" spans="1:8">
      <c r="A28" s="1317" t="s">
        <v>937</v>
      </c>
      <c r="B28" s="1312"/>
      <c r="C28" s="1312"/>
      <c r="D28" s="1312"/>
      <c r="E28" s="1312"/>
      <c r="F28" s="1312"/>
      <c r="G28" s="1312"/>
      <c r="H28" s="1312"/>
    </row>
    <row r="29" spans="1:8">
      <c r="A29" s="1312"/>
      <c r="B29" s="1312"/>
      <c r="C29" s="1312"/>
      <c r="D29" s="1312"/>
      <c r="E29" s="1312"/>
      <c r="F29" s="1312"/>
      <c r="G29" s="1312"/>
      <c r="H29" s="1312"/>
    </row>
    <row r="30" spans="1:8">
      <c r="A30" s="1312"/>
      <c r="B30" s="1312"/>
      <c r="C30" s="1312"/>
      <c r="D30" s="1312"/>
      <c r="E30" s="1312"/>
      <c r="F30" s="1312"/>
      <c r="G30" s="1312"/>
      <c r="H30" s="1312"/>
    </row>
    <row r="31" spans="1:8">
      <c r="A31" s="1317" t="s">
        <v>929</v>
      </c>
      <c r="B31" s="1312"/>
      <c r="C31" s="1312"/>
      <c r="D31" s="1312"/>
      <c r="E31" s="1312"/>
      <c r="F31" s="1312"/>
      <c r="G31" s="1312"/>
      <c r="H31" s="1312"/>
    </row>
    <row r="32" spans="1:8">
      <c r="A32" s="1317" t="s">
        <v>930</v>
      </c>
      <c r="B32" s="1312"/>
      <c r="C32" s="1312"/>
      <c r="D32" s="1312"/>
      <c r="E32" s="1312"/>
      <c r="F32" s="1312"/>
      <c r="G32" s="1312"/>
      <c r="H32" s="1312"/>
    </row>
    <row r="33" spans="1:8">
      <c r="A33" s="1317" t="s">
        <v>931</v>
      </c>
      <c r="B33" s="1312"/>
      <c r="C33" s="1312"/>
      <c r="D33" s="1312"/>
      <c r="E33" s="1312"/>
      <c r="F33" s="1312"/>
      <c r="G33" s="1312"/>
      <c r="H33" s="1312"/>
    </row>
    <row r="34" spans="1:8">
      <c r="A34" s="1317" t="s">
        <v>932</v>
      </c>
      <c r="B34" s="1312"/>
      <c r="C34" s="1312"/>
      <c r="D34" s="1312"/>
      <c r="E34" s="1312"/>
      <c r="F34" s="1312"/>
      <c r="G34" s="1312"/>
      <c r="H34" s="1312"/>
    </row>
    <row r="35" spans="1:8">
      <c r="A35" s="1317" t="s">
        <v>933</v>
      </c>
      <c r="B35" s="1312"/>
      <c r="C35" s="1312"/>
      <c r="D35" s="1312"/>
      <c r="E35" s="1312"/>
      <c r="F35" s="1312"/>
      <c r="G35" s="1312"/>
      <c r="H35" s="1312"/>
    </row>
    <row r="36" spans="1:8">
      <c r="A36" s="1312"/>
      <c r="B36" s="1312"/>
      <c r="C36" s="1312"/>
      <c r="D36" s="1312"/>
      <c r="E36" s="1312"/>
      <c r="F36" s="1312"/>
      <c r="G36" s="1312"/>
      <c r="H36" s="1312"/>
    </row>
    <row r="37" spans="1:8">
      <c r="A37" s="1317" t="s">
        <v>925</v>
      </c>
      <c r="B37" s="1312"/>
      <c r="C37" s="1312"/>
      <c r="D37" s="1312"/>
      <c r="E37" s="1312"/>
      <c r="F37" s="1312"/>
      <c r="G37" s="1312"/>
      <c r="H37" s="1312"/>
    </row>
    <row r="38" spans="1:8">
      <c r="A38" s="1317" t="s">
        <v>926</v>
      </c>
      <c r="B38" s="1312"/>
      <c r="C38" s="1312"/>
      <c r="D38" s="1312"/>
      <c r="E38" s="1312"/>
      <c r="F38" s="1312"/>
      <c r="G38" s="1312"/>
      <c r="H38" s="1312"/>
    </row>
    <row r="39" spans="1:8">
      <c r="A39" s="1317" t="s">
        <v>927</v>
      </c>
      <c r="B39" s="1312"/>
      <c r="C39" s="1312"/>
      <c r="D39" s="1312"/>
      <c r="E39" s="1312"/>
      <c r="F39" s="1312"/>
      <c r="G39" s="1312"/>
      <c r="H39" s="1312"/>
    </row>
    <row r="40" spans="1:8">
      <c r="A40" s="1317" t="s">
        <v>928</v>
      </c>
      <c r="B40" s="1312"/>
      <c r="C40" s="1312"/>
      <c r="D40" s="1312"/>
      <c r="E40" s="1312"/>
      <c r="F40" s="1312"/>
      <c r="G40" s="1312"/>
      <c r="H40" s="1312"/>
    </row>
    <row r="41" spans="1:8">
      <c r="A41" s="1312"/>
      <c r="B41" s="1312"/>
      <c r="C41" s="1312"/>
      <c r="D41" s="1312"/>
      <c r="E41" s="1312"/>
      <c r="F41" s="1312"/>
      <c r="G41" s="1312"/>
      <c r="H41" s="1312"/>
    </row>
    <row r="42" spans="1:8">
      <c r="A42" s="1317" t="s">
        <v>919</v>
      </c>
      <c r="B42" s="1312"/>
      <c r="C42" s="1312"/>
      <c r="D42" s="1312"/>
      <c r="E42" s="1312"/>
      <c r="F42" s="1312"/>
      <c r="G42" s="1312"/>
      <c r="H42" s="1312"/>
    </row>
    <row r="43" spans="1:8">
      <c r="A43" s="1317" t="s">
        <v>920</v>
      </c>
      <c r="B43" s="1312"/>
      <c r="C43" s="1312"/>
      <c r="D43" s="1312"/>
      <c r="E43" s="1312"/>
      <c r="F43" s="1312"/>
      <c r="G43" s="1312"/>
      <c r="H43" s="1312"/>
    </row>
    <row r="44" spans="1:8">
      <c r="A44" s="1317" t="s">
        <v>921</v>
      </c>
      <c r="B44" s="1312"/>
      <c r="C44" s="1312"/>
      <c r="D44" s="1312"/>
      <c r="E44" s="1312"/>
      <c r="F44" s="1312"/>
      <c r="G44" s="1312"/>
      <c r="H44" s="1312"/>
    </row>
    <row r="45" spans="1:8">
      <c r="A45" s="1317" t="s">
        <v>922</v>
      </c>
      <c r="B45" s="1312"/>
      <c r="C45" s="1312"/>
      <c r="D45" s="1312"/>
      <c r="E45" s="1312"/>
      <c r="F45" s="1312"/>
      <c r="G45" s="1312"/>
      <c r="H45" s="1312"/>
    </row>
    <row r="46" spans="1:8">
      <c r="A46" s="1317" t="s">
        <v>923</v>
      </c>
      <c r="B46" s="1312"/>
      <c r="C46" s="1312"/>
      <c r="D46" s="1312"/>
      <c r="E46" s="1312"/>
      <c r="F46" s="1312"/>
      <c r="G46" s="1312"/>
      <c r="H46" s="1312"/>
    </row>
    <row r="47" spans="1:8">
      <c r="A47" s="1317" t="s">
        <v>924</v>
      </c>
      <c r="B47" s="1312"/>
      <c r="C47" s="1312"/>
      <c r="D47" s="1312"/>
      <c r="E47" s="1312"/>
      <c r="F47" s="1312"/>
      <c r="G47" s="1312"/>
      <c r="H47" s="1312"/>
    </row>
    <row r="48" spans="1:8">
      <c r="A48" s="1312"/>
      <c r="B48" s="1312"/>
      <c r="C48" s="1312"/>
      <c r="D48" s="1312"/>
      <c r="E48" s="1312"/>
      <c r="F48" s="1312"/>
      <c r="G48" s="1312"/>
      <c r="H48" s="1312"/>
    </row>
    <row r="49" spans="1:8" ht="15.75">
      <c r="A49" s="1318" t="s">
        <v>655</v>
      </c>
      <c r="B49" s="1312"/>
      <c r="C49" s="1312"/>
      <c r="D49" s="1312"/>
      <c r="E49" s="1312"/>
      <c r="F49" s="1312"/>
      <c r="G49" s="1312"/>
      <c r="H49" s="1312"/>
    </row>
    <row r="50" spans="1:8">
      <c r="A50" s="1312"/>
      <c r="B50" s="1312"/>
      <c r="C50" s="1312"/>
      <c r="D50" s="1312"/>
      <c r="E50" s="1312"/>
      <c r="F50" s="1312"/>
      <c r="G50" s="1312"/>
      <c r="H50" s="1312"/>
    </row>
    <row r="51" spans="1:8">
      <c r="A51" s="1317" t="s">
        <v>915</v>
      </c>
      <c r="B51" s="1312"/>
      <c r="C51" s="1312"/>
      <c r="D51" s="1312"/>
      <c r="E51" s="1312"/>
      <c r="F51" s="1312"/>
      <c r="G51" s="1312"/>
      <c r="H51" s="1312"/>
    </row>
    <row r="52" spans="1:8">
      <c r="A52" s="1317" t="s">
        <v>916</v>
      </c>
      <c r="B52" s="1312"/>
      <c r="C52" s="1312"/>
      <c r="D52" s="1312"/>
      <c r="E52" s="1312"/>
      <c r="F52" s="1312"/>
      <c r="G52" s="1312"/>
      <c r="H52" s="1312"/>
    </row>
    <row r="53" spans="1:8">
      <c r="A53" s="1317" t="s">
        <v>917</v>
      </c>
      <c r="B53" s="1312"/>
      <c r="C53" s="1312"/>
      <c r="D53" s="1312"/>
      <c r="E53" s="1312"/>
      <c r="F53" s="1312"/>
      <c r="G53" s="1312"/>
      <c r="H53" s="1312"/>
    </row>
    <row r="54" spans="1:8">
      <c r="A54" s="1317" t="s">
        <v>918</v>
      </c>
      <c r="B54" s="1312"/>
      <c r="C54" s="1312"/>
      <c r="D54" s="1312"/>
      <c r="E54" s="1312"/>
      <c r="F54" s="1312"/>
      <c r="G54" s="1312"/>
      <c r="H54" s="1312"/>
    </row>
    <row r="55" spans="1:8">
      <c r="A55" s="1312"/>
      <c r="B55" s="1312"/>
      <c r="C55" s="1312"/>
      <c r="D55" s="1312"/>
      <c r="E55" s="1312"/>
      <c r="F55" s="1312"/>
      <c r="G55" s="1312"/>
      <c r="H55" s="1312"/>
    </row>
    <row r="56" spans="1:8">
      <c r="A56" s="1317" t="s">
        <v>656</v>
      </c>
      <c r="B56" s="1312"/>
      <c r="C56" s="1312"/>
      <c r="D56" s="1312"/>
      <c r="E56" s="1312"/>
      <c r="F56" s="1312"/>
      <c r="G56" s="1312"/>
      <c r="H56" s="1312"/>
    </row>
    <row r="57" spans="1:8">
      <c r="A57" s="1312"/>
      <c r="B57" s="1312"/>
      <c r="C57" s="1312"/>
      <c r="D57" s="1312"/>
      <c r="E57" s="1312"/>
      <c r="F57" s="1312"/>
      <c r="G57" s="1312"/>
      <c r="H57" s="1312"/>
    </row>
    <row r="58" spans="1:8" ht="15.75">
      <c r="A58" s="1318" t="s">
        <v>657</v>
      </c>
      <c r="B58" s="1312"/>
      <c r="C58" s="1312"/>
      <c r="D58" s="1312"/>
      <c r="E58" s="1312"/>
      <c r="F58" s="1312"/>
      <c r="G58" s="1312"/>
      <c r="H58" s="1312"/>
    </row>
    <row r="59" spans="1:8">
      <c r="A59" s="1312"/>
      <c r="B59" s="1312"/>
      <c r="C59" s="1312"/>
      <c r="D59" s="1312"/>
      <c r="E59" s="1312"/>
      <c r="F59" s="1312"/>
      <c r="G59" s="1312"/>
      <c r="H59" s="1312"/>
    </row>
    <row r="60" spans="1:8">
      <c r="A60" s="1317" t="s">
        <v>913</v>
      </c>
      <c r="B60" s="1312"/>
      <c r="C60" s="1312"/>
      <c r="D60" s="1312"/>
      <c r="E60" s="1312"/>
      <c r="F60" s="1312"/>
      <c r="G60" s="1312"/>
      <c r="H60" s="1312"/>
    </row>
    <row r="61" spans="1:8">
      <c r="A61" s="1317" t="s">
        <v>914</v>
      </c>
      <c r="B61" s="1312"/>
      <c r="C61" s="1312"/>
      <c r="D61" s="1312"/>
      <c r="E61" s="1312"/>
      <c r="F61" s="1312"/>
      <c r="G61" s="1312"/>
      <c r="H61" s="1312"/>
    </row>
    <row r="62" spans="1:8">
      <c r="A62" s="1312"/>
      <c r="B62" s="1312"/>
      <c r="C62" s="1312"/>
      <c r="D62" s="1312"/>
      <c r="E62" s="1312"/>
      <c r="F62" s="1312"/>
      <c r="G62" s="1312"/>
      <c r="H62" s="1312"/>
    </row>
    <row r="63" spans="1:8" ht="15.75">
      <c r="A63" s="1318" t="s">
        <v>658</v>
      </c>
      <c r="B63" s="1312"/>
      <c r="C63" s="1312"/>
      <c r="D63" s="1312"/>
      <c r="E63" s="1312"/>
      <c r="F63" s="1312"/>
      <c r="G63" s="1312"/>
      <c r="H63" s="1312"/>
    </row>
    <row r="64" spans="1:8">
      <c r="A64" s="1312"/>
      <c r="B64" s="1312"/>
      <c r="C64" s="1312"/>
      <c r="D64" s="1312"/>
      <c r="E64" s="1312"/>
      <c r="F64" s="1312"/>
      <c r="G64" s="1312"/>
      <c r="H64" s="1312"/>
    </row>
    <row r="65" spans="1:8">
      <c r="A65" s="1317" t="s">
        <v>911</v>
      </c>
      <c r="B65" s="1312"/>
      <c r="C65" s="1312"/>
      <c r="D65" s="1312"/>
      <c r="E65" s="1312"/>
      <c r="F65" s="1312"/>
      <c r="G65" s="1312"/>
      <c r="H65" s="1312"/>
    </row>
    <row r="66" spans="1:8">
      <c r="A66" s="1317" t="s">
        <v>912</v>
      </c>
      <c r="B66" s="1312"/>
      <c r="C66" s="1312"/>
      <c r="D66" s="1312"/>
      <c r="E66" s="1312"/>
      <c r="F66" s="1312"/>
      <c r="G66" s="1312"/>
      <c r="H66" s="1312"/>
    </row>
    <row r="67" spans="1:8">
      <c r="A67" s="1312"/>
      <c r="B67" s="1312"/>
      <c r="C67" s="1312"/>
      <c r="D67" s="1312"/>
      <c r="E67" s="1312"/>
      <c r="F67" s="1312"/>
      <c r="G67" s="1312"/>
      <c r="H67" s="1312"/>
    </row>
    <row r="68" spans="1:8">
      <c r="A68" s="1317" t="s">
        <v>909</v>
      </c>
      <c r="B68" s="1312"/>
      <c r="C68" s="1312"/>
      <c r="D68" s="1312"/>
      <c r="E68" s="1312"/>
      <c r="F68" s="1312"/>
      <c r="G68" s="1312"/>
      <c r="H68" s="1312"/>
    </row>
    <row r="69" spans="1:8">
      <c r="A69" s="1317" t="s">
        <v>910</v>
      </c>
      <c r="B69" s="1312"/>
      <c r="C69" s="1312"/>
      <c r="D69" s="1312"/>
      <c r="E69" s="1312"/>
      <c r="F69" s="1312"/>
      <c r="G69" s="1312"/>
      <c r="H69" s="1312"/>
    </row>
    <row r="70" spans="1:8">
      <c r="A70" s="1312"/>
      <c r="B70" s="1312"/>
      <c r="C70" s="1312"/>
      <c r="D70" s="1312"/>
      <c r="E70" s="1312"/>
      <c r="F70" s="1312"/>
      <c r="G70" s="1312"/>
      <c r="H70" s="1312"/>
    </row>
    <row r="71" spans="1:8">
      <c r="A71" s="1317" t="s">
        <v>907</v>
      </c>
      <c r="B71" s="1312"/>
      <c r="C71" s="1312"/>
      <c r="D71" s="1312"/>
      <c r="E71" s="1312"/>
      <c r="F71" s="1312"/>
      <c r="G71" s="1312"/>
      <c r="H71" s="1312"/>
    </row>
    <row r="72" spans="1:8">
      <c r="A72" s="1317" t="s">
        <v>908</v>
      </c>
      <c r="B72" s="1312"/>
      <c r="C72" s="1312"/>
      <c r="D72" s="1312"/>
      <c r="E72" s="1312"/>
      <c r="F72" s="1312"/>
      <c r="G72" s="1312"/>
      <c r="H72" s="1312"/>
    </row>
    <row r="73" spans="1:8">
      <c r="A73" s="1312"/>
      <c r="B73" s="1312"/>
      <c r="C73" s="1312"/>
      <c r="D73" s="1312"/>
      <c r="E73" s="1312"/>
      <c r="F73" s="1312"/>
      <c r="G73" s="1312"/>
      <c r="H73" s="1312"/>
    </row>
    <row r="74" spans="1:8">
      <c r="A74" s="1317" t="s">
        <v>905</v>
      </c>
      <c r="B74" s="1312"/>
      <c r="C74" s="1312"/>
      <c r="D74" s="1312"/>
      <c r="E74" s="1312"/>
      <c r="F74" s="1312"/>
      <c r="G74" s="1312"/>
      <c r="H74" s="1312"/>
    </row>
    <row r="75" spans="1:8">
      <c r="A75" s="1317" t="s">
        <v>906</v>
      </c>
      <c r="B75" s="1312"/>
      <c r="C75" s="1312"/>
      <c r="D75" s="1312"/>
      <c r="E75" s="1312"/>
      <c r="F75" s="1312"/>
      <c r="G75" s="1312"/>
      <c r="H75" s="1312"/>
    </row>
    <row r="76" spans="1:8">
      <c r="A76" s="1312"/>
      <c r="B76" s="1312"/>
      <c r="C76" s="1312"/>
      <c r="D76" s="1312"/>
      <c r="E76" s="1312"/>
      <c r="F76" s="1312"/>
      <c r="G76" s="1312"/>
      <c r="H76" s="1312"/>
    </row>
    <row r="77" spans="1:8">
      <c r="A77" s="1317" t="s">
        <v>902</v>
      </c>
      <c r="B77" s="1312"/>
      <c r="C77" s="1312"/>
      <c r="D77" s="1312"/>
      <c r="E77" s="1312"/>
      <c r="F77" s="1312"/>
      <c r="G77" s="1312"/>
      <c r="H77" s="1312"/>
    </row>
    <row r="78" spans="1:8">
      <c r="A78" s="1317" t="s">
        <v>903</v>
      </c>
      <c r="B78" s="1312"/>
      <c r="C78" s="1312"/>
      <c r="D78" s="1312"/>
      <c r="E78" s="1312"/>
      <c r="F78" s="1312"/>
      <c r="G78" s="1312"/>
      <c r="H78" s="1312"/>
    </row>
    <row r="79" spans="1:8">
      <c r="A79" s="1317" t="s">
        <v>904</v>
      </c>
      <c r="B79" s="1312"/>
      <c r="C79" s="1312"/>
      <c r="D79" s="1312"/>
      <c r="E79" s="1312"/>
      <c r="F79" s="1312"/>
      <c r="G79" s="1312"/>
      <c r="H79" s="1312"/>
    </row>
    <row r="80" spans="1:8">
      <c r="A80" s="1312"/>
      <c r="B80" s="1312"/>
      <c r="C80" s="1312"/>
      <c r="D80" s="1312"/>
      <c r="E80" s="1312"/>
      <c r="F80" s="1312"/>
      <c r="G80" s="1312"/>
      <c r="H80" s="1312"/>
    </row>
    <row r="81" spans="1:8">
      <c r="A81" s="1317" t="s">
        <v>659</v>
      </c>
      <c r="B81" s="1312"/>
      <c r="C81" s="1312"/>
      <c r="D81" s="1312"/>
      <c r="E81" s="1312"/>
      <c r="F81" s="1312"/>
      <c r="G81" s="1312"/>
      <c r="H81" s="1312"/>
    </row>
    <row r="82" spans="1:8">
      <c r="A82" s="1312"/>
      <c r="B82" s="1312"/>
      <c r="C82" s="1312"/>
      <c r="D82" s="1312"/>
      <c r="E82" s="1312"/>
      <c r="F82" s="1312"/>
      <c r="G82" s="1312"/>
      <c r="H82" s="1312"/>
    </row>
    <row r="83" spans="1:8">
      <c r="A83" s="1317" t="s">
        <v>897</v>
      </c>
      <c r="B83" s="1312"/>
      <c r="C83" s="1312"/>
      <c r="D83" s="1312"/>
      <c r="E83" s="1312"/>
      <c r="F83" s="1312"/>
      <c r="G83" s="1312"/>
      <c r="H83" s="1312"/>
    </row>
    <row r="84" spans="1:8">
      <c r="A84" s="1317" t="s">
        <v>898</v>
      </c>
      <c r="B84" s="1312"/>
      <c r="C84" s="1312"/>
      <c r="D84" s="1312"/>
      <c r="E84" s="1312"/>
      <c r="F84" s="1312"/>
      <c r="G84" s="1312"/>
      <c r="H84" s="1312"/>
    </row>
    <row r="85" spans="1:8">
      <c r="A85" s="1317" t="s">
        <v>899</v>
      </c>
      <c r="B85" s="1312"/>
      <c r="C85" s="1312"/>
      <c r="D85" s="1312"/>
      <c r="E85" s="1312"/>
      <c r="F85" s="1312"/>
      <c r="G85" s="1312"/>
      <c r="H85" s="1312"/>
    </row>
    <row r="86" spans="1:8">
      <c r="A86" s="1317" t="s">
        <v>900</v>
      </c>
      <c r="B86" s="1312"/>
      <c r="C86" s="1312"/>
      <c r="D86" s="1312"/>
      <c r="E86" s="1312"/>
      <c r="F86" s="1312"/>
      <c r="G86" s="1312"/>
      <c r="H86" s="1312"/>
    </row>
    <row r="87" spans="1:8">
      <c r="A87" s="1317" t="s">
        <v>901</v>
      </c>
      <c r="B87" s="1312"/>
      <c r="C87" s="1312"/>
      <c r="D87" s="1312"/>
      <c r="E87" s="1312"/>
      <c r="F87" s="1312"/>
      <c r="G87" s="1312"/>
      <c r="H87" s="1312"/>
    </row>
    <row r="88" spans="1:8">
      <c r="A88" s="1317" t="s">
        <v>784</v>
      </c>
      <c r="B88" s="1312"/>
      <c r="C88" s="1312"/>
      <c r="D88" s="1312"/>
      <c r="E88" s="1312"/>
      <c r="F88" s="1312"/>
      <c r="G88" s="1312"/>
      <c r="H88" s="1312"/>
    </row>
    <row r="89" spans="1:8">
      <c r="A89" s="1312"/>
      <c r="B89" s="1312"/>
      <c r="C89" s="1312"/>
      <c r="D89" s="1312"/>
      <c r="E89" s="1312"/>
      <c r="F89" s="1312"/>
      <c r="G89" s="1312"/>
      <c r="H89" s="1312"/>
    </row>
    <row r="90" spans="1:8">
      <c r="A90" s="1317" t="s">
        <v>890</v>
      </c>
      <c r="B90" s="1312"/>
      <c r="C90" s="1312"/>
      <c r="D90" s="1312"/>
      <c r="E90" s="1312"/>
      <c r="F90" s="1312"/>
      <c r="G90" s="1312"/>
      <c r="H90" s="1312"/>
    </row>
    <row r="91" spans="1:8">
      <c r="A91" s="1317" t="s">
        <v>891</v>
      </c>
      <c r="B91" s="1312"/>
      <c r="C91" s="1312"/>
      <c r="D91" s="1312"/>
      <c r="E91" s="1312"/>
      <c r="F91" s="1312"/>
      <c r="G91" s="1312"/>
      <c r="H91" s="1312"/>
    </row>
    <row r="92" spans="1:8">
      <c r="A92" s="1317" t="s">
        <v>892</v>
      </c>
      <c r="B92" s="1312"/>
      <c r="C92" s="1312"/>
      <c r="D92" s="1312"/>
      <c r="E92" s="1312"/>
      <c r="F92" s="1312"/>
      <c r="G92" s="1312"/>
      <c r="H92" s="1312"/>
    </row>
    <row r="93" spans="1:8">
      <c r="A93" s="1317" t="s">
        <v>893</v>
      </c>
      <c r="B93" s="1312"/>
      <c r="C93" s="1312"/>
      <c r="D93" s="1312"/>
      <c r="E93" s="1312"/>
      <c r="F93" s="1312"/>
      <c r="G93" s="1312"/>
      <c r="H93" s="1312"/>
    </row>
    <row r="94" spans="1:8">
      <c r="A94" s="1317" t="s">
        <v>894</v>
      </c>
      <c r="B94" s="1312"/>
      <c r="C94" s="1312"/>
      <c r="D94" s="1312"/>
      <c r="E94" s="1312"/>
      <c r="F94" s="1312"/>
      <c r="G94" s="1312"/>
      <c r="H94" s="1312"/>
    </row>
    <row r="95" spans="1:8">
      <c r="A95" s="1317" t="s">
        <v>895</v>
      </c>
      <c r="B95" s="1312"/>
      <c r="C95" s="1312"/>
      <c r="D95" s="1312"/>
      <c r="E95" s="1312"/>
      <c r="F95" s="1312"/>
      <c r="G95" s="1312"/>
      <c r="H95" s="1312"/>
    </row>
    <row r="96" spans="1:8">
      <c r="A96" s="1317" t="s">
        <v>896</v>
      </c>
      <c r="B96" s="1312"/>
      <c r="C96" s="1312"/>
      <c r="D96" s="1312"/>
      <c r="E96" s="1312"/>
      <c r="F96" s="1312"/>
      <c r="G96" s="1312"/>
      <c r="H96" s="1312"/>
    </row>
    <row r="97" spans="1:8">
      <c r="A97" s="1312"/>
      <c r="B97" s="1312"/>
      <c r="C97" s="1312"/>
      <c r="D97" s="1312"/>
      <c r="E97" s="1312"/>
      <c r="F97" s="1312"/>
      <c r="G97" s="1312"/>
      <c r="H97" s="1312"/>
    </row>
    <row r="98" spans="1:8">
      <c r="A98" s="1317" t="s">
        <v>888</v>
      </c>
      <c r="B98" s="1312"/>
      <c r="C98" s="1312"/>
      <c r="D98" s="1312"/>
      <c r="E98" s="1312"/>
      <c r="F98" s="1312"/>
      <c r="G98" s="1312"/>
      <c r="H98" s="1312"/>
    </row>
    <row r="99" spans="1:8">
      <c r="A99" s="1317" t="s">
        <v>889</v>
      </c>
      <c r="B99" s="1312"/>
      <c r="C99" s="1312"/>
      <c r="D99" s="1312"/>
      <c r="E99" s="1312"/>
      <c r="F99" s="1312"/>
      <c r="G99" s="1312"/>
      <c r="H99" s="1312"/>
    </row>
    <row r="100" spans="1:8">
      <c r="A100" s="1312"/>
      <c r="B100" s="1312"/>
      <c r="C100" s="1312"/>
      <c r="D100" s="1312"/>
      <c r="E100" s="1312"/>
      <c r="F100" s="1312"/>
      <c r="G100" s="1312"/>
      <c r="H100" s="1312"/>
    </row>
    <row r="101" spans="1:8" ht="15.75">
      <c r="A101" s="1318" t="s">
        <v>660</v>
      </c>
      <c r="B101" s="1312"/>
      <c r="C101" s="1312"/>
      <c r="D101" s="1312"/>
      <c r="E101" s="1312"/>
      <c r="F101" s="1312"/>
      <c r="G101" s="1312"/>
      <c r="H101" s="1312"/>
    </row>
    <row r="102" spans="1:8">
      <c r="A102" s="1312"/>
      <c r="B102" s="1312"/>
      <c r="C102" s="1312"/>
      <c r="D102" s="1312"/>
      <c r="E102" s="1312"/>
      <c r="F102" s="1312"/>
      <c r="G102" s="1312"/>
      <c r="H102" s="1312"/>
    </row>
    <row r="103" spans="1:8">
      <c r="A103" s="1317" t="s">
        <v>879</v>
      </c>
      <c r="B103" s="1312"/>
      <c r="C103" s="1312"/>
      <c r="D103" s="1312"/>
      <c r="E103" s="1312"/>
      <c r="F103" s="1312"/>
      <c r="G103" s="1312"/>
      <c r="H103" s="1312"/>
    </row>
    <row r="104" spans="1:8">
      <c r="A104" s="1317" t="s">
        <v>880</v>
      </c>
      <c r="B104" s="1312"/>
      <c r="C104" s="1312"/>
      <c r="D104" s="1312"/>
      <c r="E104" s="1312"/>
      <c r="F104" s="1312"/>
      <c r="G104" s="1312"/>
      <c r="H104" s="1312"/>
    </row>
    <row r="105" spans="1:8">
      <c r="A105" s="1317" t="s">
        <v>881</v>
      </c>
      <c r="B105" s="1312"/>
      <c r="C105" s="1312"/>
      <c r="D105" s="1312"/>
      <c r="E105" s="1312"/>
      <c r="F105" s="1312"/>
      <c r="G105" s="1312"/>
      <c r="H105" s="1312"/>
    </row>
    <row r="106" spans="1:8">
      <c r="A106" s="1317" t="s">
        <v>882</v>
      </c>
      <c r="B106" s="1312"/>
      <c r="C106" s="1312"/>
      <c r="D106" s="1312"/>
      <c r="E106" s="1312"/>
      <c r="F106" s="1312"/>
      <c r="G106" s="1312"/>
      <c r="H106" s="1312"/>
    </row>
    <row r="107" spans="1:8">
      <c r="A107" s="1317" t="s">
        <v>883</v>
      </c>
      <c r="B107" s="1312"/>
      <c r="C107" s="1312"/>
      <c r="D107" s="1312"/>
      <c r="E107" s="1312"/>
      <c r="F107" s="1312"/>
      <c r="G107" s="1312"/>
      <c r="H107" s="1312"/>
    </row>
    <row r="108" spans="1:8">
      <c r="A108" s="1317" t="s">
        <v>884</v>
      </c>
      <c r="B108" s="1312"/>
      <c r="C108" s="1312"/>
      <c r="D108" s="1312"/>
      <c r="E108" s="1312"/>
      <c r="F108" s="1312"/>
      <c r="G108" s="1312"/>
      <c r="H108" s="1312"/>
    </row>
    <row r="109" spans="1:8">
      <c r="A109" s="1317" t="s">
        <v>885</v>
      </c>
      <c r="B109" s="1312"/>
      <c r="C109" s="1312"/>
      <c r="D109" s="1312"/>
      <c r="E109" s="1312"/>
      <c r="F109" s="1312"/>
      <c r="G109" s="1312"/>
      <c r="H109" s="1312"/>
    </row>
    <row r="110" spans="1:8">
      <c r="A110" s="1317" t="s">
        <v>886</v>
      </c>
      <c r="B110" s="1312"/>
      <c r="C110" s="1312"/>
      <c r="D110" s="1312"/>
      <c r="E110" s="1312"/>
      <c r="F110" s="1312"/>
      <c r="G110" s="1312"/>
      <c r="H110" s="1312"/>
    </row>
    <row r="111" spans="1:8">
      <c r="A111" s="1317" t="s">
        <v>887</v>
      </c>
      <c r="B111" s="1312"/>
      <c r="C111" s="1312"/>
      <c r="D111" s="1312"/>
      <c r="E111" s="1312"/>
      <c r="F111" s="1312"/>
      <c r="G111" s="1312"/>
      <c r="H111" s="1312"/>
    </row>
    <row r="112" spans="1:8">
      <c r="A112" s="1312"/>
      <c r="B112" s="1312"/>
      <c r="C112" s="1312"/>
      <c r="D112" s="1312"/>
      <c r="E112" s="1312"/>
      <c r="F112" s="1312"/>
      <c r="G112" s="1312"/>
      <c r="H112" s="1312"/>
    </row>
    <row r="113" spans="1:8" ht="15.75">
      <c r="A113" s="1332" t="s">
        <v>661</v>
      </c>
      <c r="B113" s="1332"/>
      <c r="C113" s="1332"/>
      <c r="D113" s="1332"/>
      <c r="E113" s="1332"/>
      <c r="F113" s="1332"/>
      <c r="G113" s="1332"/>
      <c r="H113" s="1332"/>
    </row>
    <row r="114" spans="1:8">
      <c r="A114" s="1328" t="s">
        <v>662</v>
      </c>
      <c r="B114" s="1328"/>
      <c r="C114" s="1328"/>
      <c r="D114" s="1328"/>
      <c r="E114" s="1328"/>
      <c r="F114" s="1328"/>
      <c r="G114" s="1328"/>
      <c r="H114" s="1328"/>
    </row>
    <row r="115" spans="1:8">
      <c r="A115" s="1333"/>
      <c r="B115" s="1333"/>
      <c r="C115" s="1333"/>
      <c r="D115" s="1333"/>
      <c r="E115" s="1333"/>
      <c r="F115" s="1333"/>
      <c r="G115" s="1333"/>
      <c r="H115" s="1333"/>
    </row>
    <row r="116" spans="1:8">
      <c r="A116" s="1328" t="s">
        <v>877</v>
      </c>
      <c r="B116" s="1328"/>
      <c r="C116" s="1328"/>
      <c r="D116" s="1328"/>
      <c r="E116" s="1328"/>
      <c r="F116" s="1328"/>
      <c r="G116" s="1328"/>
      <c r="H116" s="1328"/>
    </row>
    <row r="117" spans="1:8">
      <c r="A117" s="1317" t="s">
        <v>878</v>
      </c>
      <c r="B117" s="1317"/>
      <c r="C117" s="1317"/>
      <c r="D117" s="1317"/>
      <c r="E117" s="1317"/>
      <c r="F117" s="1317"/>
      <c r="G117" s="1317"/>
      <c r="H117" s="1317"/>
    </row>
    <row r="118" spans="1:8">
      <c r="A118" s="1333"/>
      <c r="B118" s="1333"/>
      <c r="C118" s="1333"/>
      <c r="D118" s="1333"/>
      <c r="E118" s="1333"/>
      <c r="F118" s="1333"/>
      <c r="G118" s="1333"/>
      <c r="H118" s="1333"/>
    </row>
    <row r="119" spans="1:8">
      <c r="A119" s="1328" t="s">
        <v>870</v>
      </c>
      <c r="B119" s="1328"/>
      <c r="C119" s="1328"/>
      <c r="D119" s="1328"/>
      <c r="E119" s="1328"/>
      <c r="F119" s="1328"/>
      <c r="G119" s="1328"/>
      <c r="H119" s="1328"/>
    </row>
    <row r="120" spans="1:8">
      <c r="A120" s="1317" t="s">
        <v>871</v>
      </c>
      <c r="B120" s="1317"/>
      <c r="C120" s="1317"/>
      <c r="D120" s="1317"/>
      <c r="E120" s="1317"/>
      <c r="F120" s="1317"/>
      <c r="G120" s="1317"/>
      <c r="H120" s="1317"/>
    </row>
    <row r="121" spans="1:8">
      <c r="A121" s="1317" t="s">
        <v>872</v>
      </c>
      <c r="B121" s="1317"/>
      <c r="C121" s="1317"/>
      <c r="D121" s="1317"/>
      <c r="E121" s="1317"/>
      <c r="F121" s="1317"/>
      <c r="G121" s="1317"/>
      <c r="H121" s="1317"/>
    </row>
    <row r="122" spans="1:8">
      <c r="A122" s="1317" t="s">
        <v>873</v>
      </c>
      <c r="B122" s="1317"/>
      <c r="C122" s="1317"/>
      <c r="D122" s="1317"/>
      <c r="E122" s="1317"/>
      <c r="F122" s="1317"/>
      <c r="G122" s="1317"/>
      <c r="H122" s="1317"/>
    </row>
    <row r="123" spans="1:8">
      <c r="A123" s="1317" t="s">
        <v>874</v>
      </c>
      <c r="B123" s="1317"/>
      <c r="C123" s="1317"/>
      <c r="D123" s="1317"/>
      <c r="E123" s="1317"/>
      <c r="F123" s="1317"/>
      <c r="G123" s="1317"/>
      <c r="H123" s="1317"/>
    </row>
    <row r="124" spans="1:8">
      <c r="A124" s="1317" t="s">
        <v>875</v>
      </c>
      <c r="B124" s="1317"/>
      <c r="C124" s="1317"/>
      <c r="D124" s="1317"/>
      <c r="E124" s="1317"/>
      <c r="F124" s="1317"/>
      <c r="G124" s="1317"/>
      <c r="H124" s="1317"/>
    </row>
    <row r="125" spans="1:8">
      <c r="A125" s="1317" t="s">
        <v>876</v>
      </c>
      <c r="B125" s="1317"/>
      <c r="C125" s="1317"/>
      <c r="D125" s="1317"/>
      <c r="E125" s="1317"/>
      <c r="F125" s="1317"/>
      <c r="G125" s="1317"/>
      <c r="H125" s="1317"/>
    </row>
    <row r="126" spans="1:8">
      <c r="A126" s="1334"/>
      <c r="B126" s="1334"/>
      <c r="C126" s="1334"/>
      <c r="D126" s="1334"/>
      <c r="E126" s="1334"/>
      <c r="F126" s="1334"/>
      <c r="G126" s="1334"/>
      <c r="H126" s="1334"/>
    </row>
    <row r="127" spans="1:8">
      <c r="A127" s="1320"/>
      <c r="B127" s="1329" t="s">
        <v>663</v>
      </c>
      <c r="C127" s="1330"/>
      <c r="D127" s="1329" t="s">
        <v>664</v>
      </c>
      <c r="E127" s="1331"/>
      <c r="F127" s="1330"/>
      <c r="G127" s="1329" t="s">
        <v>665</v>
      </c>
      <c r="H127" s="1330"/>
    </row>
    <row r="128" spans="1:8">
      <c r="A128" s="1320" t="s">
        <v>666</v>
      </c>
      <c r="B128" s="1320" t="s">
        <v>588</v>
      </c>
      <c r="C128" s="1320" t="s">
        <v>667</v>
      </c>
      <c r="D128" s="1320" t="s">
        <v>588</v>
      </c>
      <c r="E128" s="1320" t="s">
        <v>668</v>
      </c>
      <c r="F128" s="1320" t="s">
        <v>669</v>
      </c>
      <c r="G128" s="1320" t="s">
        <v>588</v>
      </c>
      <c r="H128" s="1320" t="s">
        <v>670</v>
      </c>
    </row>
    <row r="129" spans="1:8">
      <c r="A129" s="1320" t="s">
        <v>671</v>
      </c>
      <c r="B129" s="1320">
        <v>1189</v>
      </c>
      <c r="C129" s="1321">
        <v>0.38</v>
      </c>
      <c r="D129" s="1320">
        <v>315</v>
      </c>
      <c r="E129" s="1321">
        <v>0.41</v>
      </c>
      <c r="F129" s="1321">
        <v>0.26</v>
      </c>
      <c r="G129" s="1320">
        <v>555</v>
      </c>
      <c r="H129" s="1321">
        <v>0.39</v>
      </c>
    </row>
    <row r="130" spans="1:8">
      <c r="A130" s="1320" t="s">
        <v>672</v>
      </c>
      <c r="B130" s="1320">
        <v>1355</v>
      </c>
      <c r="C130" s="1321">
        <v>0.43</v>
      </c>
      <c r="D130" s="1320">
        <v>364</v>
      </c>
      <c r="E130" s="1321">
        <v>0.47</v>
      </c>
      <c r="F130" s="1321">
        <v>0.27</v>
      </c>
      <c r="G130" s="1320">
        <v>644</v>
      </c>
      <c r="H130" s="1321">
        <v>0.45</v>
      </c>
    </row>
    <row r="131" spans="1:8">
      <c r="A131" s="1320" t="s">
        <v>673</v>
      </c>
      <c r="B131" s="1320">
        <v>53</v>
      </c>
      <c r="C131" s="1321">
        <v>0.02</v>
      </c>
      <c r="D131" s="1320">
        <v>4</v>
      </c>
      <c r="E131" s="1321">
        <v>0.01</v>
      </c>
      <c r="F131" s="1321">
        <v>0.08</v>
      </c>
      <c r="G131" s="1320">
        <v>7</v>
      </c>
      <c r="H131" s="1321">
        <v>0</v>
      </c>
    </row>
    <row r="132" spans="1:8">
      <c r="A132" s="1320" t="s">
        <v>674</v>
      </c>
      <c r="B132" s="1320">
        <v>545</v>
      </c>
      <c r="C132" s="1321">
        <v>0.17</v>
      </c>
      <c r="D132" s="1320">
        <v>84</v>
      </c>
      <c r="E132" s="1321">
        <v>0.11</v>
      </c>
      <c r="F132" s="1321">
        <v>0.15</v>
      </c>
      <c r="G132" s="1320">
        <v>214</v>
      </c>
      <c r="H132" s="1321">
        <v>0.15</v>
      </c>
    </row>
    <row r="133" spans="1:8">
      <c r="A133" s="1320" t="s">
        <v>328</v>
      </c>
      <c r="B133" s="1322">
        <v>3142</v>
      </c>
      <c r="C133" s="1320"/>
      <c r="D133" s="1320">
        <v>767</v>
      </c>
      <c r="E133" s="1320"/>
      <c r="F133" s="1320"/>
      <c r="G133" s="1320">
        <v>1420</v>
      </c>
      <c r="H133" s="1320"/>
    </row>
    <row r="134" spans="1:8">
      <c r="A134" s="1327"/>
      <c r="B134" s="1327"/>
      <c r="C134" s="1327"/>
      <c r="D134" s="1327"/>
      <c r="E134" s="1327"/>
      <c r="F134" s="1327"/>
      <c r="G134" s="1327"/>
      <c r="H134" s="1327"/>
    </row>
    <row r="135" spans="1:8">
      <c r="A135" s="1328" t="s">
        <v>866</v>
      </c>
      <c r="B135" s="1328"/>
      <c r="C135" s="1328"/>
      <c r="D135" s="1328"/>
      <c r="E135" s="1328"/>
      <c r="F135" s="1328"/>
      <c r="G135" s="1328"/>
      <c r="H135" s="1328"/>
    </row>
    <row r="136" spans="1:8">
      <c r="A136" s="1317" t="s">
        <v>867</v>
      </c>
      <c r="B136" s="1317"/>
      <c r="C136" s="1317"/>
      <c r="D136" s="1317"/>
      <c r="E136" s="1317"/>
      <c r="F136" s="1317"/>
      <c r="G136" s="1317"/>
      <c r="H136" s="1317"/>
    </row>
    <row r="137" spans="1:8">
      <c r="A137" s="1317" t="s">
        <v>868</v>
      </c>
      <c r="B137" s="1317"/>
      <c r="C137" s="1317"/>
      <c r="D137" s="1317"/>
      <c r="E137" s="1317"/>
      <c r="F137" s="1317"/>
      <c r="G137" s="1317"/>
      <c r="H137" s="1317"/>
    </row>
    <row r="138" spans="1:8">
      <c r="A138" s="1317" t="s">
        <v>869</v>
      </c>
      <c r="B138" s="1317"/>
      <c r="C138" s="1317"/>
      <c r="D138" s="1317"/>
      <c r="E138" s="1317"/>
      <c r="F138" s="1317"/>
      <c r="G138" s="1317"/>
      <c r="H138" s="1317"/>
    </row>
    <row r="139" spans="1:8">
      <c r="A139" s="1312"/>
      <c r="B139" s="1312"/>
      <c r="C139" s="1312"/>
      <c r="D139" s="1312"/>
      <c r="E139" s="1312"/>
      <c r="F139" s="1312"/>
      <c r="G139" s="1312"/>
      <c r="H139" s="1312"/>
    </row>
    <row r="140" spans="1:8" ht="15.75">
      <c r="A140" s="1318" t="s">
        <v>675</v>
      </c>
      <c r="B140" s="1312"/>
      <c r="C140" s="1312"/>
      <c r="D140" s="1312"/>
      <c r="E140" s="1312"/>
      <c r="F140" s="1312"/>
      <c r="G140" s="1312"/>
      <c r="H140" s="1312"/>
    </row>
    <row r="141" spans="1:8">
      <c r="A141" s="1312"/>
      <c r="B141" s="1312"/>
      <c r="C141" s="1312"/>
      <c r="D141" s="1312"/>
      <c r="E141" s="1312"/>
      <c r="F141" s="1312"/>
      <c r="G141" s="1312"/>
      <c r="H141" s="1312"/>
    </row>
    <row r="142" spans="1:8">
      <c r="A142" s="1317" t="s">
        <v>864</v>
      </c>
      <c r="B142" s="1312"/>
      <c r="C142" s="1312"/>
      <c r="D142" s="1312"/>
      <c r="E142" s="1312"/>
      <c r="F142" s="1312"/>
      <c r="G142" s="1312"/>
      <c r="H142" s="1312"/>
    </row>
    <row r="143" spans="1:8">
      <c r="A143" s="1317" t="s">
        <v>865</v>
      </c>
      <c r="B143" s="1312"/>
      <c r="C143" s="1312"/>
      <c r="D143" s="1312"/>
      <c r="E143" s="1312"/>
      <c r="F143" s="1312"/>
      <c r="G143" s="1312"/>
      <c r="H143" s="1312"/>
    </row>
    <row r="144" spans="1:8">
      <c r="A144" s="1312"/>
      <c r="B144" s="1312"/>
      <c r="C144" s="1312"/>
      <c r="D144" s="1312"/>
      <c r="E144" s="1312"/>
      <c r="F144" s="1312"/>
      <c r="G144" s="1312"/>
      <c r="H144" s="1312"/>
    </row>
    <row r="145" spans="1:8">
      <c r="A145" s="1317" t="s">
        <v>861</v>
      </c>
      <c r="B145" s="1312"/>
      <c r="C145" s="1312"/>
      <c r="D145" s="1312"/>
      <c r="E145" s="1312"/>
      <c r="F145" s="1312"/>
      <c r="G145" s="1312"/>
      <c r="H145" s="1312"/>
    </row>
    <row r="146" spans="1:8">
      <c r="A146" s="1317" t="s">
        <v>862</v>
      </c>
      <c r="B146" s="1312"/>
      <c r="C146" s="1312"/>
      <c r="D146" s="1312"/>
      <c r="E146" s="1312"/>
      <c r="F146" s="1312"/>
      <c r="G146" s="1312"/>
      <c r="H146" s="1312"/>
    </row>
    <row r="147" spans="1:8">
      <c r="A147" s="1317" t="s">
        <v>863</v>
      </c>
      <c r="B147" s="1312"/>
      <c r="C147" s="1312"/>
      <c r="D147" s="1312"/>
      <c r="E147" s="1312"/>
      <c r="F147" s="1312"/>
      <c r="G147" s="1312"/>
      <c r="H147" s="1312"/>
    </row>
    <row r="148" spans="1:8">
      <c r="A148" s="1312"/>
      <c r="B148" s="1312"/>
      <c r="C148" s="1312"/>
      <c r="D148" s="1312"/>
      <c r="E148" s="1312"/>
      <c r="F148" s="1312"/>
      <c r="G148" s="1312"/>
      <c r="H148" s="1312"/>
    </row>
    <row r="149" spans="1:8">
      <c r="A149" s="1317" t="s">
        <v>858</v>
      </c>
      <c r="B149" s="1312"/>
      <c r="C149" s="1312"/>
      <c r="D149" s="1312"/>
      <c r="E149" s="1312"/>
      <c r="F149" s="1312"/>
      <c r="G149" s="1312"/>
      <c r="H149" s="1312"/>
    </row>
    <row r="150" spans="1:8">
      <c r="A150" s="1317" t="s">
        <v>859</v>
      </c>
      <c r="B150" s="1312"/>
      <c r="C150" s="1312"/>
      <c r="D150" s="1312"/>
      <c r="E150" s="1312"/>
      <c r="F150" s="1312"/>
      <c r="G150" s="1312"/>
      <c r="H150" s="1312"/>
    </row>
    <row r="151" spans="1:8">
      <c r="A151" s="1317" t="s">
        <v>860</v>
      </c>
      <c r="B151" s="1312"/>
      <c r="C151" s="1312"/>
      <c r="D151" s="1312"/>
      <c r="E151" s="1312"/>
      <c r="F151" s="1312"/>
      <c r="G151" s="1312"/>
      <c r="H151" s="1312"/>
    </row>
    <row r="152" spans="1:8">
      <c r="A152" s="1312"/>
      <c r="B152" s="1312"/>
      <c r="C152" s="1312"/>
      <c r="D152" s="1312"/>
      <c r="E152" s="1312"/>
      <c r="F152" s="1312"/>
      <c r="G152" s="1312"/>
      <c r="H152" s="1312"/>
    </row>
    <row r="153" spans="1:8">
      <c r="A153" s="1317" t="s">
        <v>855</v>
      </c>
      <c r="B153" s="1312"/>
      <c r="C153" s="1312"/>
      <c r="D153" s="1312"/>
      <c r="E153" s="1312"/>
      <c r="F153" s="1312"/>
      <c r="G153" s="1312"/>
      <c r="H153" s="1312"/>
    </row>
    <row r="154" spans="1:8">
      <c r="A154" s="1317" t="s">
        <v>856</v>
      </c>
      <c r="B154" s="1312"/>
      <c r="C154" s="1312"/>
      <c r="D154" s="1312"/>
      <c r="E154" s="1312"/>
      <c r="F154" s="1312"/>
      <c r="G154" s="1312"/>
      <c r="H154" s="1312"/>
    </row>
    <row r="155" spans="1:8">
      <c r="A155" s="1317" t="s">
        <v>857</v>
      </c>
      <c r="B155" s="1312"/>
      <c r="C155" s="1312"/>
      <c r="D155" s="1312"/>
      <c r="E155" s="1312"/>
      <c r="F155" s="1312"/>
      <c r="G155" s="1312"/>
      <c r="H155" s="1312"/>
    </row>
    <row r="156" spans="1:8">
      <c r="A156" s="1312"/>
      <c r="B156" s="1312"/>
      <c r="C156" s="1312"/>
      <c r="D156" s="1312"/>
      <c r="E156" s="1312"/>
      <c r="F156" s="1312"/>
      <c r="G156" s="1312"/>
      <c r="H156" s="1312"/>
    </row>
    <row r="157" spans="1:8">
      <c r="A157" s="1317" t="s">
        <v>853</v>
      </c>
      <c r="B157" s="1312"/>
      <c r="C157" s="1312"/>
      <c r="D157" s="1312"/>
      <c r="E157" s="1312"/>
      <c r="F157" s="1312"/>
      <c r="G157" s="1312"/>
      <c r="H157" s="1312"/>
    </row>
    <row r="158" spans="1:8">
      <c r="A158" s="1317" t="s">
        <v>854</v>
      </c>
      <c r="B158" s="1312"/>
      <c r="C158" s="1312"/>
      <c r="D158" s="1312"/>
      <c r="E158" s="1312"/>
      <c r="F158" s="1312"/>
      <c r="G158" s="1312"/>
      <c r="H158" s="1312"/>
    </row>
    <row r="159" spans="1:8">
      <c r="A159" s="1312"/>
      <c r="B159" s="1312"/>
      <c r="C159" s="1312"/>
      <c r="D159" s="1312"/>
      <c r="E159" s="1312"/>
      <c r="F159" s="1312"/>
      <c r="G159" s="1312"/>
      <c r="H159" s="1312"/>
    </row>
    <row r="160" spans="1:8" ht="15.75">
      <c r="A160" s="1318" t="s">
        <v>676</v>
      </c>
      <c r="B160" s="1312"/>
      <c r="C160" s="1312"/>
      <c r="D160" s="1312"/>
      <c r="E160" s="1312"/>
      <c r="F160" s="1312"/>
      <c r="G160" s="1312"/>
      <c r="H160" s="1312"/>
    </row>
    <row r="161" spans="1:8">
      <c r="A161" s="1312"/>
      <c r="B161" s="1312"/>
      <c r="C161" s="1312"/>
      <c r="D161" s="1312"/>
      <c r="E161" s="1312"/>
      <c r="F161" s="1312"/>
      <c r="G161" s="1312"/>
      <c r="H161" s="1312"/>
    </row>
    <row r="162" spans="1:8">
      <c r="A162" s="1317" t="s">
        <v>851</v>
      </c>
      <c r="B162" s="1312"/>
      <c r="C162" s="1312"/>
      <c r="D162" s="1312"/>
      <c r="E162" s="1312"/>
      <c r="F162" s="1312"/>
      <c r="G162" s="1312"/>
      <c r="H162" s="1312"/>
    </row>
    <row r="163" spans="1:8">
      <c r="A163" s="1317" t="s">
        <v>852</v>
      </c>
      <c r="B163" s="1312"/>
      <c r="C163" s="1312"/>
      <c r="D163" s="1312"/>
      <c r="E163" s="1312"/>
      <c r="F163" s="1312"/>
      <c r="G163" s="1312"/>
      <c r="H163" s="1312"/>
    </row>
    <row r="164" spans="1:8">
      <c r="A164" s="1312"/>
      <c r="B164" s="1312"/>
      <c r="C164" s="1312"/>
      <c r="D164" s="1312"/>
      <c r="E164" s="1312"/>
      <c r="F164" s="1312"/>
      <c r="G164" s="1312"/>
      <c r="H164" s="1312"/>
    </row>
    <row r="165" spans="1:8">
      <c r="A165" s="1317" t="s">
        <v>849</v>
      </c>
      <c r="B165" s="1312"/>
      <c r="C165" s="1312"/>
      <c r="D165" s="1312"/>
      <c r="E165" s="1312"/>
      <c r="F165" s="1312"/>
      <c r="G165" s="1312"/>
      <c r="H165" s="1312"/>
    </row>
    <row r="166" spans="1:8">
      <c r="A166" s="1317" t="s">
        <v>850</v>
      </c>
      <c r="B166" s="1312"/>
      <c r="C166" s="1312"/>
      <c r="D166" s="1312"/>
      <c r="E166" s="1312"/>
      <c r="F166" s="1312"/>
      <c r="G166" s="1312"/>
      <c r="H166" s="1312"/>
    </row>
    <row r="167" spans="1:8">
      <c r="A167" s="1312"/>
      <c r="B167" s="1312"/>
      <c r="C167" s="1312"/>
      <c r="D167" s="1312"/>
      <c r="E167" s="1312"/>
      <c r="F167" s="1312"/>
      <c r="G167" s="1312"/>
      <c r="H167" s="1312"/>
    </row>
    <row r="168" spans="1:8">
      <c r="A168" s="1317" t="s">
        <v>847</v>
      </c>
      <c r="B168" s="1312"/>
      <c r="C168" s="1312"/>
      <c r="D168" s="1312"/>
      <c r="E168" s="1312"/>
      <c r="F168" s="1312"/>
      <c r="G168" s="1312"/>
      <c r="H168" s="1312"/>
    </row>
    <row r="169" spans="1:8">
      <c r="A169" s="1317" t="s">
        <v>848</v>
      </c>
      <c r="B169" s="1312"/>
      <c r="C169" s="1312"/>
      <c r="D169" s="1312"/>
      <c r="E169" s="1312"/>
      <c r="F169" s="1312"/>
      <c r="G169" s="1312"/>
      <c r="H169" s="1312"/>
    </row>
    <row r="170" spans="1:8">
      <c r="A170" s="1312"/>
      <c r="B170" s="1312"/>
      <c r="C170" s="1312"/>
      <c r="D170" s="1312"/>
      <c r="E170" s="1312"/>
      <c r="F170" s="1312"/>
      <c r="G170" s="1312"/>
      <c r="H170" s="1312"/>
    </row>
    <row r="171" spans="1:8">
      <c r="A171" s="1317" t="s">
        <v>844</v>
      </c>
      <c r="B171" s="1312"/>
      <c r="C171" s="1312"/>
      <c r="D171" s="1312"/>
      <c r="E171" s="1312"/>
      <c r="F171" s="1312"/>
      <c r="G171" s="1312"/>
      <c r="H171" s="1312"/>
    </row>
    <row r="172" spans="1:8">
      <c r="A172" s="1317" t="s">
        <v>845</v>
      </c>
      <c r="B172" s="1312"/>
      <c r="C172" s="1312"/>
      <c r="D172" s="1312"/>
      <c r="E172" s="1312"/>
      <c r="F172" s="1312"/>
      <c r="G172" s="1312"/>
      <c r="H172" s="1312"/>
    </row>
    <row r="173" spans="1:8">
      <c r="A173" s="1317" t="s">
        <v>846</v>
      </c>
      <c r="B173" s="1312"/>
      <c r="C173" s="1312"/>
      <c r="D173" s="1312"/>
      <c r="E173" s="1312"/>
      <c r="F173" s="1312"/>
      <c r="G173" s="1312"/>
      <c r="H173" s="1312"/>
    </row>
    <row r="174" spans="1:8">
      <c r="A174" s="1312"/>
      <c r="B174" s="1312"/>
      <c r="C174" s="1312"/>
      <c r="D174" s="1312"/>
      <c r="E174" s="1312"/>
      <c r="F174" s="1312"/>
      <c r="G174" s="1312"/>
      <c r="H174" s="1312"/>
    </row>
    <row r="175" spans="1:8">
      <c r="A175" s="1312"/>
      <c r="B175" s="1312"/>
      <c r="C175" s="1312"/>
      <c r="D175" s="1312"/>
      <c r="E175" s="1312"/>
      <c r="F175" s="1312"/>
      <c r="G175" s="1312"/>
      <c r="H175" s="1312"/>
    </row>
    <row r="176" spans="1:8">
      <c r="A176" s="1317" t="s">
        <v>296</v>
      </c>
      <c r="B176" s="1312"/>
      <c r="C176" s="1312"/>
      <c r="D176" s="1312"/>
      <c r="E176" s="1312"/>
      <c r="F176" s="1312"/>
      <c r="G176" s="1312"/>
      <c r="H176" s="1312"/>
    </row>
    <row r="177" spans="1:8">
      <c r="A177" s="1312"/>
      <c r="B177" s="1312"/>
      <c r="C177" s="1312"/>
      <c r="D177" s="1312"/>
      <c r="E177" s="1312"/>
      <c r="F177" s="1312"/>
      <c r="G177" s="1312"/>
      <c r="H177" s="1312"/>
    </row>
    <row r="178" spans="1:8" ht="15.75">
      <c r="A178" s="1318" t="s">
        <v>677</v>
      </c>
      <c r="B178" s="1312"/>
      <c r="C178" s="1312"/>
      <c r="D178" s="1312"/>
      <c r="E178" s="1312"/>
      <c r="F178" s="1312"/>
      <c r="G178" s="1312"/>
      <c r="H178" s="1312"/>
    </row>
    <row r="179" spans="1:8">
      <c r="A179" s="1312"/>
      <c r="B179" s="1312"/>
      <c r="C179" s="1312"/>
      <c r="D179" s="1312"/>
      <c r="E179" s="1312"/>
      <c r="F179" s="1312"/>
      <c r="G179" s="1312"/>
      <c r="H179" s="1312"/>
    </row>
    <row r="180" spans="1:8">
      <c r="A180" s="1312"/>
      <c r="B180" s="1312"/>
      <c r="C180" s="1312"/>
      <c r="D180" s="1312"/>
      <c r="E180" s="1312"/>
      <c r="F180" s="1312"/>
      <c r="G180" s="1312"/>
      <c r="H180" s="1312"/>
    </row>
    <row r="181" spans="1:8">
      <c r="A181" s="1312"/>
      <c r="B181" s="1312"/>
      <c r="C181" s="1312"/>
      <c r="D181" s="1312"/>
      <c r="E181" s="1312"/>
      <c r="F181" s="1312"/>
      <c r="G181" s="1312"/>
      <c r="H181" s="1312"/>
    </row>
    <row r="182" spans="1:8">
      <c r="A182" s="1312"/>
      <c r="B182" s="1312"/>
      <c r="C182" s="1312"/>
      <c r="D182" s="1312"/>
      <c r="E182" s="1312"/>
      <c r="F182" s="1312"/>
      <c r="G182" s="1312"/>
      <c r="H182" s="1312"/>
    </row>
    <row r="183" spans="1:8">
      <c r="A183" s="1312"/>
      <c r="B183" s="1312"/>
      <c r="C183" s="1312"/>
      <c r="D183" s="1312"/>
      <c r="E183" s="1312"/>
      <c r="F183" s="1312"/>
      <c r="G183" s="1312"/>
      <c r="H183" s="1312"/>
    </row>
    <row r="184" spans="1:8">
      <c r="A184" s="1312"/>
      <c r="B184" s="1312"/>
      <c r="C184" s="1312"/>
      <c r="D184" s="1312"/>
      <c r="E184" s="1312"/>
      <c r="F184" s="1312"/>
      <c r="G184" s="1312"/>
      <c r="H184" s="1312"/>
    </row>
    <row r="185" spans="1:8">
      <c r="A185" s="1312"/>
      <c r="B185" s="1312"/>
      <c r="C185" s="1312"/>
      <c r="D185" s="1312"/>
      <c r="E185" s="1312"/>
      <c r="F185" s="1312"/>
      <c r="G185" s="1312"/>
      <c r="H185" s="1312"/>
    </row>
    <row r="186" spans="1:8">
      <c r="A186" s="1312"/>
      <c r="B186" s="1312"/>
      <c r="C186" s="1312"/>
      <c r="D186" s="1312"/>
      <c r="E186" s="1312"/>
      <c r="F186" s="1312"/>
      <c r="G186" s="1312"/>
      <c r="H186" s="1312"/>
    </row>
    <row r="187" spans="1:8">
      <c r="A187" s="1312"/>
      <c r="B187" s="1312"/>
      <c r="C187" s="1312"/>
      <c r="D187" s="1312"/>
      <c r="E187" s="1312"/>
      <c r="F187" s="1312"/>
      <c r="G187" s="1312"/>
      <c r="H187" s="1312"/>
    </row>
    <row r="188" spans="1:8">
      <c r="A188" s="1312"/>
      <c r="B188" s="1312"/>
      <c r="C188" s="1312"/>
      <c r="D188" s="1312"/>
      <c r="E188" s="1312"/>
      <c r="F188" s="1312"/>
      <c r="G188" s="1312"/>
      <c r="H188" s="1312"/>
    </row>
    <row r="189" spans="1:8">
      <c r="A189" s="1312"/>
      <c r="B189" s="1312"/>
      <c r="C189" s="1312"/>
      <c r="D189" s="1312"/>
      <c r="E189" s="1312"/>
      <c r="F189" s="1312"/>
      <c r="G189" s="1312"/>
      <c r="H189" s="1312"/>
    </row>
    <row r="190" spans="1:8">
      <c r="A190" s="1312"/>
      <c r="B190" s="1312"/>
      <c r="C190" s="1312"/>
      <c r="D190" s="1312"/>
      <c r="E190" s="1312"/>
      <c r="F190" s="1312"/>
      <c r="G190" s="1312"/>
      <c r="H190" s="1312"/>
    </row>
    <row r="191" spans="1:8">
      <c r="A191" s="1312"/>
      <c r="B191" s="1312"/>
      <c r="C191" s="1312"/>
      <c r="D191" s="1312"/>
      <c r="E191" s="1312"/>
      <c r="F191" s="1312"/>
      <c r="G191" s="1312"/>
      <c r="H191" s="1312"/>
    </row>
    <row r="192" spans="1:8">
      <c r="A192" s="1312"/>
      <c r="B192" s="1312"/>
      <c r="C192" s="1312"/>
      <c r="D192" s="1312"/>
      <c r="E192" s="1312"/>
      <c r="F192" s="1312"/>
      <c r="G192" s="1312"/>
      <c r="H192" s="1312"/>
    </row>
    <row r="193" spans="1:8">
      <c r="A193" s="1312"/>
      <c r="B193" s="1312"/>
      <c r="C193" s="1312"/>
      <c r="D193" s="1312"/>
      <c r="E193" s="1312"/>
      <c r="F193" s="1312"/>
      <c r="G193" s="1312"/>
      <c r="H193" s="1312"/>
    </row>
    <row r="194" spans="1:8">
      <c r="A194" s="1312"/>
      <c r="B194" s="1312"/>
      <c r="C194" s="1312"/>
      <c r="D194" s="1312"/>
      <c r="E194" s="1312"/>
      <c r="F194" s="1312"/>
      <c r="G194" s="1312"/>
      <c r="H194" s="1312"/>
    </row>
    <row r="195" spans="1:8">
      <c r="A195" s="1312"/>
      <c r="B195" s="1312"/>
      <c r="C195" s="1312"/>
      <c r="D195" s="1312"/>
      <c r="E195" s="1312"/>
      <c r="F195" s="1312"/>
      <c r="G195" s="1312"/>
      <c r="H195" s="1312"/>
    </row>
    <row r="196" spans="1:8">
      <c r="A196" s="1312"/>
      <c r="B196" s="1312"/>
      <c r="C196" s="1312"/>
      <c r="D196" s="1312"/>
      <c r="E196" s="1312"/>
      <c r="F196" s="1312"/>
      <c r="G196" s="1312"/>
      <c r="H196" s="1312"/>
    </row>
    <row r="197" spans="1:8">
      <c r="A197" s="1312"/>
      <c r="B197" s="1312"/>
      <c r="C197" s="1312"/>
      <c r="D197" s="1312"/>
      <c r="E197" s="1312"/>
      <c r="F197" s="1312"/>
      <c r="G197" s="1312"/>
      <c r="H197" s="1312"/>
    </row>
    <row r="198" spans="1:8">
      <c r="A198" s="1312"/>
      <c r="B198" s="1312"/>
      <c r="C198" s="1312"/>
      <c r="D198" s="1312"/>
      <c r="E198" s="1312"/>
      <c r="F198" s="1312"/>
      <c r="G198" s="1312"/>
      <c r="H198" s="1312"/>
    </row>
    <row r="199" spans="1:8">
      <c r="A199" s="1312"/>
      <c r="B199" s="1312"/>
      <c r="C199" s="1312"/>
      <c r="D199" s="1312"/>
      <c r="E199" s="1312"/>
      <c r="F199" s="1312"/>
      <c r="G199" s="1312"/>
      <c r="H199" s="1312"/>
    </row>
    <row r="200" spans="1:8">
      <c r="A200" s="1312"/>
      <c r="B200" s="1312"/>
      <c r="C200" s="1312"/>
      <c r="D200" s="1312"/>
      <c r="E200" s="1312"/>
      <c r="F200" s="1312"/>
      <c r="G200" s="1312"/>
      <c r="H200" s="1312"/>
    </row>
    <row r="201" spans="1:8">
      <c r="A201" s="1312"/>
      <c r="B201" s="1312"/>
      <c r="C201" s="1312"/>
      <c r="D201" s="1312"/>
      <c r="E201" s="1312"/>
      <c r="F201" s="1312"/>
      <c r="G201" s="1312"/>
      <c r="H201" s="1312"/>
    </row>
    <row r="202" spans="1:8">
      <c r="A202" s="1312"/>
      <c r="B202" s="1312"/>
      <c r="C202" s="1312"/>
      <c r="D202" s="1312"/>
      <c r="E202" s="1312"/>
      <c r="F202" s="1312"/>
      <c r="G202" s="1312"/>
      <c r="H202" s="1312"/>
    </row>
    <row r="203" spans="1:8">
      <c r="A203" s="1312"/>
      <c r="B203" s="1312"/>
      <c r="C203" s="1312"/>
      <c r="D203" s="1312"/>
      <c r="E203" s="1312"/>
      <c r="F203" s="1312"/>
      <c r="G203" s="1312"/>
      <c r="H203" s="1312"/>
    </row>
    <row r="204" spans="1:8">
      <c r="A204" s="1312"/>
      <c r="B204" s="1312"/>
      <c r="C204" s="1312"/>
      <c r="D204" s="1312"/>
      <c r="E204" s="1312"/>
      <c r="F204" s="1312"/>
      <c r="G204" s="1312"/>
      <c r="H204" s="1312"/>
    </row>
    <row r="205" spans="1:8" ht="15.75">
      <c r="A205" s="1318" t="s">
        <v>678</v>
      </c>
      <c r="B205" s="1312"/>
      <c r="C205" s="1312"/>
      <c r="D205" s="1312"/>
      <c r="E205" s="1312"/>
      <c r="F205" s="1312"/>
      <c r="G205" s="1312"/>
      <c r="H205" s="1312"/>
    </row>
    <row r="206" spans="1:8">
      <c r="A206" s="1312"/>
      <c r="B206" s="1312"/>
      <c r="C206" s="1312"/>
      <c r="D206" s="1312"/>
      <c r="E206" s="1312"/>
      <c r="F206" s="1312"/>
      <c r="G206" s="1312"/>
      <c r="H206" s="1312"/>
    </row>
    <row r="207" spans="1:8">
      <c r="A207" s="1317" t="s">
        <v>839</v>
      </c>
      <c r="B207" s="1312"/>
      <c r="C207" s="1312"/>
      <c r="D207" s="1312"/>
      <c r="E207" s="1312"/>
      <c r="F207" s="1312"/>
      <c r="G207" s="1312"/>
      <c r="H207" s="1312"/>
    </row>
    <row r="208" spans="1:8">
      <c r="A208" s="1317" t="s">
        <v>840</v>
      </c>
      <c r="B208" s="1312"/>
      <c r="C208" s="1312"/>
      <c r="D208" s="1312"/>
      <c r="E208" s="1312"/>
      <c r="F208" s="1312"/>
      <c r="G208" s="1312"/>
      <c r="H208" s="1312"/>
    </row>
    <row r="209" spans="1:8">
      <c r="A209" s="1317" t="s">
        <v>841</v>
      </c>
      <c r="B209" s="1312"/>
      <c r="C209" s="1312"/>
      <c r="D209" s="1312"/>
      <c r="E209" s="1312"/>
      <c r="F209" s="1312"/>
      <c r="G209" s="1312"/>
      <c r="H209" s="1312"/>
    </row>
    <row r="210" spans="1:8">
      <c r="A210" s="1317" t="s">
        <v>842</v>
      </c>
      <c r="B210" s="1312"/>
      <c r="C210" s="1312"/>
      <c r="D210" s="1312"/>
      <c r="E210" s="1312"/>
      <c r="F210" s="1312"/>
      <c r="G210" s="1312"/>
      <c r="H210" s="1312"/>
    </row>
    <row r="211" spans="1:8">
      <c r="A211" s="1317" t="s">
        <v>843</v>
      </c>
      <c r="B211" s="1312"/>
      <c r="C211" s="1312"/>
      <c r="D211" s="1312"/>
      <c r="E211" s="1312"/>
      <c r="F211" s="1312"/>
      <c r="G211" s="1312"/>
      <c r="H211" s="1312"/>
    </row>
    <row r="212" spans="1:8">
      <c r="A212" s="1312"/>
      <c r="B212" s="1312"/>
      <c r="C212" s="1312"/>
      <c r="D212" s="1312"/>
      <c r="E212" s="1312"/>
      <c r="F212" s="1312"/>
      <c r="G212" s="1312"/>
      <c r="H212" s="1312"/>
    </row>
    <row r="213" spans="1:8">
      <c r="A213" s="1317" t="s">
        <v>836</v>
      </c>
      <c r="B213" s="1312"/>
      <c r="C213" s="1312"/>
      <c r="D213" s="1312"/>
      <c r="E213" s="1312"/>
      <c r="F213" s="1312"/>
      <c r="G213" s="1312"/>
      <c r="H213" s="1312"/>
    </row>
    <row r="214" spans="1:8">
      <c r="A214" s="1317" t="s">
        <v>837</v>
      </c>
      <c r="B214" s="1312"/>
      <c r="C214" s="1312"/>
      <c r="D214" s="1312"/>
      <c r="E214" s="1312"/>
      <c r="F214" s="1312"/>
      <c r="G214" s="1312"/>
      <c r="H214" s="1312"/>
    </row>
    <row r="215" spans="1:8">
      <c r="A215" s="1317" t="s">
        <v>838</v>
      </c>
      <c r="B215" s="1312"/>
      <c r="C215" s="1312"/>
      <c r="D215" s="1312"/>
      <c r="E215" s="1312"/>
      <c r="F215" s="1312"/>
      <c r="G215" s="1312"/>
      <c r="H215" s="1312"/>
    </row>
    <row r="216" spans="1:8" ht="15.75">
      <c r="A216" s="1318" t="s">
        <v>679</v>
      </c>
      <c r="B216" s="1312"/>
      <c r="C216" s="1312"/>
      <c r="D216" s="1312"/>
      <c r="E216" s="1312"/>
      <c r="F216" s="1312"/>
      <c r="G216" s="1312"/>
      <c r="H216" s="1312"/>
    </row>
    <row r="217" spans="1:8">
      <c r="A217" s="1312"/>
      <c r="B217" s="1312"/>
      <c r="C217" s="1312"/>
      <c r="D217" s="1312"/>
      <c r="E217" s="1312"/>
      <c r="F217" s="1312"/>
      <c r="G217" s="1312"/>
      <c r="H217" s="1312"/>
    </row>
    <row r="218" spans="1:8">
      <c r="A218" s="1317" t="s">
        <v>834</v>
      </c>
      <c r="B218" s="1312"/>
      <c r="C218" s="1312"/>
      <c r="D218" s="1312"/>
      <c r="E218" s="1312"/>
      <c r="F218" s="1312"/>
      <c r="G218" s="1312"/>
      <c r="H218" s="1312"/>
    </row>
    <row r="219" spans="1:8">
      <c r="A219" s="1317" t="s">
        <v>835</v>
      </c>
      <c r="B219" s="1312"/>
      <c r="C219" s="1312"/>
      <c r="D219" s="1312"/>
      <c r="E219" s="1312"/>
      <c r="F219" s="1312"/>
      <c r="G219" s="1312"/>
      <c r="H219" s="1312"/>
    </row>
    <row r="220" spans="1:8">
      <c r="A220" s="1312"/>
      <c r="B220" s="1312"/>
      <c r="C220" s="1312"/>
      <c r="D220" s="1312"/>
      <c r="E220" s="1312"/>
      <c r="F220" s="1312"/>
      <c r="G220" s="1312"/>
      <c r="H220" s="1312"/>
    </row>
    <row r="221" spans="1:8">
      <c r="A221" s="1317" t="s">
        <v>827</v>
      </c>
      <c r="B221" s="1312"/>
      <c r="C221" s="1312"/>
      <c r="D221" s="1312"/>
      <c r="E221" s="1312"/>
      <c r="F221" s="1312"/>
      <c r="G221" s="1312"/>
      <c r="H221" s="1312"/>
    </row>
    <row r="222" spans="1:8">
      <c r="A222" s="1317" t="s">
        <v>828</v>
      </c>
      <c r="B222" s="1312"/>
      <c r="C222" s="1312"/>
      <c r="D222" s="1312"/>
      <c r="E222" s="1312"/>
      <c r="F222" s="1312"/>
      <c r="G222" s="1312"/>
      <c r="H222" s="1312"/>
    </row>
    <row r="223" spans="1:8">
      <c r="A223" s="1317" t="s">
        <v>829</v>
      </c>
      <c r="B223" s="1312"/>
      <c r="C223" s="1312"/>
      <c r="D223" s="1312"/>
      <c r="E223" s="1312"/>
      <c r="F223" s="1312"/>
      <c r="G223" s="1312"/>
      <c r="H223" s="1312"/>
    </row>
    <row r="224" spans="1:8">
      <c r="A224" s="1317" t="s">
        <v>830</v>
      </c>
      <c r="B224" s="1312"/>
      <c r="C224" s="1312"/>
      <c r="D224" s="1312"/>
      <c r="E224" s="1312"/>
      <c r="F224" s="1312"/>
      <c r="G224" s="1312"/>
      <c r="H224" s="1312"/>
    </row>
    <row r="225" spans="1:8">
      <c r="A225" s="1317" t="s">
        <v>831</v>
      </c>
      <c r="B225" s="1312"/>
      <c r="C225" s="1312"/>
      <c r="D225" s="1312"/>
      <c r="E225" s="1312"/>
      <c r="F225" s="1312"/>
      <c r="G225" s="1312"/>
      <c r="H225" s="1312"/>
    </row>
    <row r="226" spans="1:8">
      <c r="A226" s="1317" t="s">
        <v>832</v>
      </c>
      <c r="B226" s="1312"/>
      <c r="C226" s="1312"/>
      <c r="D226" s="1312"/>
      <c r="E226" s="1312"/>
      <c r="F226" s="1312"/>
      <c r="G226" s="1312"/>
      <c r="H226" s="1312"/>
    </row>
    <row r="227" spans="1:8">
      <c r="A227" s="1317" t="s">
        <v>833</v>
      </c>
      <c r="B227" s="1312"/>
      <c r="C227" s="1312"/>
      <c r="D227" s="1312"/>
      <c r="E227" s="1312"/>
      <c r="F227" s="1312"/>
      <c r="G227" s="1312"/>
      <c r="H227" s="1312"/>
    </row>
    <row r="228" spans="1:8">
      <c r="A228" s="1312"/>
      <c r="B228" s="1312"/>
      <c r="C228" s="1312"/>
      <c r="D228" s="1312"/>
      <c r="E228" s="1312"/>
      <c r="F228" s="1312"/>
      <c r="G228" s="1312"/>
      <c r="H228" s="1312"/>
    </row>
    <row r="229" spans="1:8">
      <c r="A229" s="1317" t="s">
        <v>824</v>
      </c>
      <c r="B229" s="1312"/>
      <c r="C229" s="1312"/>
      <c r="D229" s="1312"/>
      <c r="E229" s="1312"/>
      <c r="F229" s="1312"/>
      <c r="G229" s="1312"/>
      <c r="H229" s="1312"/>
    </row>
    <row r="230" spans="1:8">
      <c r="A230" s="1317" t="s">
        <v>825</v>
      </c>
      <c r="B230" s="1312"/>
      <c r="C230" s="1312"/>
      <c r="D230" s="1312"/>
      <c r="E230" s="1312"/>
      <c r="F230" s="1312"/>
      <c r="G230" s="1312"/>
      <c r="H230" s="1312"/>
    </row>
    <row r="231" spans="1:8">
      <c r="A231" s="1317" t="s">
        <v>826</v>
      </c>
      <c r="B231" s="1312"/>
      <c r="C231" s="1312"/>
      <c r="D231" s="1312"/>
      <c r="E231" s="1312"/>
      <c r="F231" s="1312"/>
      <c r="G231" s="1312"/>
      <c r="H231" s="1312"/>
    </row>
    <row r="232" spans="1:8">
      <c r="A232" s="1312"/>
      <c r="B232" s="1312"/>
      <c r="C232" s="1312"/>
      <c r="D232" s="1312"/>
      <c r="E232" s="1312"/>
      <c r="F232" s="1312"/>
      <c r="G232" s="1312"/>
      <c r="H232" s="1312"/>
    </row>
    <row r="233" spans="1:8">
      <c r="A233" s="1317" t="s">
        <v>819</v>
      </c>
      <c r="B233" s="1312"/>
      <c r="C233" s="1312"/>
      <c r="D233" s="1312"/>
      <c r="E233" s="1312"/>
      <c r="F233" s="1312"/>
      <c r="G233" s="1312"/>
      <c r="H233" s="1312"/>
    </row>
    <row r="234" spans="1:8">
      <c r="A234" s="1317" t="s">
        <v>820</v>
      </c>
      <c r="B234" s="1312"/>
      <c r="C234" s="1312"/>
      <c r="D234" s="1312"/>
      <c r="E234" s="1312"/>
      <c r="F234" s="1312"/>
      <c r="G234" s="1312"/>
      <c r="H234" s="1312"/>
    </row>
    <row r="235" spans="1:8">
      <c r="A235" s="1317" t="s">
        <v>821</v>
      </c>
      <c r="B235" s="1312"/>
      <c r="C235" s="1312"/>
      <c r="D235" s="1312"/>
      <c r="E235" s="1312"/>
      <c r="F235" s="1312"/>
      <c r="G235" s="1312"/>
      <c r="H235" s="1312"/>
    </row>
    <row r="236" spans="1:8">
      <c r="A236" s="1317" t="s">
        <v>822</v>
      </c>
      <c r="B236" s="1312"/>
      <c r="C236" s="1312"/>
      <c r="D236" s="1312"/>
      <c r="E236" s="1312"/>
      <c r="F236" s="1312"/>
      <c r="G236" s="1312"/>
      <c r="H236" s="1312"/>
    </row>
    <row r="237" spans="1:8">
      <c r="A237" s="1317" t="s">
        <v>823</v>
      </c>
      <c r="B237" s="1312"/>
      <c r="C237" s="1312"/>
      <c r="D237" s="1312"/>
      <c r="E237" s="1312"/>
      <c r="F237" s="1312"/>
      <c r="G237" s="1312"/>
      <c r="H237" s="1312"/>
    </row>
    <row r="238" spans="1:8">
      <c r="A238" s="1312"/>
      <c r="B238" s="1312"/>
      <c r="C238" s="1312"/>
      <c r="D238" s="1312"/>
      <c r="E238" s="1312"/>
      <c r="F238" s="1312"/>
      <c r="G238" s="1312"/>
      <c r="H238" s="1312"/>
    </row>
    <row r="239" spans="1:8">
      <c r="A239" s="1317" t="s">
        <v>813</v>
      </c>
      <c r="B239" s="1312"/>
      <c r="C239" s="1312"/>
      <c r="D239" s="1312"/>
      <c r="E239" s="1312"/>
      <c r="F239" s="1312"/>
      <c r="G239" s="1312"/>
      <c r="H239" s="1312"/>
    </row>
    <row r="240" spans="1:8">
      <c r="A240" s="1317" t="s">
        <v>814</v>
      </c>
      <c r="B240" s="1312"/>
      <c r="C240" s="1312"/>
      <c r="D240" s="1312"/>
      <c r="E240" s="1312"/>
      <c r="F240" s="1312"/>
      <c r="G240" s="1312"/>
      <c r="H240" s="1312"/>
    </row>
    <row r="241" spans="1:8">
      <c r="A241" s="1317" t="s">
        <v>815</v>
      </c>
      <c r="B241" s="1312"/>
      <c r="C241" s="1312"/>
      <c r="D241" s="1312"/>
      <c r="E241" s="1312"/>
      <c r="F241" s="1312"/>
      <c r="G241" s="1312"/>
      <c r="H241" s="1312"/>
    </row>
    <row r="242" spans="1:8">
      <c r="A242" s="1317" t="s">
        <v>816</v>
      </c>
      <c r="B242" s="1312"/>
      <c r="C242" s="1312"/>
      <c r="D242" s="1312"/>
      <c r="E242" s="1312"/>
      <c r="F242" s="1312"/>
      <c r="G242" s="1312"/>
      <c r="H242" s="1312"/>
    </row>
    <row r="243" spans="1:8">
      <c r="A243" s="1317" t="s">
        <v>817</v>
      </c>
      <c r="B243" s="1312"/>
      <c r="C243" s="1312"/>
      <c r="D243" s="1312"/>
      <c r="E243" s="1312"/>
      <c r="F243" s="1312"/>
      <c r="G243" s="1312"/>
      <c r="H243" s="1312"/>
    </row>
    <row r="244" spans="1:8">
      <c r="A244" s="1317" t="s">
        <v>818</v>
      </c>
      <c r="B244" s="1312"/>
      <c r="C244" s="1312"/>
      <c r="D244" s="1312"/>
      <c r="E244" s="1312"/>
      <c r="F244" s="1312"/>
      <c r="G244" s="1312"/>
      <c r="H244" s="1312"/>
    </row>
    <row r="245" spans="1:8">
      <c r="A245" s="1312"/>
      <c r="B245" s="1312"/>
      <c r="C245" s="1312"/>
      <c r="D245" s="1312"/>
      <c r="E245" s="1312"/>
      <c r="F245" s="1312"/>
      <c r="G245" s="1312"/>
      <c r="H245" s="1312"/>
    </row>
    <row r="246" spans="1:8">
      <c r="A246" s="1317" t="s">
        <v>803</v>
      </c>
      <c r="B246" s="1312"/>
      <c r="C246" s="1312"/>
      <c r="D246" s="1312"/>
      <c r="E246" s="1312"/>
      <c r="F246" s="1312"/>
      <c r="G246" s="1312"/>
      <c r="H246" s="1312"/>
    </row>
    <row r="247" spans="1:8">
      <c r="A247" s="1317" t="s">
        <v>804</v>
      </c>
      <c r="B247" s="1312"/>
      <c r="C247" s="1312"/>
      <c r="D247" s="1312"/>
      <c r="E247" s="1312"/>
      <c r="F247" s="1312"/>
      <c r="G247" s="1312"/>
      <c r="H247" s="1312"/>
    </row>
    <row r="248" spans="1:8">
      <c r="A248" s="1317" t="s">
        <v>805</v>
      </c>
      <c r="B248" s="1312"/>
      <c r="C248" s="1312"/>
      <c r="D248" s="1312"/>
      <c r="E248" s="1312"/>
      <c r="F248" s="1312"/>
      <c r="G248" s="1312"/>
      <c r="H248" s="1312"/>
    </row>
    <row r="249" spans="1:8">
      <c r="A249" s="1317" t="s">
        <v>806</v>
      </c>
      <c r="B249" s="1312"/>
      <c r="C249" s="1312"/>
      <c r="D249" s="1312"/>
      <c r="E249" s="1312"/>
      <c r="F249" s="1312"/>
      <c r="G249" s="1312"/>
      <c r="H249" s="1312"/>
    </row>
    <row r="250" spans="1:8">
      <c r="A250" s="1317" t="s">
        <v>807</v>
      </c>
      <c r="B250" s="1312"/>
      <c r="C250" s="1312"/>
      <c r="D250" s="1312"/>
      <c r="E250" s="1312"/>
      <c r="F250" s="1312"/>
      <c r="G250" s="1312"/>
      <c r="H250" s="1312"/>
    </row>
    <row r="251" spans="1:8">
      <c r="A251" s="1317" t="s">
        <v>808</v>
      </c>
      <c r="B251" s="1312"/>
      <c r="C251" s="1312"/>
      <c r="D251" s="1312"/>
      <c r="E251" s="1312"/>
      <c r="F251" s="1312"/>
      <c r="G251" s="1312"/>
      <c r="H251" s="1312"/>
    </row>
    <row r="252" spans="1:8">
      <c r="A252" s="1317" t="s">
        <v>809</v>
      </c>
      <c r="B252" s="1312"/>
      <c r="C252" s="1312"/>
      <c r="D252" s="1312"/>
      <c r="E252" s="1312"/>
      <c r="F252" s="1312"/>
      <c r="G252" s="1312"/>
      <c r="H252" s="1312"/>
    </row>
    <row r="253" spans="1:8">
      <c r="A253" s="1317" t="s">
        <v>810</v>
      </c>
      <c r="B253" s="1312"/>
      <c r="C253" s="1312"/>
      <c r="D253" s="1312"/>
      <c r="E253" s="1312"/>
      <c r="F253" s="1312"/>
      <c r="G253" s="1312"/>
      <c r="H253" s="1312"/>
    </row>
    <row r="254" spans="1:8">
      <c r="A254" s="1317" t="s">
        <v>811</v>
      </c>
      <c r="B254" s="1312"/>
      <c r="C254" s="1312"/>
      <c r="D254" s="1312"/>
      <c r="E254" s="1312"/>
      <c r="F254" s="1312"/>
      <c r="G254" s="1312"/>
      <c r="H254" s="1312"/>
    </row>
    <row r="255" spans="1:8">
      <c r="A255" s="1317" t="s">
        <v>812</v>
      </c>
      <c r="B255" s="1312"/>
      <c r="C255" s="1312"/>
      <c r="D255" s="1312"/>
      <c r="E255" s="1312"/>
      <c r="F255" s="1312"/>
      <c r="G255" s="1312"/>
      <c r="H255" s="1312"/>
    </row>
    <row r="256" spans="1:8">
      <c r="A256" s="1312"/>
      <c r="B256" s="1312"/>
      <c r="C256" s="1312"/>
      <c r="D256" s="1312"/>
      <c r="E256" s="1312"/>
      <c r="F256" s="1312"/>
      <c r="G256" s="1312"/>
      <c r="H256" s="1312"/>
    </row>
    <row r="257" spans="1:8">
      <c r="A257" s="1317" t="s">
        <v>801</v>
      </c>
      <c r="B257" s="1312"/>
      <c r="C257" s="1312"/>
      <c r="D257" s="1312"/>
      <c r="E257" s="1312"/>
      <c r="F257" s="1312"/>
      <c r="G257" s="1312"/>
      <c r="H257" s="1312"/>
    </row>
    <row r="258" spans="1:8">
      <c r="A258" s="1317" t="s">
        <v>802</v>
      </c>
      <c r="B258" s="1312"/>
      <c r="C258" s="1312"/>
      <c r="D258" s="1312"/>
      <c r="E258" s="1312"/>
      <c r="F258" s="1312"/>
      <c r="G258" s="1312"/>
      <c r="H258" s="1312"/>
    </row>
    <row r="259" spans="1:8">
      <c r="A259" s="1312"/>
      <c r="B259" s="1312"/>
      <c r="C259" s="1312"/>
      <c r="D259" s="1312"/>
      <c r="E259" s="1312"/>
      <c r="F259" s="1312"/>
      <c r="G259" s="1312"/>
      <c r="H259" s="1312"/>
    </row>
    <row r="260" spans="1:8">
      <c r="A260" s="1317" t="s">
        <v>785</v>
      </c>
      <c r="B260" s="1312"/>
      <c r="C260" s="1312"/>
      <c r="D260" s="1312"/>
      <c r="E260" s="1312"/>
      <c r="F260" s="1312"/>
      <c r="G260" s="1312"/>
      <c r="H260" s="1312"/>
    </row>
    <row r="261" spans="1:8">
      <c r="A261" s="1317" t="s">
        <v>786</v>
      </c>
      <c r="B261" s="1312"/>
      <c r="C261" s="1312"/>
      <c r="D261" s="1312"/>
      <c r="E261" s="1312"/>
      <c r="F261" s="1312"/>
      <c r="G261" s="1312"/>
      <c r="H261" s="1312"/>
    </row>
    <row r="262" spans="1:8">
      <c r="A262" s="1317" t="s">
        <v>787</v>
      </c>
      <c r="B262" s="1312"/>
      <c r="C262" s="1312"/>
      <c r="D262" s="1312"/>
      <c r="E262" s="1312"/>
      <c r="F262" s="1312"/>
      <c r="G262" s="1312"/>
      <c r="H262" s="1312"/>
    </row>
    <row r="263" spans="1:8">
      <c r="A263" s="1317" t="s">
        <v>788</v>
      </c>
      <c r="B263" s="1312"/>
      <c r="C263" s="1312"/>
      <c r="D263" s="1312"/>
      <c r="E263" s="1312"/>
      <c r="F263" s="1312"/>
      <c r="G263" s="1312"/>
      <c r="H263" s="1312"/>
    </row>
    <row r="264" spans="1:8">
      <c r="A264" s="1317" t="s">
        <v>789</v>
      </c>
      <c r="B264" s="1312"/>
      <c r="C264" s="1312"/>
      <c r="D264" s="1312"/>
      <c r="E264" s="1312"/>
      <c r="F264" s="1312"/>
      <c r="G264" s="1312"/>
      <c r="H264" s="1312"/>
    </row>
    <row r="265" spans="1:8">
      <c r="A265" s="1317" t="s">
        <v>790</v>
      </c>
      <c r="B265" s="1312"/>
      <c r="C265" s="1312"/>
      <c r="D265" s="1312"/>
      <c r="E265" s="1312"/>
      <c r="F265" s="1312"/>
      <c r="G265" s="1312"/>
      <c r="H265" s="1312"/>
    </row>
    <row r="266" spans="1:8">
      <c r="A266" s="1317" t="s">
        <v>791</v>
      </c>
      <c r="B266" s="1312"/>
      <c r="C266" s="1312"/>
      <c r="D266" s="1312"/>
      <c r="E266" s="1312"/>
      <c r="F266" s="1312"/>
      <c r="G266" s="1312"/>
      <c r="H266" s="1312"/>
    </row>
    <row r="267" spans="1:8">
      <c r="A267" s="1317" t="s">
        <v>792</v>
      </c>
      <c r="B267" s="1312"/>
      <c r="C267" s="1312"/>
      <c r="D267" s="1312"/>
      <c r="E267" s="1312"/>
      <c r="F267" s="1312"/>
      <c r="G267" s="1312"/>
      <c r="H267" s="1312"/>
    </row>
    <row r="268" spans="1:8">
      <c r="A268" s="1317" t="s">
        <v>793</v>
      </c>
      <c r="B268" s="1312"/>
      <c r="C268" s="1312"/>
      <c r="D268" s="1312"/>
      <c r="E268" s="1312"/>
      <c r="F268" s="1312"/>
      <c r="G268" s="1312"/>
      <c r="H268" s="1312"/>
    </row>
    <row r="269" spans="1:8">
      <c r="A269" s="1317" t="s">
        <v>794</v>
      </c>
      <c r="B269" s="1312"/>
      <c r="C269" s="1312"/>
      <c r="D269" s="1312"/>
      <c r="E269" s="1312"/>
      <c r="F269" s="1312"/>
      <c r="G269" s="1312"/>
      <c r="H269" s="1312"/>
    </row>
    <row r="270" spans="1:8">
      <c r="A270" s="1317" t="s">
        <v>795</v>
      </c>
      <c r="B270" s="1312"/>
      <c r="C270" s="1312"/>
      <c r="D270" s="1312"/>
      <c r="E270" s="1312"/>
      <c r="F270" s="1312"/>
      <c r="G270" s="1312"/>
      <c r="H270" s="1312"/>
    </row>
    <row r="271" spans="1:8">
      <c r="A271" s="1317" t="s">
        <v>796</v>
      </c>
      <c r="B271" s="1312"/>
      <c r="C271" s="1312"/>
      <c r="D271" s="1312"/>
      <c r="E271" s="1312"/>
      <c r="F271" s="1312"/>
      <c r="G271" s="1312"/>
      <c r="H271" s="1312"/>
    </row>
    <row r="272" spans="1:8">
      <c r="A272" s="1317" t="s">
        <v>797</v>
      </c>
      <c r="B272" s="1312"/>
      <c r="C272" s="1312"/>
      <c r="D272" s="1312"/>
      <c r="E272" s="1312"/>
      <c r="F272" s="1312"/>
      <c r="G272" s="1312"/>
      <c r="H272" s="1312"/>
    </row>
    <row r="273" spans="1:8">
      <c r="A273" s="1317" t="s">
        <v>798</v>
      </c>
      <c r="B273" s="1312"/>
      <c r="C273" s="1312"/>
      <c r="D273" s="1312"/>
      <c r="E273" s="1312"/>
      <c r="F273" s="1312"/>
      <c r="G273" s="1312"/>
      <c r="H273" s="1312"/>
    </row>
    <row r="274" spans="1:8">
      <c r="A274" s="1317" t="s">
        <v>799</v>
      </c>
      <c r="B274" s="1312"/>
      <c r="C274" s="1312"/>
      <c r="D274" s="1312"/>
      <c r="E274" s="1312"/>
      <c r="F274" s="1312"/>
      <c r="G274" s="1312"/>
      <c r="H274" s="1312"/>
    </row>
    <row r="275" spans="1:8">
      <c r="A275" s="1317" t="s">
        <v>800</v>
      </c>
      <c r="B275" s="1312"/>
      <c r="C275" s="1312"/>
      <c r="D275" s="1312"/>
      <c r="E275" s="1312"/>
      <c r="F275" s="1312"/>
      <c r="G275" s="1312"/>
      <c r="H275" s="1312"/>
    </row>
    <row r="276" spans="1:8">
      <c r="A276" s="1312"/>
      <c r="B276" s="1312"/>
      <c r="C276" s="1312"/>
      <c r="D276" s="1312"/>
      <c r="E276" s="1312"/>
      <c r="F276" s="1312"/>
      <c r="G276" s="1312"/>
      <c r="H276" s="1312"/>
    </row>
    <row r="277" spans="1:8">
      <c r="A277" s="1317" t="s">
        <v>778</v>
      </c>
      <c r="B277" s="1312"/>
      <c r="C277" s="1312"/>
      <c r="D277" s="1312"/>
      <c r="E277" s="1312"/>
      <c r="F277" s="1312"/>
      <c r="G277" s="1312"/>
      <c r="H277" s="1312"/>
    </row>
    <row r="278" spans="1:8">
      <c r="A278" s="1317" t="s">
        <v>779</v>
      </c>
      <c r="B278" s="1312"/>
      <c r="C278" s="1312"/>
      <c r="D278" s="1312"/>
      <c r="E278" s="1312"/>
      <c r="F278" s="1312"/>
      <c r="G278" s="1312"/>
      <c r="H278" s="1312"/>
    </row>
    <row r="279" spans="1:8">
      <c r="A279" s="1317" t="s">
        <v>780</v>
      </c>
      <c r="B279" s="1312"/>
      <c r="C279" s="1312"/>
      <c r="D279" s="1312"/>
      <c r="E279" s="1312"/>
      <c r="F279" s="1312"/>
      <c r="G279" s="1312"/>
      <c r="H279" s="1312"/>
    </row>
    <row r="280" spans="1:8">
      <c r="A280" s="1317" t="s">
        <v>781</v>
      </c>
      <c r="B280" s="1312"/>
      <c r="C280" s="1312"/>
      <c r="D280" s="1312"/>
      <c r="E280" s="1312"/>
      <c r="F280" s="1312"/>
      <c r="G280" s="1312"/>
      <c r="H280" s="1312"/>
    </row>
    <row r="281" spans="1:8">
      <c r="A281" s="1317" t="s">
        <v>782</v>
      </c>
      <c r="B281" s="1312"/>
      <c r="C281" s="1312"/>
      <c r="D281" s="1312"/>
      <c r="E281" s="1312"/>
      <c r="F281" s="1312"/>
      <c r="G281" s="1312"/>
      <c r="H281" s="1312"/>
    </row>
    <row r="282" spans="1:8">
      <c r="A282" s="1317" t="s">
        <v>783</v>
      </c>
      <c r="B282" s="1312"/>
      <c r="C282" s="1312"/>
      <c r="D282" s="1312"/>
      <c r="E282" s="1312"/>
      <c r="F282" s="1312"/>
      <c r="G282" s="1312"/>
      <c r="H282" s="1312"/>
    </row>
    <row r="283" spans="1:8">
      <c r="A283" s="1317" t="s">
        <v>784</v>
      </c>
      <c r="B283" s="1312"/>
      <c r="C283" s="1312"/>
      <c r="D283" s="1312"/>
      <c r="E283" s="1312"/>
      <c r="F283" s="1312"/>
      <c r="G283" s="1312"/>
      <c r="H283" s="1312"/>
    </row>
    <row r="284" spans="1:8">
      <c r="A284" s="1312"/>
      <c r="B284" s="1312"/>
      <c r="C284" s="1312"/>
      <c r="D284" s="1312"/>
      <c r="E284" s="1312"/>
      <c r="F284" s="1312"/>
      <c r="G284" s="1312"/>
      <c r="H284" s="1312"/>
    </row>
    <row r="285" spans="1:8">
      <c r="A285" s="1317" t="s">
        <v>769</v>
      </c>
      <c r="B285" s="1312"/>
      <c r="C285" s="1312"/>
      <c r="D285" s="1312"/>
      <c r="E285" s="1312"/>
      <c r="F285" s="1312"/>
      <c r="G285" s="1312"/>
      <c r="H285" s="1312"/>
    </row>
    <row r="286" spans="1:8">
      <c r="A286" s="1317" t="s">
        <v>770</v>
      </c>
      <c r="B286" s="1312"/>
      <c r="C286" s="1312"/>
      <c r="D286" s="1312"/>
      <c r="E286" s="1312"/>
      <c r="F286" s="1312"/>
      <c r="G286" s="1312"/>
      <c r="H286" s="1312"/>
    </row>
    <row r="287" spans="1:8">
      <c r="A287" s="1317" t="s">
        <v>771</v>
      </c>
      <c r="B287" s="1312"/>
      <c r="C287" s="1312"/>
      <c r="D287" s="1312"/>
      <c r="E287" s="1312"/>
      <c r="F287" s="1312"/>
      <c r="G287" s="1312"/>
      <c r="H287" s="1312"/>
    </row>
    <row r="288" spans="1:8">
      <c r="A288" s="1317" t="s">
        <v>772</v>
      </c>
      <c r="B288" s="1312"/>
      <c r="C288" s="1312"/>
      <c r="D288" s="1312"/>
      <c r="E288" s="1312"/>
      <c r="F288" s="1312"/>
      <c r="G288" s="1312"/>
      <c r="H288" s="1312"/>
    </row>
    <row r="289" spans="1:8">
      <c r="A289" s="1317" t="s">
        <v>773</v>
      </c>
      <c r="B289" s="1312"/>
      <c r="C289" s="1312"/>
      <c r="D289" s="1312"/>
      <c r="E289" s="1312"/>
      <c r="F289" s="1312"/>
      <c r="G289" s="1312"/>
      <c r="H289" s="1312"/>
    </row>
    <row r="290" spans="1:8">
      <c r="A290" s="1317" t="s">
        <v>774</v>
      </c>
      <c r="B290" s="1312"/>
      <c r="C290" s="1312"/>
      <c r="D290" s="1312"/>
      <c r="E290" s="1312"/>
      <c r="F290" s="1312"/>
      <c r="G290" s="1312"/>
      <c r="H290" s="1312"/>
    </row>
    <row r="291" spans="1:8">
      <c r="A291" s="1317" t="s">
        <v>775</v>
      </c>
      <c r="B291" s="1312"/>
      <c r="C291" s="1312"/>
      <c r="D291" s="1312"/>
      <c r="E291" s="1312"/>
      <c r="F291" s="1312"/>
      <c r="G291" s="1312"/>
      <c r="H291" s="1312"/>
    </row>
    <row r="292" spans="1:8">
      <c r="A292" s="1317" t="s">
        <v>776</v>
      </c>
      <c r="B292" s="1312"/>
      <c r="C292" s="1312"/>
      <c r="D292" s="1312"/>
      <c r="E292" s="1312"/>
      <c r="F292" s="1312"/>
      <c r="G292" s="1312"/>
      <c r="H292" s="1312"/>
    </row>
    <row r="293" spans="1:8">
      <c r="A293" s="1317" t="s">
        <v>777</v>
      </c>
      <c r="B293" s="1312"/>
      <c r="C293" s="1312"/>
      <c r="D293" s="1312"/>
      <c r="E293" s="1312"/>
      <c r="F293" s="1312"/>
      <c r="G293" s="1312"/>
      <c r="H293" s="1312"/>
    </row>
    <row r="294" spans="1:8">
      <c r="A294" s="1312"/>
      <c r="B294" s="1312"/>
      <c r="C294" s="1312"/>
      <c r="D294" s="1312"/>
      <c r="E294" s="1312"/>
      <c r="F294" s="1312"/>
      <c r="G294" s="1312"/>
      <c r="H294" s="1312"/>
    </row>
    <row r="295" spans="1:8">
      <c r="A295" s="1317" t="s">
        <v>762</v>
      </c>
      <c r="B295" s="1312"/>
      <c r="C295" s="1312"/>
      <c r="D295" s="1312"/>
      <c r="E295" s="1312"/>
      <c r="F295" s="1312"/>
      <c r="G295" s="1312"/>
      <c r="H295" s="1312"/>
    </row>
    <row r="296" spans="1:8">
      <c r="A296" s="1317" t="s">
        <v>763</v>
      </c>
      <c r="B296" s="1312"/>
      <c r="C296" s="1312"/>
      <c r="D296" s="1312"/>
      <c r="E296" s="1312"/>
      <c r="F296" s="1312"/>
      <c r="G296" s="1312"/>
      <c r="H296" s="1312"/>
    </row>
    <row r="297" spans="1:8">
      <c r="A297" s="1317" t="s">
        <v>764</v>
      </c>
      <c r="B297" s="1312"/>
      <c r="C297" s="1312"/>
      <c r="D297" s="1312"/>
      <c r="E297" s="1312"/>
      <c r="F297" s="1312"/>
      <c r="G297" s="1312"/>
      <c r="H297" s="1312"/>
    </row>
    <row r="298" spans="1:8">
      <c r="A298" s="1317" t="s">
        <v>765</v>
      </c>
      <c r="B298" s="1312"/>
      <c r="C298" s="1312"/>
      <c r="D298" s="1312"/>
      <c r="E298" s="1312"/>
      <c r="F298" s="1312"/>
      <c r="G298" s="1312"/>
      <c r="H298" s="1312"/>
    </row>
    <row r="299" spans="1:8">
      <c r="A299" s="1317" t="s">
        <v>766</v>
      </c>
      <c r="B299" s="1312"/>
      <c r="C299" s="1312"/>
      <c r="D299" s="1312"/>
      <c r="E299" s="1312"/>
      <c r="F299" s="1312"/>
      <c r="G299" s="1312"/>
      <c r="H299" s="1312"/>
    </row>
    <row r="300" spans="1:8">
      <c r="A300" s="1317" t="s">
        <v>767</v>
      </c>
      <c r="B300" s="1312"/>
      <c r="C300" s="1312"/>
      <c r="D300" s="1312"/>
      <c r="E300" s="1312"/>
      <c r="F300" s="1312"/>
      <c r="G300" s="1312"/>
      <c r="H300" s="1312"/>
    </row>
    <row r="301" spans="1:8">
      <c r="A301" s="1317" t="s">
        <v>768</v>
      </c>
      <c r="B301" s="1312"/>
      <c r="C301" s="1312"/>
      <c r="D301" s="1312"/>
      <c r="E301" s="1312"/>
      <c r="F301" s="1312"/>
      <c r="G301" s="1312"/>
      <c r="H301" s="1312"/>
    </row>
    <row r="302" spans="1:8">
      <c r="A302" s="1312"/>
      <c r="B302" s="1312"/>
      <c r="C302" s="1312"/>
      <c r="D302" s="1312"/>
      <c r="E302" s="1312"/>
      <c r="F302" s="1312"/>
      <c r="G302" s="1312"/>
      <c r="H302" s="1312"/>
    </row>
    <row r="303" spans="1:8">
      <c r="A303" s="1317" t="s">
        <v>759</v>
      </c>
      <c r="B303" s="1312"/>
      <c r="C303" s="1312"/>
      <c r="D303" s="1312"/>
      <c r="E303" s="1312"/>
      <c r="F303" s="1312"/>
      <c r="G303" s="1312"/>
      <c r="H303" s="1312"/>
    </row>
    <row r="304" spans="1:8">
      <c r="A304" s="1317" t="s">
        <v>760</v>
      </c>
      <c r="B304" s="1312"/>
      <c r="C304" s="1312"/>
      <c r="D304" s="1312"/>
      <c r="E304" s="1312"/>
      <c r="F304" s="1312"/>
      <c r="G304" s="1312"/>
      <c r="H304" s="1312"/>
    </row>
    <row r="305" spans="1:8">
      <c r="A305" s="1317" t="s">
        <v>761</v>
      </c>
      <c r="B305" s="1312"/>
      <c r="C305" s="1312"/>
      <c r="D305" s="1312"/>
      <c r="E305" s="1312"/>
      <c r="F305" s="1312"/>
      <c r="G305" s="1312"/>
      <c r="H305" s="1312"/>
    </row>
    <row r="306" spans="1:8">
      <c r="A306" s="1312"/>
      <c r="B306" s="1312"/>
      <c r="C306" s="1312"/>
      <c r="D306" s="1312"/>
      <c r="E306" s="1312"/>
      <c r="F306" s="1312"/>
      <c r="G306" s="1312"/>
      <c r="H306" s="1312"/>
    </row>
    <row r="307" spans="1:8">
      <c r="A307" s="1317" t="s">
        <v>757</v>
      </c>
      <c r="B307" s="1312"/>
      <c r="C307" s="1312"/>
      <c r="D307" s="1312"/>
      <c r="E307" s="1312"/>
      <c r="F307" s="1312"/>
      <c r="G307" s="1312"/>
      <c r="H307" s="1312"/>
    </row>
    <row r="308" spans="1:8">
      <c r="A308" s="1317" t="s">
        <v>758</v>
      </c>
      <c r="B308" s="1312"/>
      <c r="C308" s="1312"/>
      <c r="D308" s="1312"/>
      <c r="E308" s="1312"/>
      <c r="F308" s="1312"/>
      <c r="G308" s="1312"/>
      <c r="H308" s="1312"/>
    </row>
    <row r="309" spans="1:8">
      <c r="A309" s="1312"/>
      <c r="B309" s="1312"/>
      <c r="C309" s="1312"/>
      <c r="D309" s="1312"/>
      <c r="E309" s="1312"/>
      <c r="F309" s="1312"/>
      <c r="G309" s="1312"/>
      <c r="H309" s="1312"/>
    </row>
    <row r="310" spans="1:8">
      <c r="A310" s="1317" t="s">
        <v>744</v>
      </c>
      <c r="B310" s="1312"/>
      <c r="C310" s="1312"/>
      <c r="D310" s="1312"/>
      <c r="E310" s="1312"/>
      <c r="F310" s="1312"/>
      <c r="G310" s="1312"/>
      <c r="H310" s="1312"/>
    </row>
    <row r="311" spans="1:8">
      <c r="A311" s="1317" t="s">
        <v>745</v>
      </c>
      <c r="B311" s="1312"/>
      <c r="C311" s="1312"/>
      <c r="D311" s="1312"/>
      <c r="E311" s="1312"/>
      <c r="F311" s="1312"/>
      <c r="G311" s="1312"/>
      <c r="H311" s="1312"/>
    </row>
    <row r="312" spans="1:8">
      <c r="A312" s="1317" t="s">
        <v>746</v>
      </c>
      <c r="B312" s="1312"/>
      <c r="C312" s="1312"/>
      <c r="D312" s="1312"/>
      <c r="E312" s="1312"/>
      <c r="F312" s="1312"/>
      <c r="G312" s="1312"/>
      <c r="H312" s="1312"/>
    </row>
    <row r="313" spans="1:8">
      <c r="A313" s="1317" t="s">
        <v>747</v>
      </c>
      <c r="B313" s="1312"/>
      <c r="C313" s="1312"/>
      <c r="D313" s="1312"/>
      <c r="E313" s="1312"/>
      <c r="F313" s="1312"/>
      <c r="G313" s="1312"/>
      <c r="H313" s="1312"/>
    </row>
    <row r="314" spans="1:8">
      <c r="A314" s="1317" t="s">
        <v>748</v>
      </c>
      <c r="B314" s="1312"/>
      <c r="C314" s="1312"/>
      <c r="D314" s="1312"/>
      <c r="E314" s="1312"/>
      <c r="F314" s="1312"/>
      <c r="G314" s="1312"/>
      <c r="H314" s="1312"/>
    </row>
    <row r="315" spans="1:8">
      <c r="A315" s="1317" t="s">
        <v>749</v>
      </c>
      <c r="B315" s="1312"/>
      <c r="C315" s="1312"/>
      <c r="D315" s="1312"/>
      <c r="E315" s="1312"/>
      <c r="F315" s="1312"/>
      <c r="G315" s="1312"/>
      <c r="H315" s="1312"/>
    </row>
    <row r="316" spans="1:8">
      <c r="A316" s="1317" t="s">
        <v>750</v>
      </c>
      <c r="B316" s="1312"/>
      <c r="C316" s="1312"/>
      <c r="D316" s="1312"/>
      <c r="E316" s="1312"/>
      <c r="F316" s="1312"/>
      <c r="G316" s="1312"/>
      <c r="H316" s="1312"/>
    </row>
    <row r="317" spans="1:8">
      <c r="A317" s="1317" t="s">
        <v>751</v>
      </c>
      <c r="B317" s="1312"/>
      <c r="C317" s="1312"/>
      <c r="D317" s="1312"/>
      <c r="E317" s="1312"/>
      <c r="F317" s="1312"/>
      <c r="G317" s="1312"/>
      <c r="H317" s="1312"/>
    </row>
    <row r="318" spans="1:8">
      <c r="A318" s="1317" t="s">
        <v>752</v>
      </c>
      <c r="B318" s="1312"/>
      <c r="C318" s="1312"/>
      <c r="D318" s="1312"/>
      <c r="E318" s="1312"/>
      <c r="F318" s="1312"/>
      <c r="G318" s="1312"/>
      <c r="H318" s="1312"/>
    </row>
    <row r="319" spans="1:8">
      <c r="A319" s="1317" t="s">
        <v>753</v>
      </c>
      <c r="B319" s="1312"/>
      <c r="C319" s="1312"/>
      <c r="D319" s="1312"/>
      <c r="E319" s="1312"/>
      <c r="F319" s="1312"/>
      <c r="G319" s="1312"/>
      <c r="H319" s="1312"/>
    </row>
    <row r="320" spans="1:8">
      <c r="A320" s="1317" t="s">
        <v>754</v>
      </c>
      <c r="B320" s="1312"/>
      <c r="C320" s="1312"/>
      <c r="D320" s="1312"/>
      <c r="E320" s="1312"/>
      <c r="F320" s="1312"/>
      <c r="G320" s="1312"/>
      <c r="H320" s="1312"/>
    </row>
    <row r="321" spans="1:8">
      <c r="A321" s="1317" t="s">
        <v>755</v>
      </c>
      <c r="B321" s="1312"/>
      <c r="C321" s="1312"/>
      <c r="D321" s="1312"/>
      <c r="E321" s="1312"/>
      <c r="F321" s="1312"/>
      <c r="G321" s="1312"/>
      <c r="H321" s="1312"/>
    </row>
    <row r="322" spans="1:8">
      <c r="A322" s="1317" t="s">
        <v>756</v>
      </c>
      <c r="B322" s="1312"/>
      <c r="C322" s="1312"/>
      <c r="D322" s="1312"/>
      <c r="E322" s="1312"/>
      <c r="F322" s="1312"/>
      <c r="G322" s="1312"/>
      <c r="H322" s="1312"/>
    </row>
    <row r="323" spans="1:8">
      <c r="A323" s="1312"/>
      <c r="B323" s="1312"/>
      <c r="C323" s="1312"/>
      <c r="D323" s="1312"/>
      <c r="E323" s="1312"/>
      <c r="F323" s="1312"/>
      <c r="G323" s="1312"/>
      <c r="H323" s="1312"/>
    </row>
    <row r="324" spans="1:8">
      <c r="A324" s="1317" t="s">
        <v>736</v>
      </c>
      <c r="B324" s="1312"/>
      <c r="C324" s="1312"/>
      <c r="D324" s="1312"/>
      <c r="E324" s="1312"/>
      <c r="F324" s="1312"/>
      <c r="G324" s="1312"/>
      <c r="H324" s="1312"/>
    </row>
    <row r="325" spans="1:8">
      <c r="A325" s="1317" t="s">
        <v>737</v>
      </c>
      <c r="B325" s="1312"/>
      <c r="C325" s="1312"/>
      <c r="D325" s="1312"/>
      <c r="E325" s="1312"/>
      <c r="F325" s="1312"/>
      <c r="G325" s="1312"/>
      <c r="H325" s="1312"/>
    </row>
    <row r="326" spans="1:8">
      <c r="A326" s="1317" t="s">
        <v>738</v>
      </c>
      <c r="B326" s="1312"/>
      <c r="C326" s="1312"/>
      <c r="D326" s="1312"/>
      <c r="E326" s="1312"/>
      <c r="F326" s="1312"/>
      <c r="G326" s="1312"/>
      <c r="H326" s="1312"/>
    </row>
    <row r="327" spans="1:8">
      <c r="A327" s="1317" t="s">
        <v>739</v>
      </c>
      <c r="B327" s="1312"/>
      <c r="C327" s="1312"/>
      <c r="D327" s="1312"/>
      <c r="E327" s="1312"/>
      <c r="F327" s="1312"/>
      <c r="G327" s="1312"/>
      <c r="H327" s="1312"/>
    </row>
    <row r="328" spans="1:8">
      <c r="A328" s="1317" t="s">
        <v>740</v>
      </c>
      <c r="B328" s="1312"/>
      <c r="C328" s="1312"/>
      <c r="D328" s="1312"/>
      <c r="E328" s="1312"/>
      <c r="F328" s="1312"/>
      <c r="G328" s="1312"/>
      <c r="H328" s="1312"/>
    </row>
    <row r="329" spans="1:8">
      <c r="A329" s="1317" t="s">
        <v>741</v>
      </c>
      <c r="B329" s="1312"/>
      <c r="C329" s="1312"/>
      <c r="D329" s="1312"/>
      <c r="E329" s="1312"/>
      <c r="F329" s="1312"/>
      <c r="G329" s="1312"/>
      <c r="H329" s="1312"/>
    </row>
    <row r="330" spans="1:8">
      <c r="A330" s="1317" t="s">
        <v>742</v>
      </c>
      <c r="B330" s="1312"/>
      <c r="C330" s="1312"/>
      <c r="D330" s="1312"/>
      <c r="E330" s="1312"/>
      <c r="F330" s="1312"/>
      <c r="G330" s="1312"/>
      <c r="H330" s="1312"/>
    </row>
    <row r="331" spans="1:8">
      <c r="A331" s="1317" t="s">
        <v>743</v>
      </c>
      <c r="B331" s="1312"/>
      <c r="C331" s="1312"/>
      <c r="D331" s="1312"/>
      <c r="E331" s="1312"/>
      <c r="F331" s="1312"/>
      <c r="G331" s="1312"/>
      <c r="H331" s="1312"/>
    </row>
    <row r="332" spans="1:8">
      <c r="A332" s="1312"/>
      <c r="B332" s="1312"/>
      <c r="C332" s="1312"/>
      <c r="D332" s="1312"/>
      <c r="E332" s="1312"/>
      <c r="F332" s="1312"/>
      <c r="G332" s="1312"/>
      <c r="H332" s="1312"/>
    </row>
    <row r="333" spans="1:8">
      <c r="A333" s="1317" t="s">
        <v>701</v>
      </c>
      <c r="B333" s="1312"/>
      <c r="C333" s="1312"/>
      <c r="D333" s="1312"/>
      <c r="E333" s="1312"/>
      <c r="F333" s="1312"/>
      <c r="G333" s="1312"/>
      <c r="H333" s="1312"/>
    </row>
    <row r="334" spans="1:8">
      <c r="A334" s="1317" t="s">
        <v>702</v>
      </c>
      <c r="B334" s="1312"/>
      <c r="C334" s="1312"/>
      <c r="D334" s="1312"/>
      <c r="E334" s="1312"/>
      <c r="F334" s="1312"/>
      <c r="G334" s="1312"/>
      <c r="H334" s="1312"/>
    </row>
    <row r="335" spans="1:8">
      <c r="A335" s="1317" t="s">
        <v>703</v>
      </c>
      <c r="B335" s="1312"/>
      <c r="C335" s="1312"/>
      <c r="D335" s="1312"/>
      <c r="E335" s="1312"/>
      <c r="F335" s="1312"/>
      <c r="G335" s="1312"/>
      <c r="H335" s="1312"/>
    </row>
    <row r="336" spans="1:8">
      <c r="A336" s="1317" t="s">
        <v>704</v>
      </c>
      <c r="B336" s="1312"/>
      <c r="C336" s="1312"/>
      <c r="D336" s="1312"/>
      <c r="E336" s="1312"/>
      <c r="F336" s="1312"/>
      <c r="G336" s="1312"/>
      <c r="H336" s="1312"/>
    </row>
    <row r="337" spans="1:8">
      <c r="A337" s="1317" t="s">
        <v>705</v>
      </c>
      <c r="B337" s="1312"/>
      <c r="C337" s="1312"/>
      <c r="D337" s="1312"/>
      <c r="E337" s="1312"/>
      <c r="F337" s="1312"/>
      <c r="G337" s="1312"/>
      <c r="H337" s="1312"/>
    </row>
    <row r="338" spans="1:8">
      <c r="A338" s="1317" t="s">
        <v>706</v>
      </c>
      <c r="B338" s="1312"/>
      <c r="C338" s="1312"/>
      <c r="D338" s="1312"/>
      <c r="E338" s="1312"/>
      <c r="F338" s="1312"/>
      <c r="G338" s="1312"/>
      <c r="H338" s="1312"/>
    </row>
    <row r="339" spans="1:8">
      <c r="A339" s="1317" t="s">
        <v>707</v>
      </c>
      <c r="B339" s="1312"/>
      <c r="C339" s="1312"/>
      <c r="D339" s="1312"/>
      <c r="E339" s="1312"/>
      <c r="F339" s="1312"/>
      <c r="G339" s="1312"/>
      <c r="H339" s="1312"/>
    </row>
    <row r="340" spans="1:8">
      <c r="A340" s="1317" t="s">
        <v>708</v>
      </c>
      <c r="B340" s="1312"/>
      <c r="C340" s="1312"/>
      <c r="D340" s="1312"/>
      <c r="E340" s="1312"/>
      <c r="F340" s="1312"/>
      <c r="G340" s="1312"/>
      <c r="H340" s="1312"/>
    </row>
    <row r="341" spans="1:8">
      <c r="A341" s="1317" t="s">
        <v>709</v>
      </c>
      <c r="B341" s="1312"/>
      <c r="C341" s="1312"/>
      <c r="D341" s="1312"/>
      <c r="E341" s="1312"/>
      <c r="F341" s="1312"/>
      <c r="G341" s="1312"/>
      <c r="H341" s="1312"/>
    </row>
    <row r="342" spans="1:8">
      <c r="A342" s="1317" t="s">
        <v>710</v>
      </c>
      <c r="B342" s="1312"/>
      <c r="C342" s="1312"/>
      <c r="D342" s="1312"/>
      <c r="E342" s="1312"/>
      <c r="F342" s="1312"/>
      <c r="G342" s="1312"/>
      <c r="H342" s="1312"/>
    </row>
    <row r="343" spans="1:8">
      <c r="A343" s="1317" t="s">
        <v>711</v>
      </c>
      <c r="B343" s="1312"/>
      <c r="C343" s="1312"/>
      <c r="D343" s="1312"/>
      <c r="E343" s="1312"/>
      <c r="F343" s="1312"/>
      <c r="G343" s="1312"/>
      <c r="H343" s="1312"/>
    </row>
    <row r="344" spans="1:8">
      <c r="A344" s="1317" t="s">
        <v>712</v>
      </c>
      <c r="B344" s="1312"/>
      <c r="C344" s="1312"/>
      <c r="D344" s="1312"/>
      <c r="E344" s="1312"/>
      <c r="F344" s="1312"/>
      <c r="G344" s="1312"/>
      <c r="H344" s="1312"/>
    </row>
    <row r="345" spans="1:8">
      <c r="A345" s="1317" t="s">
        <v>713</v>
      </c>
      <c r="B345" s="1312"/>
      <c r="C345" s="1312"/>
      <c r="D345" s="1312"/>
      <c r="E345" s="1312"/>
      <c r="F345" s="1312"/>
      <c r="G345" s="1312"/>
      <c r="H345" s="1312"/>
    </row>
    <row r="346" spans="1:8">
      <c r="A346" s="1317" t="s">
        <v>714</v>
      </c>
      <c r="B346" s="1312"/>
      <c r="C346" s="1312"/>
      <c r="D346" s="1312"/>
      <c r="E346" s="1312"/>
      <c r="F346" s="1312"/>
      <c r="G346" s="1312"/>
      <c r="H346" s="1312"/>
    </row>
    <row r="347" spans="1:8">
      <c r="A347" s="1317" t="s">
        <v>715</v>
      </c>
      <c r="B347" s="1312"/>
      <c r="C347" s="1312"/>
      <c r="D347" s="1312"/>
      <c r="E347" s="1312"/>
      <c r="F347" s="1312"/>
      <c r="G347" s="1312"/>
      <c r="H347" s="1312"/>
    </row>
    <row r="348" spans="1:8">
      <c r="A348" s="1317" t="s">
        <v>716</v>
      </c>
      <c r="B348" s="1312"/>
      <c r="C348" s="1312"/>
      <c r="D348" s="1312"/>
      <c r="E348" s="1312"/>
      <c r="F348" s="1312"/>
      <c r="G348" s="1312"/>
      <c r="H348" s="1312"/>
    </row>
    <row r="349" spans="1:8">
      <c r="A349" s="1317" t="s">
        <v>717</v>
      </c>
      <c r="B349" s="1312"/>
      <c r="C349" s="1312"/>
      <c r="D349" s="1312"/>
      <c r="E349" s="1312"/>
      <c r="F349" s="1312"/>
      <c r="G349" s="1312"/>
      <c r="H349" s="1312"/>
    </row>
    <row r="350" spans="1:8">
      <c r="A350" s="1317" t="s">
        <v>718</v>
      </c>
      <c r="B350" s="1312"/>
      <c r="C350" s="1312"/>
      <c r="D350" s="1312"/>
      <c r="E350" s="1312"/>
      <c r="F350" s="1312"/>
      <c r="G350" s="1312"/>
      <c r="H350" s="1312"/>
    </row>
    <row r="351" spans="1:8">
      <c r="A351" s="1317" t="s">
        <v>719</v>
      </c>
      <c r="B351" s="1312"/>
      <c r="C351" s="1312"/>
      <c r="D351" s="1312"/>
      <c r="E351" s="1312"/>
      <c r="F351" s="1312"/>
      <c r="G351" s="1312"/>
      <c r="H351" s="1312"/>
    </row>
    <row r="352" spans="1:8">
      <c r="A352" s="1317" t="s">
        <v>720</v>
      </c>
      <c r="B352" s="1312"/>
      <c r="C352" s="1312"/>
      <c r="D352" s="1312"/>
      <c r="E352" s="1312"/>
      <c r="F352" s="1312"/>
      <c r="G352" s="1312"/>
      <c r="H352" s="1312"/>
    </row>
    <row r="353" spans="1:8">
      <c r="A353" s="1317" t="s">
        <v>721</v>
      </c>
      <c r="B353" s="1312"/>
      <c r="C353" s="1312"/>
      <c r="D353" s="1312"/>
      <c r="E353" s="1312"/>
      <c r="F353" s="1312"/>
      <c r="G353" s="1312"/>
      <c r="H353" s="1312"/>
    </row>
    <row r="354" spans="1:8">
      <c r="A354" s="1317" t="s">
        <v>722</v>
      </c>
      <c r="B354" s="1312"/>
      <c r="C354" s="1312"/>
      <c r="D354" s="1312"/>
      <c r="E354" s="1312"/>
      <c r="F354" s="1312"/>
      <c r="G354" s="1312"/>
      <c r="H354" s="1312"/>
    </row>
    <row r="355" spans="1:8">
      <c r="A355" s="1317" t="s">
        <v>723</v>
      </c>
      <c r="B355" s="1312"/>
      <c r="C355" s="1312"/>
      <c r="D355" s="1312"/>
      <c r="E355" s="1312"/>
      <c r="F355" s="1312"/>
      <c r="G355" s="1312"/>
      <c r="H355" s="1312"/>
    </row>
    <row r="356" spans="1:8">
      <c r="A356" s="1317" t="s">
        <v>724</v>
      </c>
      <c r="B356" s="1312"/>
      <c r="C356" s="1312"/>
      <c r="D356" s="1312"/>
      <c r="E356" s="1312"/>
      <c r="F356" s="1312"/>
      <c r="G356" s="1312"/>
      <c r="H356" s="1312"/>
    </row>
    <row r="357" spans="1:8">
      <c r="A357" s="1317" t="s">
        <v>725</v>
      </c>
      <c r="B357" s="1312"/>
      <c r="C357" s="1312"/>
      <c r="D357" s="1312"/>
      <c r="E357" s="1312"/>
      <c r="F357" s="1312"/>
      <c r="G357" s="1312"/>
      <c r="H357" s="1312"/>
    </row>
    <row r="358" spans="1:8">
      <c r="A358" s="1317" t="s">
        <v>726</v>
      </c>
      <c r="B358" s="1312"/>
      <c r="C358" s="1312"/>
      <c r="D358" s="1312"/>
      <c r="E358" s="1312"/>
      <c r="F358" s="1312"/>
      <c r="G358" s="1312"/>
      <c r="H358" s="1312"/>
    </row>
    <row r="359" spans="1:8">
      <c r="A359" s="1317" t="s">
        <v>727</v>
      </c>
      <c r="B359" s="1312"/>
      <c r="C359" s="1312"/>
      <c r="D359" s="1312"/>
      <c r="E359" s="1312"/>
      <c r="F359" s="1312"/>
      <c r="G359" s="1312"/>
      <c r="H359" s="1312"/>
    </row>
    <row r="360" spans="1:8">
      <c r="A360" s="1317" t="s">
        <v>728</v>
      </c>
      <c r="B360" s="1312"/>
      <c r="C360" s="1312"/>
      <c r="D360" s="1312"/>
      <c r="E360" s="1312"/>
      <c r="F360" s="1312"/>
      <c r="G360" s="1312"/>
      <c r="H360" s="1312"/>
    </row>
    <row r="361" spans="1:8">
      <c r="A361" s="1317" t="s">
        <v>729</v>
      </c>
      <c r="B361" s="1312"/>
      <c r="C361" s="1312"/>
      <c r="D361" s="1312"/>
      <c r="E361" s="1312"/>
      <c r="F361" s="1312"/>
      <c r="G361" s="1312"/>
      <c r="H361" s="1312"/>
    </row>
    <row r="362" spans="1:8">
      <c r="A362" s="1317" t="s">
        <v>730</v>
      </c>
      <c r="B362" s="1312"/>
      <c r="C362" s="1312"/>
      <c r="D362" s="1312"/>
      <c r="E362" s="1312"/>
      <c r="F362" s="1312"/>
      <c r="G362" s="1312"/>
      <c r="H362" s="1312"/>
    </row>
    <row r="363" spans="1:8">
      <c r="A363" s="1317" t="s">
        <v>731</v>
      </c>
      <c r="B363" s="1312"/>
      <c r="C363" s="1312"/>
      <c r="D363" s="1312"/>
      <c r="E363" s="1312"/>
      <c r="F363" s="1312"/>
      <c r="G363" s="1312"/>
      <c r="H363" s="1312"/>
    </row>
    <row r="364" spans="1:8">
      <c r="A364" s="1317" t="s">
        <v>732</v>
      </c>
      <c r="B364" s="1312"/>
      <c r="C364" s="1312"/>
      <c r="D364" s="1312"/>
      <c r="E364" s="1312"/>
      <c r="F364" s="1312"/>
      <c r="G364" s="1312"/>
      <c r="H364" s="1312"/>
    </row>
    <row r="365" spans="1:8">
      <c r="A365" s="1317" t="s">
        <v>733</v>
      </c>
      <c r="B365" s="1312"/>
      <c r="C365" s="1312"/>
      <c r="D365" s="1312"/>
      <c r="E365" s="1312"/>
      <c r="F365" s="1312"/>
      <c r="G365" s="1312"/>
      <c r="H365" s="1312"/>
    </row>
    <row r="366" spans="1:8">
      <c r="A366" s="1317" t="s">
        <v>734</v>
      </c>
      <c r="B366" s="1312"/>
      <c r="C366" s="1312"/>
      <c r="D366" s="1312"/>
      <c r="E366" s="1312"/>
      <c r="F366" s="1312"/>
      <c r="G366" s="1312"/>
      <c r="H366" s="1312"/>
    </row>
    <row r="367" spans="1:8">
      <c r="A367" s="1317" t="s">
        <v>735</v>
      </c>
      <c r="B367" s="1312"/>
      <c r="C367" s="1312"/>
      <c r="D367" s="1312"/>
      <c r="E367" s="1312"/>
      <c r="F367" s="1312"/>
      <c r="G367" s="1312"/>
      <c r="H367" s="1312"/>
    </row>
    <row r="368" spans="1:8">
      <c r="A368" s="1312"/>
      <c r="B368" s="1312"/>
      <c r="C368" s="1312"/>
      <c r="D368" s="1312"/>
      <c r="E368" s="1312"/>
      <c r="F368" s="1312"/>
      <c r="G368" s="1312"/>
      <c r="H368" s="1312"/>
    </row>
    <row r="369" spans="1:8">
      <c r="A369" s="1317" t="s">
        <v>693</v>
      </c>
      <c r="B369" s="1312"/>
      <c r="C369" s="1312"/>
      <c r="D369" s="1312"/>
      <c r="E369" s="1312"/>
      <c r="F369" s="1312"/>
      <c r="G369" s="1312"/>
      <c r="H369" s="1312"/>
    </row>
    <row r="370" spans="1:8">
      <c r="A370" s="1317" t="s">
        <v>697</v>
      </c>
      <c r="B370" s="1312"/>
      <c r="C370" s="1312"/>
      <c r="D370" s="1312"/>
      <c r="E370" s="1312"/>
      <c r="F370" s="1312"/>
      <c r="G370" s="1312"/>
      <c r="H370" s="1312"/>
    </row>
    <row r="371" spans="1:8">
      <c r="A371" s="1317" t="s">
        <v>698</v>
      </c>
      <c r="B371" s="1312"/>
      <c r="C371" s="1312"/>
      <c r="D371" s="1312"/>
      <c r="E371" s="1312"/>
      <c r="F371" s="1312"/>
      <c r="G371" s="1312"/>
      <c r="H371" s="1312"/>
    </row>
    <row r="372" spans="1:8">
      <c r="A372" s="1317" t="s">
        <v>699</v>
      </c>
      <c r="B372" s="1312"/>
      <c r="C372" s="1312"/>
      <c r="D372" s="1312"/>
      <c r="E372" s="1312"/>
      <c r="F372" s="1312"/>
      <c r="G372" s="1312"/>
      <c r="H372" s="1312"/>
    </row>
    <row r="373" spans="1:8">
      <c r="A373" s="1317" t="s">
        <v>700</v>
      </c>
      <c r="B373" s="1312"/>
      <c r="C373" s="1312"/>
      <c r="D373" s="1312"/>
      <c r="E373" s="1312"/>
      <c r="F373" s="1312"/>
      <c r="G373" s="1312"/>
      <c r="H373" s="1312"/>
    </row>
    <row r="374" spans="1:8">
      <c r="A374" s="1312"/>
      <c r="B374" s="1312"/>
      <c r="C374" s="1312"/>
      <c r="D374" s="1312"/>
      <c r="E374" s="1312"/>
      <c r="F374" s="1312"/>
      <c r="G374" s="1312"/>
      <c r="H374" s="1312"/>
    </row>
    <row r="375" spans="1:8">
      <c r="A375" s="1317" t="s">
        <v>693</v>
      </c>
      <c r="B375" s="1312"/>
      <c r="C375" s="1312"/>
      <c r="D375" s="1312"/>
      <c r="E375" s="1312"/>
      <c r="F375" s="1312"/>
      <c r="G375" s="1312"/>
      <c r="H375" s="1312"/>
    </row>
    <row r="376" spans="1:8">
      <c r="A376" s="1317" t="s">
        <v>694</v>
      </c>
      <c r="B376" s="1312"/>
      <c r="C376" s="1312"/>
      <c r="D376" s="1312"/>
      <c r="E376" s="1312"/>
      <c r="F376" s="1312"/>
      <c r="G376" s="1312"/>
      <c r="H376" s="1312"/>
    </row>
    <row r="377" spans="1:8">
      <c r="A377" s="1317" t="s">
        <v>695</v>
      </c>
      <c r="B377" s="1312"/>
      <c r="C377" s="1312"/>
      <c r="D377" s="1312"/>
      <c r="E377" s="1312"/>
      <c r="F377" s="1312"/>
      <c r="G377" s="1312"/>
      <c r="H377" s="1312"/>
    </row>
    <row r="378" spans="1:8">
      <c r="A378" s="1317" t="s">
        <v>696</v>
      </c>
      <c r="B378" s="1312"/>
      <c r="C378" s="1312"/>
      <c r="D378" s="1312"/>
      <c r="E378" s="1312"/>
      <c r="F378" s="1312"/>
      <c r="G378" s="1312"/>
      <c r="H378" s="1312"/>
    </row>
    <row r="379" spans="1:8">
      <c r="A379" s="1312"/>
      <c r="B379" s="1312"/>
      <c r="C379" s="1312"/>
      <c r="D379" s="1312"/>
      <c r="E379" s="1312"/>
      <c r="F379" s="1312"/>
      <c r="G379" s="1312"/>
      <c r="H379" s="1312"/>
    </row>
    <row r="380" spans="1:8">
      <c r="A380" s="1317" t="s">
        <v>687</v>
      </c>
      <c r="B380" s="1312"/>
      <c r="C380" s="1312"/>
      <c r="D380" s="1312"/>
      <c r="E380" s="1312"/>
      <c r="F380" s="1312"/>
      <c r="G380" s="1312"/>
      <c r="H380" s="1312"/>
    </row>
    <row r="381" spans="1:8">
      <c r="A381" s="1317" t="s">
        <v>688</v>
      </c>
      <c r="B381" s="1312"/>
      <c r="C381" s="1312"/>
      <c r="D381" s="1312"/>
      <c r="E381" s="1312"/>
      <c r="F381" s="1312"/>
      <c r="G381" s="1312"/>
      <c r="H381" s="1312"/>
    </row>
    <row r="382" spans="1:8">
      <c r="A382" s="1317" t="s">
        <v>689</v>
      </c>
      <c r="B382" s="1312"/>
      <c r="C382" s="1312"/>
      <c r="D382" s="1312"/>
      <c r="E382" s="1312"/>
      <c r="F382" s="1312"/>
      <c r="G382" s="1312"/>
      <c r="H382" s="1312"/>
    </row>
    <row r="383" spans="1:8">
      <c r="A383" s="1317" t="s">
        <v>690</v>
      </c>
      <c r="B383" s="1312"/>
      <c r="C383" s="1312"/>
      <c r="D383" s="1312"/>
      <c r="E383" s="1312"/>
      <c r="F383" s="1312"/>
      <c r="G383" s="1312"/>
      <c r="H383" s="1312"/>
    </row>
    <row r="384" spans="1:8">
      <c r="A384" s="1317" t="s">
        <v>691</v>
      </c>
      <c r="B384" s="1312"/>
      <c r="C384" s="1312"/>
      <c r="D384" s="1312"/>
      <c r="E384" s="1312"/>
      <c r="F384" s="1312"/>
      <c r="G384" s="1312"/>
      <c r="H384" s="1312"/>
    </row>
    <row r="385" spans="1:8">
      <c r="A385" s="1317" t="s">
        <v>692</v>
      </c>
      <c r="B385" s="1312"/>
      <c r="C385" s="1312"/>
      <c r="D385" s="1312"/>
      <c r="E385" s="1312"/>
      <c r="F385" s="1312"/>
      <c r="G385" s="1312"/>
      <c r="H385" s="1312"/>
    </row>
    <row r="386" spans="1:8">
      <c r="A386" s="1312"/>
      <c r="B386" s="1312"/>
      <c r="C386" s="1312"/>
      <c r="D386" s="1312"/>
      <c r="E386" s="1312"/>
      <c r="F386" s="1312"/>
      <c r="G386" s="1312"/>
      <c r="H386" s="1312"/>
    </row>
    <row r="387" spans="1:8">
      <c r="A387" s="1317" t="s">
        <v>682</v>
      </c>
      <c r="B387" s="1312"/>
      <c r="C387" s="1312"/>
      <c r="D387" s="1312"/>
      <c r="E387" s="1312"/>
      <c r="F387" s="1312"/>
      <c r="G387" s="1312"/>
      <c r="H387" s="1312"/>
    </row>
    <row r="388" spans="1:8">
      <c r="A388" s="1317" t="s">
        <v>683</v>
      </c>
      <c r="B388" s="1312"/>
      <c r="C388" s="1312"/>
      <c r="D388" s="1312"/>
      <c r="E388" s="1312"/>
      <c r="F388" s="1312"/>
      <c r="G388" s="1312"/>
      <c r="H388" s="1312"/>
    </row>
    <row r="389" spans="1:8">
      <c r="A389" s="1317" t="s">
        <v>684</v>
      </c>
      <c r="B389" s="1312"/>
      <c r="C389" s="1312"/>
      <c r="D389" s="1312"/>
      <c r="E389" s="1312"/>
      <c r="F389" s="1312"/>
      <c r="G389" s="1312"/>
      <c r="H389" s="1312"/>
    </row>
    <row r="390" spans="1:8">
      <c r="A390" s="1317" t="s">
        <v>685</v>
      </c>
      <c r="B390" s="1312"/>
      <c r="C390" s="1312"/>
      <c r="D390" s="1312"/>
      <c r="E390" s="1312"/>
      <c r="F390" s="1312"/>
      <c r="G390" s="1312"/>
      <c r="H390" s="1312"/>
    </row>
    <row r="391" spans="1:8">
      <c r="A391" s="1317" t="s">
        <v>686</v>
      </c>
      <c r="B391" s="1312"/>
      <c r="C391" s="1312"/>
      <c r="D391" s="1312"/>
      <c r="E391" s="1312"/>
      <c r="F391" s="1312"/>
      <c r="G391" s="1312"/>
      <c r="H391" s="1312"/>
    </row>
    <row r="392" spans="1:8">
      <c r="A392" s="1312"/>
      <c r="B392" s="1312"/>
      <c r="C392" s="1312"/>
      <c r="D392" s="1312"/>
      <c r="E392" s="1312"/>
      <c r="F392" s="1312"/>
      <c r="G392" s="1312"/>
      <c r="H392" s="1312"/>
    </row>
    <row r="393" spans="1:8">
      <c r="A393" s="1317" t="s">
        <v>680</v>
      </c>
      <c r="B393" s="1312"/>
      <c r="C393" s="1312"/>
      <c r="D393" s="1312"/>
      <c r="E393" s="1312"/>
      <c r="F393" s="1312"/>
      <c r="G393" s="1312"/>
      <c r="H393" s="1312"/>
    </row>
    <row r="394" spans="1:8">
      <c r="A394" s="1317" t="s">
        <v>681</v>
      </c>
      <c r="B394" s="1312"/>
      <c r="C394" s="1312"/>
      <c r="D394" s="1312"/>
      <c r="E394" s="1312"/>
      <c r="F394" s="1312"/>
      <c r="G394" s="1312"/>
      <c r="H394" s="1312"/>
    </row>
    <row r="396" spans="1:8">
      <c r="A396" s="1313" t="s">
        <v>938</v>
      </c>
    </row>
  </sheetData>
  <mergeCells count="12">
    <mergeCell ref="A119:H119"/>
    <mergeCell ref="A126:H126"/>
    <mergeCell ref="A113:H113"/>
    <mergeCell ref="A114:H114"/>
    <mergeCell ref="A115:H115"/>
    <mergeCell ref="A116:H116"/>
    <mergeCell ref="A118:H118"/>
    <mergeCell ref="A134:H134"/>
    <mergeCell ref="A135:H135"/>
    <mergeCell ref="B127:C127"/>
    <mergeCell ref="D127:F127"/>
    <mergeCell ref="G127:H127"/>
  </mergeCells>
  <pageMargins left="0.5" right="0.5" top="0.5" bottom="0.5" header="0.5" footer="0.5"/>
  <pageSetup orientation="portrait" horizontalDpi="300" verticalDpi="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3"/>
    <pageSetUpPr fitToPage="1"/>
  </sheetPr>
  <dimension ref="A2:L44"/>
  <sheetViews>
    <sheetView showGridLines="0" zoomScale="85" zoomScaleNormal="85" workbookViewId="0">
      <selection activeCell="I44" sqref="I44"/>
    </sheetView>
  </sheetViews>
  <sheetFormatPr defaultRowHeight="12.75"/>
  <cols>
    <col min="1" max="1" width="2.140625" customWidth="1"/>
    <col min="2" max="2" width="38.140625" customWidth="1"/>
    <col min="3" max="6" width="10.140625" customWidth="1"/>
    <col min="7" max="7" width="5.28515625" customWidth="1"/>
    <col min="8" max="8" width="37.28515625" customWidth="1"/>
    <col min="9" max="9" width="10.7109375" customWidth="1"/>
    <col min="10" max="10" width="11" customWidth="1"/>
    <col min="11" max="12" width="10.140625" customWidth="1"/>
  </cols>
  <sheetData>
    <row r="2" spans="1:12" ht="15">
      <c r="B2" s="1" t="s">
        <v>0</v>
      </c>
      <c r="C2" s="2"/>
      <c r="D2" s="3"/>
      <c r="E2" s="4"/>
      <c r="F2" s="4"/>
      <c r="G2" s="5"/>
      <c r="H2" s="5" t="s">
        <v>1</v>
      </c>
      <c r="I2" s="2"/>
      <c r="J2" s="6"/>
      <c r="K2" s="6"/>
      <c r="L2" s="1270" t="s">
        <v>624</v>
      </c>
    </row>
    <row r="3" spans="1:12" ht="15">
      <c r="B3" s="1" t="s">
        <v>2</v>
      </c>
      <c r="C3" s="2"/>
      <c r="D3" s="3"/>
      <c r="E3" s="4"/>
      <c r="F3" s="4"/>
      <c r="G3" s="5"/>
      <c r="H3" s="5" t="s">
        <v>3</v>
      </c>
      <c r="I3" s="2"/>
      <c r="J3" s="6"/>
      <c r="K3" s="6"/>
      <c r="L3" s="1270" t="s">
        <v>625</v>
      </c>
    </row>
    <row r="4" spans="1:12" ht="15">
      <c r="B4" s="1" t="s">
        <v>4</v>
      </c>
      <c r="C4" s="2"/>
      <c r="D4" s="3"/>
      <c r="E4" s="4"/>
      <c r="F4" s="4"/>
      <c r="G4" s="5"/>
      <c r="H4" s="5" t="s">
        <v>5</v>
      </c>
      <c r="I4" s="2"/>
      <c r="J4" s="6"/>
      <c r="K4" s="6"/>
      <c r="L4" s="1270" t="s">
        <v>626</v>
      </c>
    </row>
    <row r="5" spans="1:12" ht="15">
      <c r="B5" s="1" t="s">
        <v>6</v>
      </c>
      <c r="C5" s="2"/>
      <c r="D5" s="3"/>
      <c r="E5" s="4"/>
      <c r="F5" s="4"/>
      <c r="G5" s="5"/>
      <c r="H5" s="5" t="s">
        <v>7</v>
      </c>
      <c r="I5" s="2"/>
      <c r="J5" s="6"/>
      <c r="K5" s="1299"/>
      <c r="L5" s="1299" t="s">
        <v>627</v>
      </c>
    </row>
    <row r="6" spans="1:12" ht="15.75">
      <c r="B6" s="7"/>
      <c r="C6" s="8"/>
      <c r="D6" s="9"/>
      <c r="E6" s="9"/>
      <c r="F6" s="9"/>
      <c r="G6" s="9"/>
      <c r="H6" s="9"/>
      <c r="I6" s="8"/>
      <c r="J6" s="8"/>
      <c r="K6" s="8"/>
      <c r="L6" s="10"/>
    </row>
    <row r="7" spans="1:12" ht="28.5" customHeight="1">
      <c r="B7" s="11" t="s">
        <v>8</v>
      </c>
      <c r="C7" s="12"/>
      <c r="D7" s="13"/>
      <c r="E7" s="13"/>
      <c r="F7" s="13"/>
      <c r="G7" s="13"/>
      <c r="H7" s="13"/>
      <c r="I7" s="14"/>
      <c r="J7" s="14"/>
      <c r="K7" s="14"/>
      <c r="L7" s="15"/>
    </row>
    <row r="8" spans="1:12" ht="15.75">
      <c r="A8" s="16"/>
      <c r="B8" s="17"/>
      <c r="C8" s="16"/>
      <c r="D8" s="18"/>
      <c r="E8" s="18"/>
      <c r="F8" s="18"/>
      <c r="G8" s="18"/>
      <c r="H8" s="18"/>
      <c r="I8" s="16"/>
      <c r="J8" s="16"/>
      <c r="K8" s="16"/>
      <c r="L8" s="19"/>
    </row>
    <row r="9" spans="1:12" ht="18">
      <c r="A9" s="16"/>
      <c r="B9" s="20" t="s">
        <v>9</v>
      </c>
      <c r="C9" s="20"/>
      <c r="D9" s="20"/>
      <c r="E9" s="20"/>
      <c r="F9" s="20"/>
      <c r="G9" s="20"/>
      <c r="H9" s="20"/>
      <c r="I9" s="20"/>
      <c r="J9" s="20"/>
      <c r="K9" s="20"/>
      <c r="L9" s="20"/>
    </row>
    <row r="10" spans="1:12" ht="6.75" customHeight="1">
      <c r="A10" s="16"/>
      <c r="B10" s="21"/>
      <c r="C10" s="21"/>
      <c r="D10" s="21"/>
      <c r="E10" s="21"/>
      <c r="F10" s="21"/>
      <c r="G10" s="21"/>
      <c r="H10" s="21"/>
      <c r="I10" s="21"/>
      <c r="J10" s="21"/>
      <c r="K10" s="21"/>
      <c r="L10" s="21"/>
    </row>
    <row r="11" spans="1:12">
      <c r="A11" s="16"/>
      <c r="B11" s="22" t="s">
        <v>10</v>
      </c>
      <c r="C11" s="21"/>
      <c r="D11" s="21"/>
      <c r="E11" s="21"/>
      <c r="F11" s="21"/>
      <c r="G11" s="21"/>
      <c r="H11" s="22" t="s">
        <v>11</v>
      </c>
      <c r="I11" s="21"/>
      <c r="J11" s="21"/>
      <c r="K11" s="21"/>
      <c r="L11" s="21"/>
    </row>
    <row r="12" spans="1:12">
      <c r="B12" s="23"/>
      <c r="C12" s="24" t="s">
        <v>13</v>
      </c>
      <c r="D12" s="24" t="s">
        <v>603</v>
      </c>
      <c r="E12" s="24" t="s">
        <v>14</v>
      </c>
      <c r="F12" s="24" t="s">
        <v>103</v>
      </c>
      <c r="G12" s="21"/>
      <c r="H12" s="25" t="s">
        <v>622</v>
      </c>
      <c r="I12" s="24" t="s">
        <v>15</v>
      </c>
      <c r="J12" s="26" t="s">
        <v>16</v>
      </c>
      <c r="K12" s="26"/>
      <c r="L12" s="26"/>
    </row>
    <row r="13" spans="1:12">
      <c r="B13" s="27" t="s">
        <v>17</v>
      </c>
      <c r="C13" s="28"/>
      <c r="D13" s="28"/>
      <c r="E13" s="28"/>
      <c r="F13" s="28"/>
      <c r="G13" s="29"/>
      <c r="H13" s="30"/>
      <c r="I13" s="31"/>
      <c r="J13" s="32"/>
      <c r="K13" s="32"/>
      <c r="L13" s="33"/>
    </row>
    <row r="14" spans="1:12">
      <c r="B14" s="34" t="str">
        <f>'Segment Detail'!B45</f>
        <v>Transaction Revenue</v>
      </c>
      <c r="C14" s="35">
        <f>+'Segment Detail'!BE45</f>
        <v>9585</v>
      </c>
      <c r="D14" s="35">
        <f>+'Segment Detail'!BJ45</f>
        <v>11501</v>
      </c>
      <c r="E14" s="35">
        <f>+'Segment Detail'!BO45</f>
        <v>13995.270910819334</v>
      </c>
      <c r="F14" s="35">
        <f>+'Segment Detail'!BT45</f>
        <v>16676.020900942221</v>
      </c>
      <c r="G14" s="29"/>
      <c r="H14" s="36" t="s">
        <v>18</v>
      </c>
      <c r="I14" s="37">
        <f>'Segment Detail'!BO7</f>
        <v>0.28803568010430158</v>
      </c>
      <c r="J14" s="38"/>
      <c r="K14" s="39"/>
      <c r="L14" s="40"/>
    </row>
    <row r="15" spans="1:12">
      <c r="B15" s="41" t="str">
        <f>'Segment Detail'!B49</f>
        <v>Other Value-Added Services Revenue</v>
      </c>
      <c r="C15" s="35">
        <f>+'Segment Detail'!BE49</f>
        <v>1257</v>
      </c>
      <c r="D15" s="35">
        <f>+'Segment Detail'!BJ49</f>
        <v>1593</v>
      </c>
      <c r="E15" s="35">
        <f>+'Segment Detail'!BO49</f>
        <v>1413.9362959001912</v>
      </c>
      <c r="F15" s="35">
        <f>+'Segment Detail'!BT49</f>
        <v>1078.7399036356132</v>
      </c>
      <c r="G15" s="29"/>
      <c r="H15" s="42"/>
      <c r="I15" s="43"/>
      <c r="J15" s="44"/>
      <c r="K15" s="44"/>
      <c r="L15" s="45"/>
    </row>
    <row r="16" spans="1:12">
      <c r="B16" s="46"/>
      <c r="C16" s="47"/>
      <c r="D16" s="47"/>
      <c r="E16" s="47"/>
      <c r="F16" s="47"/>
      <c r="G16" s="29"/>
      <c r="H16" s="36" t="s">
        <v>19</v>
      </c>
      <c r="I16" s="37">
        <f>'Quarterly Model'!BO15</f>
        <v>0.18032992774565493</v>
      </c>
      <c r="J16" s="48" t="s">
        <v>540</v>
      </c>
      <c r="K16" s="39"/>
      <c r="L16" s="40"/>
    </row>
    <row r="17" spans="2:12">
      <c r="B17" s="49" t="s">
        <v>20</v>
      </c>
      <c r="C17" s="50">
        <f>+C14+C15</f>
        <v>10842</v>
      </c>
      <c r="D17" s="50">
        <f>+D14+D15</f>
        <v>13094</v>
      </c>
      <c r="E17" s="50">
        <f>+E14+E15</f>
        <v>15409.207206719526</v>
      </c>
      <c r="F17" s="50">
        <f>+F14+F15</f>
        <v>17754.760804577836</v>
      </c>
      <c r="G17" s="29"/>
      <c r="H17" s="42"/>
      <c r="I17" s="43"/>
      <c r="J17" s="44"/>
      <c r="K17" s="44"/>
      <c r="L17" s="45"/>
    </row>
    <row r="18" spans="2:12">
      <c r="B18" s="51" t="s">
        <v>21</v>
      </c>
      <c r="C18" s="52">
        <f>+'Segment Detail'!BE58</f>
        <v>0.17236159169550169</v>
      </c>
      <c r="D18" s="52">
        <f>+'Segment Detail'!BJ58</f>
        <v>0.20771075447334431</v>
      </c>
      <c r="E18" s="52">
        <f>+'Segment Detail'!BO58</f>
        <v>0.17681435823426961</v>
      </c>
      <c r="F18" s="52">
        <f>+'Segment Detail'!BT58</f>
        <v>0.15221766872181974</v>
      </c>
      <c r="G18" s="29"/>
      <c r="H18" s="36" t="s">
        <v>22</v>
      </c>
      <c r="I18" s="37">
        <f>'Quarterly Model'!BO78</f>
        <v>0.22288081722743402</v>
      </c>
      <c r="J18" s="48"/>
      <c r="K18" s="53"/>
      <c r="L18" s="54"/>
    </row>
    <row r="19" spans="2:12">
      <c r="B19" s="34"/>
      <c r="C19" s="55"/>
      <c r="D19" s="55"/>
      <c r="E19" s="55"/>
      <c r="F19" s="55"/>
      <c r="G19" s="29"/>
      <c r="H19" s="42"/>
      <c r="I19" s="43"/>
      <c r="J19" s="44"/>
      <c r="K19" s="44"/>
      <c r="L19" s="45"/>
    </row>
    <row r="20" spans="2:12">
      <c r="B20" s="56" t="s">
        <v>23</v>
      </c>
      <c r="C20" s="35">
        <f>+'Quarterly Model'!BE88</f>
        <v>2439</v>
      </c>
      <c r="D20" s="35">
        <f>+'Quarterly Model'!BJ88</f>
        <v>2788</v>
      </c>
      <c r="E20" s="35">
        <f>+'Quarterly Model'!BO88</f>
        <v>2989.6503621380161</v>
      </c>
      <c r="F20" s="35">
        <f>+'Quarterly Model'!BT88</f>
        <v>3599.2248723553275</v>
      </c>
      <c r="G20" s="29"/>
      <c r="H20" s="36" t="s">
        <v>24</v>
      </c>
      <c r="I20" s="57">
        <f>'Quarterly Model'!BO104</f>
        <v>2835.8216899496215</v>
      </c>
      <c r="J20" s="58"/>
      <c r="K20" s="53"/>
      <c r="L20" s="54"/>
    </row>
    <row r="21" spans="2:12">
      <c r="B21" s="59" t="s">
        <v>25</v>
      </c>
      <c r="C21" s="60">
        <f>+'Quarterly Model'!BE89</f>
        <v>0.10212381382738367</v>
      </c>
      <c r="D21" s="60">
        <f>+'Quarterly Model'!BJ89</f>
        <v>0.1430914309143092</v>
      </c>
      <c r="E21" s="60">
        <f>+'Quarterly Model'!BO89</f>
        <v>7.2327963464137834E-2</v>
      </c>
      <c r="F21" s="60">
        <f>+'Quarterly Model'!BT89</f>
        <v>0.20389491625414702</v>
      </c>
      <c r="G21" s="29"/>
      <c r="H21" s="42"/>
      <c r="I21" s="43"/>
      <c r="J21" s="44"/>
      <c r="K21" s="44"/>
      <c r="L21" s="45"/>
    </row>
    <row r="22" spans="2:12">
      <c r="B22" s="34"/>
      <c r="C22" s="61"/>
      <c r="D22" s="61"/>
      <c r="E22" s="61"/>
      <c r="F22" s="61"/>
      <c r="G22" s="29"/>
      <c r="H22" s="36" t="s">
        <v>26</v>
      </c>
      <c r="I22" s="62">
        <f>'Quarterly Model'!BO105</f>
        <v>2.3370817911138912</v>
      </c>
      <c r="J22" s="1300" t="s">
        <v>638</v>
      </c>
      <c r="K22" s="63"/>
      <c r="L22" s="64"/>
    </row>
    <row r="23" spans="2:12">
      <c r="B23" s="34" t="s">
        <v>27</v>
      </c>
      <c r="C23" s="35">
        <f>'Quarterly Model'!BE76</f>
        <v>2174</v>
      </c>
      <c r="D23" s="35">
        <f>'Quarterly Model'!BJ76</f>
        <v>2755</v>
      </c>
      <c r="E23" s="35">
        <f>'Quarterly Model'!BO76</f>
        <v>3434.416695060514</v>
      </c>
      <c r="F23" s="35">
        <f>'Quarterly Model'!BT76</f>
        <v>4085.5105206299977</v>
      </c>
      <c r="G23" s="29"/>
      <c r="H23" s="65"/>
      <c r="I23" s="66"/>
      <c r="J23" s="67"/>
      <c r="K23" s="68"/>
      <c r="L23" s="69"/>
    </row>
    <row r="24" spans="2:12">
      <c r="B24" s="59" t="s">
        <v>28</v>
      </c>
      <c r="C24" s="60">
        <f>'Quarterly Model'!BE78</f>
        <v>0.20051650986902786</v>
      </c>
      <c r="D24" s="60">
        <f>'Quarterly Model'!BJ78</f>
        <v>0.21103025660666411</v>
      </c>
      <c r="E24" s="60">
        <f>'Quarterly Model'!BO78</f>
        <v>0.22288081722743402</v>
      </c>
      <c r="F24" s="60">
        <f>'Quarterly Model'!BT78</f>
        <v>0.23010788856004197</v>
      </c>
      <c r="G24" s="29"/>
    </row>
    <row r="25" spans="2:12">
      <c r="B25" s="70"/>
      <c r="C25" s="34"/>
      <c r="D25" s="34"/>
      <c r="E25" s="34"/>
      <c r="F25" s="34"/>
      <c r="G25" s="29"/>
      <c r="H25" s="21"/>
      <c r="I25" s="21"/>
      <c r="J25" s="71"/>
      <c r="K25" s="71"/>
      <c r="L25" s="71"/>
    </row>
    <row r="26" spans="2:12">
      <c r="B26" s="72" t="s">
        <v>29</v>
      </c>
      <c r="C26" s="73">
        <f>'Quarterly Model'!BE137</f>
        <v>1402</v>
      </c>
      <c r="D26" s="73">
        <f>'Quarterly Model'!BJ137</f>
        <v>1795</v>
      </c>
      <c r="E26" s="73">
        <f>'Quarterly Model'!BO137</f>
        <v>1935.0937860890328</v>
      </c>
      <c r="F26" s="73">
        <f>'Quarterly Model'!BT137</f>
        <v>2338.5776491607076</v>
      </c>
      <c r="G26" s="29"/>
    </row>
    <row r="27" spans="2:12">
      <c r="B27" s="74" t="s">
        <v>21</v>
      </c>
      <c r="C27" s="52">
        <v>0.15581203627370166</v>
      </c>
      <c r="D27" s="52">
        <f>D26/C26-1</f>
        <v>0.28031383737517834</v>
      </c>
      <c r="E27" s="52">
        <f>E26/D26-1</f>
        <v>7.8046677486926397E-2</v>
      </c>
      <c r="F27" s="52">
        <f>F26/E26-1</f>
        <v>0.2085086862312473</v>
      </c>
      <c r="G27" s="29"/>
      <c r="H27" s="22"/>
      <c r="I27" s="21"/>
      <c r="J27" s="21"/>
      <c r="K27" s="21"/>
      <c r="L27" s="21"/>
    </row>
    <row r="28" spans="2:12">
      <c r="B28" s="75"/>
      <c r="C28" s="76"/>
      <c r="D28" s="76"/>
      <c r="E28" s="76"/>
      <c r="F28" s="76"/>
      <c r="G28" s="29"/>
      <c r="H28" s="77"/>
      <c r="I28" s="78"/>
      <c r="J28" s="78"/>
      <c r="K28" s="78"/>
      <c r="L28" s="78"/>
    </row>
    <row r="29" spans="2:12">
      <c r="B29" s="72" t="s">
        <v>30</v>
      </c>
      <c r="C29" s="73">
        <f>'Quarterly Model'!BE104</f>
        <v>1825</v>
      </c>
      <c r="D29" s="73">
        <f>'Quarterly Model'!BJ104</f>
        <v>2318</v>
      </c>
      <c r="E29" s="73">
        <f>'Quarterly Model'!BO104</f>
        <v>2835.8216899496215</v>
      </c>
      <c r="F29" s="73">
        <f>'Quarterly Model'!BT104</f>
        <v>3288.8359691071482</v>
      </c>
      <c r="G29" s="29"/>
      <c r="H29" s="22"/>
      <c r="I29" s="79"/>
      <c r="J29" s="80"/>
      <c r="K29" s="80"/>
      <c r="L29" s="80"/>
    </row>
    <row r="30" spans="2:12">
      <c r="B30" s="74" t="s">
        <v>21</v>
      </c>
      <c r="C30" s="52">
        <v>0.16297345461795221</v>
      </c>
      <c r="D30" s="52">
        <f>D29/C29-1</f>
        <v>0.27013698630136984</v>
      </c>
      <c r="E30" s="52">
        <f>E29/D29-1</f>
        <v>0.22339158323969865</v>
      </c>
      <c r="F30" s="52">
        <f>F29/E29-1</f>
        <v>0.15974709579345037</v>
      </c>
      <c r="G30" s="29"/>
      <c r="H30" s="81"/>
      <c r="I30" s="82"/>
      <c r="J30" s="82"/>
      <c r="K30" s="82"/>
      <c r="L30" s="82"/>
    </row>
    <row r="31" spans="2:12">
      <c r="B31" s="70"/>
      <c r="C31" s="34"/>
      <c r="D31" s="34"/>
      <c r="E31" s="34"/>
      <c r="F31" s="34"/>
      <c r="G31" s="29"/>
      <c r="H31" s="81"/>
      <c r="I31" s="82"/>
      <c r="J31" s="82"/>
      <c r="K31" s="82"/>
      <c r="L31" s="82"/>
    </row>
    <row r="32" spans="2:12">
      <c r="B32" s="72" t="s">
        <v>31</v>
      </c>
      <c r="C32" s="83">
        <f>'Quarterly Model'!BE105</f>
        <v>1.4989733059548254</v>
      </c>
      <c r="D32" s="83">
        <f>'Quarterly Model'!BJ105</f>
        <v>1.8992216304793117</v>
      </c>
      <c r="E32" s="83">
        <f>'Quarterly Model'!BO105</f>
        <v>2.3370817911138912</v>
      </c>
      <c r="F32" s="83">
        <f>'Quarterly Model'!BT105</f>
        <v>2.7298344863937456</v>
      </c>
      <c r="G32" s="29"/>
      <c r="H32" s="21"/>
      <c r="I32" s="79"/>
      <c r="J32" s="79"/>
      <c r="K32" s="79"/>
      <c r="L32" s="79"/>
    </row>
    <row r="33" spans="2:12">
      <c r="B33" s="74" t="s">
        <v>21</v>
      </c>
      <c r="C33" s="52">
        <v>0.17252559798237077</v>
      </c>
      <c r="D33" s="52">
        <f>D32/C32-1</f>
        <v>0.26701497814167796</v>
      </c>
      <c r="E33" s="52">
        <f>E32/D32-1</f>
        <v>0.23054716395793973</v>
      </c>
      <c r="F33" s="52">
        <f>F32/E32-1</f>
        <v>0.16805261021380935</v>
      </c>
      <c r="G33" s="29"/>
      <c r="H33" s="79"/>
      <c r="I33" s="79"/>
      <c r="J33" s="79"/>
      <c r="K33" s="79"/>
      <c r="L33" s="79"/>
    </row>
    <row r="34" spans="2:12">
      <c r="B34" s="70"/>
      <c r="C34" s="34"/>
      <c r="D34" s="34"/>
      <c r="E34" s="34"/>
      <c r="F34" s="34"/>
      <c r="G34" s="29"/>
      <c r="H34" s="79"/>
      <c r="I34" s="79"/>
      <c r="J34" s="79"/>
      <c r="K34" s="79"/>
      <c r="L34" s="79"/>
    </row>
    <row r="35" spans="2:12">
      <c r="B35" s="70" t="s">
        <v>32</v>
      </c>
      <c r="C35" s="35">
        <f>+'Quarterly Model'!BE180</f>
        <v>-669</v>
      </c>
      <c r="D35" s="35">
        <f>+'Quarterly Model'!BJ180</f>
        <v>-667</v>
      </c>
      <c r="E35" s="35">
        <f>+'Quarterly Model'!BO180</f>
        <v>-852.14191438637272</v>
      </c>
      <c r="F35" s="35">
        <f>+'Quarterly Model'!BT180</f>
        <v>-976.51184425178087</v>
      </c>
      <c r="G35" s="29"/>
      <c r="H35" s="79"/>
      <c r="I35" s="79"/>
      <c r="J35" s="79"/>
      <c r="K35" s="79"/>
      <c r="L35" s="79"/>
    </row>
    <row r="36" spans="2:12">
      <c r="B36" s="84" t="s">
        <v>33</v>
      </c>
      <c r="C36" s="60">
        <f>+'Portfolio Manager''s Snapshot'!C35/'Portfolio Manager''s Snapshot'!C17</f>
        <v>-6.1704482567791923E-2</v>
      </c>
      <c r="D36" s="60">
        <f>+'Portfolio Manager''s Snapshot'!D35/'Portfolio Manager''s Snapshot'!D17</f>
        <v>-5.0939361539636477E-2</v>
      </c>
      <c r="E36" s="60">
        <f>+'Portfolio Manager''s Snapshot'!E35/'Portfolio Manager''s Snapshot'!E17</f>
        <v>-5.5300827807336993E-2</v>
      </c>
      <c r="F36" s="60">
        <f>+'Portfolio Manager''s Snapshot'!F35/'Portfolio Manager''s Snapshot'!F17</f>
        <v>-5.4999999999999993E-2</v>
      </c>
      <c r="G36" s="29"/>
    </row>
    <row r="37" spans="2:12">
      <c r="B37" s="85" t="s">
        <v>34</v>
      </c>
      <c r="C37" s="86">
        <f>+DCF!G72</f>
        <v>1577.3338634352322</v>
      </c>
      <c r="D37" s="86">
        <f>+DCF!H72</f>
        <v>811.77489271952413</v>
      </c>
      <c r="E37" s="86">
        <f>+DCF!I72</f>
        <v>853.52689779033244</v>
      </c>
      <c r="F37" s="86">
        <f>+DCF!J72</f>
        <v>1944.5125529618244</v>
      </c>
      <c r="G37" s="29"/>
    </row>
    <row r="38" spans="2:12">
      <c r="B38" s="70"/>
      <c r="C38" s="34"/>
      <c r="D38" s="34"/>
      <c r="E38" s="34"/>
      <c r="F38" s="34"/>
      <c r="G38" s="29"/>
    </row>
    <row r="39" spans="2:12">
      <c r="B39" s="87" t="s">
        <v>35</v>
      </c>
      <c r="C39" s="88">
        <f>+'Quarterly Model'!BE235</f>
        <v>33103</v>
      </c>
      <c r="D39" s="88">
        <f>+'Quarterly Model'!BJ235</f>
        <v>40774</v>
      </c>
      <c r="E39" s="88">
        <f>+'Quarterly Model'!BO235</f>
        <v>43675.527324210503</v>
      </c>
      <c r="F39" s="88">
        <f>+'Quarterly Model'!BT235</f>
        <v>45355.890474796281</v>
      </c>
      <c r="G39" s="29"/>
    </row>
    <row r="40" spans="2:12">
      <c r="B40" s="89" t="s">
        <v>36</v>
      </c>
      <c r="C40" s="35">
        <f>'Quarterly Model'!BE220</f>
        <v>1590</v>
      </c>
      <c r="D40" s="35">
        <f>'Quarterly Model'!BJ220</f>
        <v>2883</v>
      </c>
      <c r="E40" s="35">
        <f>'Quarterly Model'!BO220</f>
        <v>10141.844836095252</v>
      </c>
      <c r="F40" s="35">
        <f>'Quarterly Model'!BT220</f>
        <v>12035.810738380707</v>
      </c>
      <c r="G40" s="29"/>
    </row>
    <row r="41" spans="2:12">
      <c r="B41" s="70"/>
      <c r="C41" s="61"/>
      <c r="D41" s="61"/>
      <c r="E41" s="61"/>
      <c r="F41" s="61"/>
      <c r="G41" s="29"/>
    </row>
    <row r="42" spans="2:12">
      <c r="B42" s="87" t="s">
        <v>37</v>
      </c>
      <c r="C42" s="88">
        <f>+'Quarterly Model'!BE247</f>
        <v>18391</v>
      </c>
      <c r="D42" s="88">
        <f>+'Quarterly Model'!BJ247</f>
        <v>24780</v>
      </c>
      <c r="E42" s="88">
        <f>+'Quarterly Model'!BO247</f>
        <v>28043.667205198974</v>
      </c>
      <c r="F42" s="88">
        <f>+'Quarterly Model'!BT247</f>
        <v>27920.167058349369</v>
      </c>
      <c r="G42" s="29"/>
    </row>
    <row r="43" spans="2:12">
      <c r="B43" s="89" t="s">
        <v>38</v>
      </c>
      <c r="C43" s="35">
        <f>+'Quarterly Model'!BE259</f>
        <v>0</v>
      </c>
      <c r="D43" s="35">
        <f>+'Quarterly Model'!BJ259</f>
        <v>1000</v>
      </c>
      <c r="E43" s="35">
        <f>+'Quarterly Model'!BO259</f>
        <v>3000</v>
      </c>
      <c r="F43" s="35">
        <f>+'Quarterly Model'!BT259</f>
        <v>3000</v>
      </c>
      <c r="G43" s="29"/>
    </row>
    <row r="44" spans="2:12">
      <c r="B44" s="90" t="s">
        <v>39</v>
      </c>
      <c r="C44" s="91">
        <f>+'Quarterly Model'!BE254</f>
        <v>14712</v>
      </c>
      <c r="D44" s="91">
        <f>+'Quarterly Model'!BJ254</f>
        <v>15994</v>
      </c>
      <c r="E44" s="91">
        <f>+'Quarterly Model'!BO254</f>
        <v>15631.86011901153</v>
      </c>
      <c r="F44" s="91">
        <f>+'Quarterly Model'!BT254</f>
        <v>17435.723416446905</v>
      </c>
      <c r="G44" s="29"/>
    </row>
  </sheetData>
  <hyperlinks>
    <hyperlink ref="H5" r:id="rId1"/>
    <hyperlink ref="B5" r:id="rId2" display="vasundhara.govil@morganstanley.com"/>
  </hyperlinks>
  <printOptions horizontalCentered="1" verticalCentered="1"/>
  <pageMargins left="0.5" right="0.5" top="0.5" bottom="0.5" header="0.5" footer="0.5"/>
  <pageSetup scale="77" orientation="landscape" r:id="rId3"/>
  <headerFooter alignWithMargins="0"/>
  <drawing r:id="rId4"/>
  <legacyDrawing r:id="rId5"/>
  <controls>
    <mc:AlternateContent xmlns:mc="http://schemas.openxmlformats.org/markup-compatibility/2006">
      <mc:Choice Requires="x14">
        <control shapeId="1025" r:id="rId6" name="ComboBox1">
          <controlPr defaultSize="0" autoLine="0" linkedCell="DCF!$A$5" listFillRange="DCF!$A$2:$A$4" r:id="rId7">
            <anchor moveWithCells="1">
              <from>
                <xdr:col>1</xdr:col>
                <xdr:colOff>895350</xdr:colOff>
                <xdr:row>6</xdr:row>
                <xdr:rowOff>66675</xdr:rowOff>
              </from>
              <to>
                <xdr:col>1</xdr:col>
                <xdr:colOff>2352675</xdr:colOff>
                <xdr:row>6</xdr:row>
                <xdr:rowOff>342900</xdr:rowOff>
              </to>
            </anchor>
          </controlPr>
        </control>
      </mc:Choice>
      <mc:Fallback>
        <control shapeId="1025" r:id="rId6" name="ComboBox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3"/>
  </sheetPr>
  <dimension ref="A1:CN288"/>
  <sheetViews>
    <sheetView showGridLines="0" zoomScale="85" zoomScaleNormal="85" zoomScaleSheetLayoutView="85" workbookViewId="0">
      <pane xSplit="2" ySplit="3" topLeftCell="AP4" activePane="bottomRight" state="frozen"/>
      <selection activeCell="I43" sqref="I43"/>
      <selection pane="topRight" activeCell="I43" sqref="I43"/>
      <selection pane="bottomLeft" activeCell="I43" sqref="I43"/>
      <selection pane="bottomRight"/>
    </sheetView>
  </sheetViews>
  <sheetFormatPr defaultColWidth="12.5703125" defaultRowHeight="13.5" customHeight="1" outlineLevelRow="1" outlineLevelCol="1"/>
  <cols>
    <col min="1" max="1" width="2" customWidth="1"/>
    <col min="2" max="2" width="45.28515625" customWidth="1"/>
    <col min="3" max="36" width="10.7109375" hidden="1" customWidth="1" outlineLevel="1"/>
    <col min="37" max="37" width="10.7109375" hidden="1" customWidth="1"/>
    <col min="38" max="41" width="10.7109375" hidden="1" customWidth="1" outlineLevel="1"/>
    <col min="42" max="42" width="11.5703125" bestFit="1" customWidth="1" collapsed="1"/>
    <col min="43" max="44" width="10.7109375" hidden="1" customWidth="1" outlineLevel="1"/>
    <col min="45" max="45" width="12" hidden="1" customWidth="1" outlineLevel="1"/>
    <col min="46" max="46" width="10.7109375" hidden="1" customWidth="1" outlineLevel="1"/>
    <col min="47" max="47" width="11.5703125" bestFit="1" customWidth="1" collapsed="1"/>
    <col min="48" max="51" width="10.7109375" hidden="1" customWidth="1" outlineLevel="1"/>
    <col min="52" max="52" width="11.5703125" bestFit="1" customWidth="1" collapsed="1"/>
    <col min="53" max="56" width="10.7109375" customWidth="1" outlineLevel="1"/>
    <col min="57" max="57" width="12" bestFit="1" customWidth="1"/>
    <col min="58" max="61" width="10.7109375" customWidth="1" outlineLevel="1"/>
    <col min="62" max="62" width="12" bestFit="1" customWidth="1"/>
    <col min="63" max="66" width="10.7109375" customWidth="1" outlineLevel="1"/>
    <col min="67" max="67" width="12" bestFit="1" customWidth="1"/>
    <col min="68" max="71" width="10.7109375" customWidth="1" outlineLevel="1"/>
    <col min="72" max="72" width="12" bestFit="1" customWidth="1"/>
    <col min="73" max="76" width="10.7109375" hidden="1" customWidth="1" outlineLevel="1"/>
    <col min="77" max="77" width="12" bestFit="1" customWidth="1" collapsed="1"/>
    <col min="78" max="81" width="10.7109375" hidden="1" customWidth="1" outlineLevel="1"/>
    <col min="82" max="82" width="12" bestFit="1" customWidth="1" collapsed="1"/>
    <col min="83" max="83" width="10.7109375" customWidth="1"/>
    <col min="84" max="84" width="58.42578125" hidden="1" customWidth="1" outlineLevel="1"/>
    <col min="85" max="86" width="12.140625" hidden="1" customWidth="1" outlineLevel="1"/>
    <col min="87" max="89" width="12.5703125" hidden="1" customWidth="1" outlineLevel="1"/>
    <col min="90" max="90" width="12.5703125" collapsed="1"/>
  </cols>
  <sheetData>
    <row r="1" spans="1:91" ht="12.75">
      <c r="A1" s="1308"/>
      <c r="B1" s="93"/>
      <c r="C1" s="94"/>
      <c r="D1" s="94"/>
      <c r="E1" s="94"/>
      <c r="F1" s="95"/>
      <c r="G1" s="96"/>
      <c r="H1" s="94"/>
      <c r="I1" s="94"/>
      <c r="J1" s="94"/>
      <c r="K1" s="95"/>
      <c r="L1" s="96"/>
      <c r="M1" s="94"/>
      <c r="N1" s="94"/>
      <c r="O1" s="94"/>
      <c r="P1" s="95"/>
      <c r="Q1" s="96"/>
      <c r="R1" s="94"/>
      <c r="S1" s="94"/>
      <c r="T1" s="94"/>
      <c r="U1" s="95"/>
      <c r="V1" s="96"/>
      <c r="W1" s="94"/>
      <c r="X1" s="94"/>
      <c r="Y1" s="94"/>
      <c r="Z1" s="95"/>
      <c r="AA1" s="96"/>
      <c r="AB1" s="94"/>
      <c r="AC1" s="94"/>
      <c r="AD1" s="94"/>
      <c r="AE1" s="95"/>
      <c r="AF1" s="96"/>
      <c r="AG1" s="94"/>
      <c r="AH1" s="94"/>
      <c r="AI1" s="94"/>
      <c r="AJ1" s="95"/>
      <c r="AK1" s="96"/>
      <c r="AL1" s="97"/>
      <c r="AM1" s="97"/>
      <c r="AN1" s="97"/>
      <c r="AO1" s="95"/>
      <c r="AP1" s="98"/>
      <c r="AQ1" s="99"/>
      <c r="AR1" s="99"/>
      <c r="AS1" s="99"/>
      <c r="AT1" s="99"/>
      <c r="AU1" s="98"/>
      <c r="AV1" s="100"/>
      <c r="AW1" s="100"/>
      <c r="AX1" s="100"/>
      <c r="AY1" s="100"/>
      <c r="AZ1" s="100"/>
      <c r="BA1" s="100"/>
      <c r="BB1" s="101"/>
      <c r="BC1" s="100"/>
      <c r="BD1" s="101"/>
      <c r="BE1" s="102"/>
      <c r="BF1" s="102"/>
      <c r="BG1" s="102"/>
      <c r="BH1" s="102"/>
      <c r="BI1" s="170"/>
      <c r="BJ1" s="170"/>
      <c r="BK1" s="170"/>
      <c r="BL1" s="170"/>
      <c r="BM1" s="103"/>
      <c r="BN1" s="103"/>
      <c r="BO1" s="103"/>
      <c r="BP1" s="103"/>
      <c r="BQ1" s="103"/>
      <c r="BR1" s="103"/>
      <c r="BS1" s="103"/>
      <c r="BT1" s="103"/>
      <c r="BU1" s="103"/>
      <c r="BV1" s="103"/>
      <c r="BW1" s="103"/>
      <c r="BX1" s="103"/>
      <c r="BY1" s="103"/>
      <c r="BZ1" s="103"/>
      <c r="CA1" s="103"/>
      <c r="CB1" s="103"/>
      <c r="CC1" s="103"/>
      <c r="CD1" s="103"/>
      <c r="CE1" s="92"/>
    </row>
    <row r="2" spans="1:91" ht="12.75" customHeight="1">
      <c r="A2" s="92"/>
      <c r="B2" s="104" t="s">
        <v>8</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105"/>
      <c r="AV2" s="99"/>
      <c r="AW2" s="99"/>
      <c r="AX2" s="99"/>
      <c r="AY2" s="99"/>
      <c r="AZ2" s="106"/>
      <c r="BA2" s="107"/>
      <c r="BB2" s="107"/>
      <c r="BC2" s="107"/>
      <c r="BD2" s="107"/>
      <c r="BE2" s="107"/>
      <c r="BF2" s="107"/>
      <c r="BG2" s="107"/>
      <c r="BH2" s="107"/>
      <c r="BI2" s="1274"/>
      <c r="BJ2" s="1274"/>
      <c r="BK2" s="1274"/>
      <c r="BL2" s="1274"/>
      <c r="BM2" s="107"/>
      <c r="BN2" s="107"/>
      <c r="BO2" s="107"/>
      <c r="BP2" s="107"/>
      <c r="BQ2" s="107"/>
      <c r="BR2" s="107"/>
      <c r="BS2" s="107"/>
      <c r="BT2" s="107"/>
      <c r="BU2" s="107"/>
      <c r="BV2" s="107"/>
      <c r="BW2" s="107"/>
      <c r="BX2" s="107"/>
      <c r="BY2" s="107"/>
      <c r="BZ2" s="107"/>
      <c r="CA2" s="107"/>
      <c r="CB2" s="107"/>
      <c r="CC2" s="107"/>
      <c r="CD2" s="107"/>
      <c r="CE2" s="92"/>
    </row>
    <row r="3" spans="1:91" ht="13.5" customHeight="1">
      <c r="A3" s="92"/>
      <c r="B3" s="108"/>
      <c r="C3" s="109" t="s">
        <v>40</v>
      </c>
      <c r="D3" s="109" t="s">
        <v>41</v>
      </c>
      <c r="E3" s="109" t="s">
        <v>42</v>
      </c>
      <c r="F3" s="109" t="s">
        <v>43</v>
      </c>
      <c r="G3" s="110" t="s">
        <v>44</v>
      </c>
      <c r="H3" s="109" t="s">
        <v>45</v>
      </c>
      <c r="I3" s="109" t="s">
        <v>46</v>
      </c>
      <c r="J3" s="109" t="s">
        <v>47</v>
      </c>
      <c r="K3" s="109" t="s">
        <v>48</v>
      </c>
      <c r="L3" s="110" t="s">
        <v>49</v>
      </c>
      <c r="M3" s="109" t="s">
        <v>50</v>
      </c>
      <c r="N3" s="109" t="s">
        <v>51</v>
      </c>
      <c r="O3" s="109" t="s">
        <v>52</v>
      </c>
      <c r="P3" s="109" t="s">
        <v>53</v>
      </c>
      <c r="Q3" s="110" t="s">
        <v>54</v>
      </c>
      <c r="R3" s="109" t="s">
        <v>55</v>
      </c>
      <c r="S3" s="109" t="s">
        <v>56</v>
      </c>
      <c r="T3" s="109" t="s">
        <v>57</v>
      </c>
      <c r="U3" s="109" t="s">
        <v>58</v>
      </c>
      <c r="V3" s="110" t="s">
        <v>59</v>
      </c>
      <c r="W3" s="109" t="s">
        <v>60</v>
      </c>
      <c r="X3" s="109" t="s">
        <v>61</v>
      </c>
      <c r="Y3" s="109" t="s">
        <v>62</v>
      </c>
      <c r="Z3" s="109" t="s">
        <v>63</v>
      </c>
      <c r="AA3" s="110" t="s">
        <v>64</v>
      </c>
      <c r="AB3" s="109" t="s">
        <v>65</v>
      </c>
      <c r="AC3" s="109" t="s">
        <v>66</v>
      </c>
      <c r="AD3" s="109" t="s">
        <v>67</v>
      </c>
      <c r="AE3" s="109" t="s">
        <v>68</v>
      </c>
      <c r="AF3" s="110" t="s">
        <v>69</v>
      </c>
      <c r="AG3" s="109" t="s">
        <v>70</v>
      </c>
      <c r="AH3" s="109" t="s">
        <v>71</v>
      </c>
      <c r="AI3" s="109" t="s">
        <v>72</v>
      </c>
      <c r="AJ3" s="109" t="s">
        <v>73</v>
      </c>
      <c r="AK3" s="110" t="s">
        <v>74</v>
      </c>
      <c r="AL3" s="109" t="s">
        <v>75</v>
      </c>
      <c r="AM3" s="109" t="s">
        <v>76</v>
      </c>
      <c r="AN3" s="109" t="s">
        <v>77</v>
      </c>
      <c r="AO3" s="109" t="s">
        <v>78</v>
      </c>
      <c r="AP3" s="110" t="s">
        <v>79</v>
      </c>
      <c r="AQ3" s="111" t="s">
        <v>80</v>
      </c>
      <c r="AR3" s="109" t="s">
        <v>81</v>
      </c>
      <c r="AS3" s="109" t="s">
        <v>82</v>
      </c>
      <c r="AT3" s="109" t="s">
        <v>83</v>
      </c>
      <c r="AU3" s="110" t="s">
        <v>84</v>
      </c>
      <c r="AV3" s="109" t="s">
        <v>85</v>
      </c>
      <c r="AW3" s="109" t="s">
        <v>86</v>
      </c>
      <c r="AX3" s="109" t="s">
        <v>87</v>
      </c>
      <c r="AY3" s="109" t="s">
        <v>88</v>
      </c>
      <c r="AZ3" s="110" t="s">
        <v>12</v>
      </c>
      <c r="BA3" s="109" t="s">
        <v>89</v>
      </c>
      <c r="BB3" s="109" t="s">
        <v>90</v>
      </c>
      <c r="BC3" s="109" t="s">
        <v>91</v>
      </c>
      <c r="BD3" s="109" t="s">
        <v>92</v>
      </c>
      <c r="BE3" s="110" t="s">
        <v>13</v>
      </c>
      <c r="BF3" s="109" t="s">
        <v>93</v>
      </c>
      <c r="BG3" s="109" t="s">
        <v>94</v>
      </c>
      <c r="BH3" s="109" t="s">
        <v>95</v>
      </c>
      <c r="BI3" s="109" t="s">
        <v>601</v>
      </c>
      <c r="BJ3" s="110" t="s">
        <v>603</v>
      </c>
      <c r="BK3" s="109" t="s">
        <v>636</v>
      </c>
      <c r="BL3" s="109" t="s">
        <v>96</v>
      </c>
      <c r="BM3" s="109" t="s">
        <v>97</v>
      </c>
      <c r="BN3" s="109" t="s">
        <v>98</v>
      </c>
      <c r="BO3" s="110" t="s">
        <v>14</v>
      </c>
      <c r="BP3" s="109" t="s">
        <v>99</v>
      </c>
      <c r="BQ3" s="109" t="s">
        <v>100</v>
      </c>
      <c r="BR3" s="109" t="s">
        <v>101</v>
      </c>
      <c r="BS3" s="109" t="s">
        <v>102</v>
      </c>
      <c r="BT3" s="110" t="s">
        <v>103</v>
      </c>
      <c r="BU3" s="109" t="s">
        <v>104</v>
      </c>
      <c r="BV3" s="109" t="s">
        <v>105</v>
      </c>
      <c r="BW3" s="109" t="s">
        <v>106</v>
      </c>
      <c r="BX3" s="109" t="s">
        <v>107</v>
      </c>
      <c r="BY3" s="110" t="s">
        <v>108</v>
      </c>
      <c r="BZ3" s="109" t="s">
        <v>109</v>
      </c>
      <c r="CA3" s="109" t="s">
        <v>110</v>
      </c>
      <c r="CB3" s="109" t="s">
        <v>111</v>
      </c>
      <c r="CC3" s="109" t="s">
        <v>112</v>
      </c>
      <c r="CD3" s="110" t="s">
        <v>113</v>
      </c>
      <c r="CE3" s="99"/>
    </row>
    <row r="4" spans="1:91" ht="18">
      <c r="A4" s="92"/>
      <c r="B4" s="112" t="s">
        <v>114</v>
      </c>
      <c r="C4" s="113"/>
      <c r="D4" s="113"/>
      <c r="E4" s="113"/>
      <c r="F4" s="113"/>
      <c r="G4" s="114"/>
      <c r="H4" s="113"/>
      <c r="I4" s="113"/>
      <c r="J4" s="113"/>
      <c r="K4" s="113"/>
      <c r="L4" s="114"/>
      <c r="M4" s="113"/>
      <c r="N4" s="113"/>
      <c r="O4" s="113"/>
      <c r="P4" s="113"/>
      <c r="Q4" s="114"/>
      <c r="R4" s="113"/>
      <c r="S4" s="113"/>
      <c r="T4" s="113"/>
      <c r="U4" s="113"/>
      <c r="V4" s="114"/>
      <c r="W4" s="113"/>
      <c r="X4" s="113"/>
      <c r="Y4" s="113"/>
      <c r="Z4" s="113"/>
      <c r="AA4" s="114"/>
      <c r="AB4" s="113"/>
      <c r="AC4" s="113"/>
      <c r="AD4" s="113"/>
      <c r="AE4" s="113"/>
      <c r="AF4" s="114"/>
      <c r="AG4" s="113"/>
      <c r="AH4" s="113"/>
      <c r="AI4" s="113"/>
      <c r="AJ4" s="113"/>
      <c r="AK4" s="115"/>
      <c r="AL4" s="115"/>
      <c r="AM4" s="115"/>
      <c r="AN4" s="115"/>
      <c r="AO4" s="115"/>
      <c r="AP4" s="115"/>
      <c r="AQ4" s="116"/>
      <c r="AR4" s="115"/>
      <c r="AS4" s="116"/>
      <c r="AT4" s="117"/>
      <c r="AU4" s="118"/>
      <c r="AV4" s="118"/>
      <c r="AW4" s="118"/>
      <c r="AX4" s="118"/>
      <c r="AY4" s="118"/>
      <c r="AZ4" s="118"/>
      <c r="BA4" s="118"/>
      <c r="BB4" s="118"/>
      <c r="BC4" s="118"/>
      <c r="BD4" s="118"/>
      <c r="BE4" s="118"/>
      <c r="BF4" s="118"/>
      <c r="BG4" s="118"/>
      <c r="BH4" s="118"/>
      <c r="BI4" s="118"/>
      <c r="BJ4" s="118"/>
      <c r="BK4" s="118"/>
      <c r="BL4" s="118"/>
      <c r="BM4" s="118"/>
      <c r="BN4" s="118"/>
      <c r="BO4" s="118"/>
      <c r="BP4" s="118"/>
      <c r="BQ4" s="118"/>
      <c r="BR4" s="118"/>
      <c r="BS4" s="118"/>
      <c r="BT4" s="118"/>
      <c r="BU4" s="118"/>
      <c r="BV4" s="118"/>
      <c r="BW4" s="118"/>
      <c r="BX4" s="118"/>
      <c r="BY4" s="118"/>
      <c r="BZ4" s="118"/>
      <c r="CA4" s="118"/>
      <c r="CB4" s="118"/>
      <c r="CC4" s="118"/>
      <c r="CD4" s="118"/>
      <c r="CE4" s="115"/>
    </row>
    <row r="5" spans="1:91" ht="13.5" customHeight="1">
      <c r="A5" s="92"/>
      <c r="B5" s="119" t="s">
        <v>115</v>
      </c>
      <c r="C5" s="113"/>
      <c r="D5" s="113"/>
      <c r="E5" s="113"/>
      <c r="F5" s="113"/>
      <c r="G5" s="114"/>
      <c r="H5" s="113"/>
      <c r="I5" s="113"/>
      <c r="J5" s="113"/>
      <c r="K5" s="113"/>
      <c r="L5" s="114"/>
      <c r="M5" s="113"/>
      <c r="N5" s="113"/>
      <c r="O5" s="113"/>
      <c r="P5" s="113"/>
      <c r="Q5" s="114"/>
      <c r="R5" s="113"/>
      <c r="S5" s="113"/>
      <c r="T5" s="113"/>
      <c r="U5" s="113"/>
      <c r="V5" s="114"/>
      <c r="W5" s="113"/>
      <c r="X5" s="113"/>
      <c r="Y5" s="113"/>
      <c r="Z5" s="113"/>
      <c r="AA5" s="114"/>
      <c r="AB5" s="113"/>
      <c r="AC5" s="113"/>
      <c r="AD5" s="113"/>
      <c r="AE5" s="113"/>
      <c r="AF5" s="114"/>
      <c r="AG5" s="113"/>
      <c r="AH5" s="113"/>
      <c r="AI5" s="113"/>
      <c r="AJ5" s="113"/>
      <c r="AK5" s="115"/>
      <c r="AL5" s="115"/>
      <c r="AM5" s="115"/>
      <c r="AN5" s="115"/>
      <c r="AO5" s="115"/>
      <c r="AP5" s="115"/>
      <c r="AQ5" s="120"/>
      <c r="AR5" s="120"/>
      <c r="AS5" s="121"/>
      <c r="AT5" s="120"/>
      <c r="AU5" s="122"/>
      <c r="AV5" s="122"/>
      <c r="AW5" s="122"/>
      <c r="AX5" s="122"/>
      <c r="AY5" s="122"/>
      <c r="AZ5" s="122"/>
      <c r="BA5" s="122"/>
      <c r="BB5" s="122"/>
      <c r="BC5" s="122"/>
      <c r="BD5" s="122"/>
      <c r="BE5" s="122"/>
      <c r="BF5" s="122"/>
      <c r="BG5" s="122"/>
      <c r="BH5" s="122"/>
      <c r="BI5" s="122"/>
      <c r="BJ5" s="122"/>
      <c r="BK5" s="122"/>
      <c r="BL5" s="122"/>
      <c r="BM5" s="122"/>
      <c r="BN5" s="122"/>
      <c r="BO5" s="122"/>
      <c r="BP5" s="122"/>
      <c r="BQ5" s="122"/>
      <c r="BR5" s="122"/>
      <c r="BS5" s="122"/>
      <c r="BT5" s="122"/>
      <c r="BU5" s="122"/>
      <c r="BV5" s="122"/>
      <c r="BW5" s="122"/>
      <c r="BX5" s="122"/>
      <c r="BY5" s="122"/>
      <c r="BZ5" s="122"/>
      <c r="CA5" s="122"/>
      <c r="CB5" s="122"/>
      <c r="CC5" s="122"/>
      <c r="CD5" s="122"/>
      <c r="CE5" s="115"/>
    </row>
    <row r="6" spans="1:91" ht="3.75" customHeight="1">
      <c r="A6" s="92"/>
      <c r="B6" s="119"/>
      <c r="C6" s="113"/>
      <c r="D6" s="113"/>
      <c r="E6" s="113"/>
      <c r="F6" s="113"/>
      <c r="G6" s="114"/>
      <c r="H6" s="113"/>
      <c r="I6" s="113"/>
      <c r="J6" s="113"/>
      <c r="K6" s="113"/>
      <c r="L6" s="114"/>
      <c r="M6" s="113"/>
      <c r="N6" s="113"/>
      <c r="O6" s="113"/>
      <c r="P6" s="113"/>
      <c r="Q6" s="114"/>
      <c r="R6" s="113"/>
      <c r="S6" s="113"/>
      <c r="T6" s="113"/>
      <c r="U6" s="113"/>
      <c r="V6" s="114"/>
      <c r="W6" s="113"/>
      <c r="X6" s="113"/>
      <c r="Y6" s="113"/>
      <c r="Z6" s="113"/>
      <c r="AA6" s="114"/>
      <c r="AB6" s="113"/>
      <c r="AC6" s="113"/>
      <c r="AD6" s="113"/>
      <c r="AE6" s="113"/>
      <c r="AF6" s="114"/>
      <c r="AG6" s="113"/>
      <c r="AH6" s="113"/>
      <c r="AI6" s="113"/>
      <c r="AJ6" s="113"/>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15"/>
      <c r="BP6" s="115"/>
      <c r="BQ6" s="115"/>
      <c r="BR6" s="115"/>
      <c r="BS6" s="115"/>
      <c r="BT6" s="115"/>
      <c r="BU6" s="115"/>
      <c r="BV6" s="115"/>
      <c r="BW6" s="115"/>
      <c r="BX6" s="115"/>
      <c r="BY6" s="115"/>
      <c r="BZ6" s="115"/>
      <c r="CA6" s="115"/>
      <c r="CB6" s="115"/>
      <c r="CC6" s="115"/>
      <c r="CD6" s="115"/>
      <c r="CE6" s="115"/>
    </row>
    <row r="7" spans="1:91" ht="13.5" customHeight="1">
      <c r="A7" s="92"/>
      <c r="B7" s="123"/>
      <c r="C7" s="124"/>
      <c r="D7" s="124"/>
      <c r="E7" s="124"/>
      <c r="F7" s="124"/>
      <c r="G7" s="125"/>
      <c r="H7" s="124"/>
      <c r="I7" s="124"/>
      <c r="J7" s="124"/>
      <c r="K7" s="124"/>
      <c r="L7" s="125"/>
      <c r="M7" s="124"/>
      <c r="N7" s="124"/>
      <c r="O7" s="124"/>
      <c r="P7" s="124"/>
      <c r="Q7" s="125"/>
      <c r="R7" s="124"/>
      <c r="S7" s="124"/>
      <c r="T7" s="124"/>
      <c r="U7" s="124"/>
      <c r="V7" s="125"/>
      <c r="W7" s="124"/>
      <c r="X7" s="124"/>
      <c r="Y7" s="124"/>
      <c r="Z7" s="124"/>
      <c r="AA7" s="125"/>
      <c r="AB7" s="124"/>
      <c r="AC7" s="124"/>
      <c r="AD7" s="124"/>
      <c r="AE7" s="124"/>
      <c r="AF7" s="125"/>
      <c r="AG7" s="124"/>
      <c r="AH7" s="124"/>
      <c r="AI7" s="124"/>
      <c r="AJ7" s="124"/>
      <c r="AK7" s="126"/>
      <c r="AL7" s="127"/>
      <c r="AM7" s="127"/>
      <c r="AN7" s="127"/>
      <c r="AO7" s="127"/>
      <c r="AP7" s="126"/>
      <c r="AQ7" s="127"/>
      <c r="AR7" s="127"/>
      <c r="AS7" s="127"/>
      <c r="AT7" s="127"/>
      <c r="AU7" s="126"/>
      <c r="AV7" s="127"/>
      <c r="AW7" s="127"/>
      <c r="AX7" s="127"/>
      <c r="AY7" s="127"/>
      <c r="AZ7" s="128"/>
      <c r="BA7" s="127"/>
      <c r="BB7" s="127"/>
      <c r="BC7" s="127"/>
      <c r="BD7" s="127"/>
      <c r="BE7" s="128"/>
      <c r="BF7" s="127"/>
      <c r="BG7" s="127"/>
      <c r="BH7" s="127"/>
      <c r="BI7" s="127"/>
      <c r="BJ7" s="128"/>
      <c r="BK7" s="127"/>
      <c r="BL7" s="127"/>
      <c r="BM7" s="127"/>
      <c r="BN7" s="127"/>
      <c r="BO7" s="128"/>
      <c r="BP7" s="127"/>
      <c r="BQ7" s="127"/>
      <c r="BR7" s="127"/>
      <c r="BS7" s="127"/>
      <c r="BT7" s="128"/>
      <c r="BU7" s="127"/>
      <c r="BV7" s="127"/>
      <c r="BW7" s="127"/>
      <c r="BX7" s="127"/>
      <c r="BY7" s="128"/>
      <c r="BZ7" s="127"/>
      <c r="CA7" s="127"/>
      <c r="CB7" s="127"/>
      <c r="CC7" s="127"/>
      <c r="CD7" s="128"/>
      <c r="CE7" s="115"/>
      <c r="CL7" s="129"/>
      <c r="CM7" s="129"/>
    </row>
    <row r="8" spans="1:91" ht="12.75">
      <c r="A8" s="130"/>
      <c r="B8" s="131" t="s">
        <v>116</v>
      </c>
      <c r="C8" s="132"/>
      <c r="D8" s="132"/>
      <c r="E8" s="132"/>
      <c r="F8" s="132"/>
      <c r="G8" s="133"/>
      <c r="H8" s="132"/>
      <c r="I8" s="132"/>
      <c r="J8" s="132"/>
      <c r="K8" s="132"/>
      <c r="L8" s="133"/>
      <c r="M8" s="132"/>
      <c r="N8" s="132"/>
      <c r="O8" s="132"/>
      <c r="P8" s="132"/>
      <c r="Q8" s="133"/>
      <c r="R8" s="132"/>
      <c r="S8" s="132"/>
      <c r="T8" s="132"/>
      <c r="U8" s="132"/>
      <c r="V8" s="133"/>
      <c r="W8" s="132"/>
      <c r="X8" s="132"/>
      <c r="Y8" s="132"/>
      <c r="Z8" s="132"/>
      <c r="AA8" s="133"/>
      <c r="AB8" s="132"/>
      <c r="AC8" s="132"/>
      <c r="AD8" s="132"/>
      <c r="AE8" s="132"/>
      <c r="AF8" s="133"/>
      <c r="AG8" s="132"/>
      <c r="AH8" s="132"/>
      <c r="AI8" s="132"/>
      <c r="AJ8" s="132"/>
      <c r="AK8" s="134">
        <f>'Segment Detail'!AK45</f>
        <v>5028</v>
      </c>
      <c r="AL8" s="135"/>
      <c r="AM8" s="135"/>
      <c r="AN8" s="135"/>
      <c r="AO8" s="135"/>
      <c r="AP8" s="134">
        <f>'Segment Detail'!AP45</f>
        <v>5992</v>
      </c>
      <c r="AQ8" s="135">
        <f>'Segment Detail'!AQ45</f>
        <v>1671</v>
      </c>
      <c r="AR8" s="135">
        <f>'Segment Detail'!AR45</f>
        <v>1710</v>
      </c>
      <c r="AS8" s="135">
        <f>'Segment Detail'!AS45</f>
        <v>1750</v>
      </c>
      <c r="AT8" s="135">
        <f>'Segment Detail'!AT45</f>
        <v>1963</v>
      </c>
      <c r="AU8" s="134">
        <f>'Segment Detail'!AU45</f>
        <v>7094</v>
      </c>
      <c r="AV8" s="135">
        <f>'Segment Detail'!AV45</f>
        <v>1911</v>
      </c>
      <c r="AW8" s="135">
        <f>'Segment Detail'!AW45</f>
        <v>1966</v>
      </c>
      <c r="AX8" s="135">
        <f>'Segment Detail'!AX45</f>
        <v>2004</v>
      </c>
      <c r="AY8" s="135">
        <f>'Segment Detail'!AY45</f>
        <v>2286</v>
      </c>
      <c r="AZ8" s="136">
        <f>'Segment Detail'!AZ45</f>
        <v>8217</v>
      </c>
      <c r="BA8" s="135">
        <f>'Segment Detail'!BA45</f>
        <v>2260</v>
      </c>
      <c r="BB8" s="135">
        <f>'Segment Detail'!BB45</f>
        <v>2347</v>
      </c>
      <c r="BC8" s="135">
        <f>'Segment Detail'!BC45</f>
        <v>2337</v>
      </c>
      <c r="BD8" s="135">
        <f>'Segment Detail'!BD45</f>
        <v>2641</v>
      </c>
      <c r="BE8" s="136">
        <f>'Segment Detail'!BE45</f>
        <v>9585</v>
      </c>
      <c r="BF8" s="135">
        <f>'Segment Detail'!BF45</f>
        <v>2624</v>
      </c>
      <c r="BG8" s="135">
        <f>'Segment Detail'!BG45</f>
        <v>2775</v>
      </c>
      <c r="BH8" s="135">
        <f>'Segment Detail'!BH45</f>
        <v>2858</v>
      </c>
      <c r="BI8" s="135">
        <f>'Segment Detail'!BI45</f>
        <v>3244</v>
      </c>
      <c r="BJ8" s="136">
        <f>'Segment Detail'!BJ45</f>
        <v>11501</v>
      </c>
      <c r="BK8" s="135">
        <f>'Segment Detail'!BK45</f>
        <v>3197</v>
      </c>
      <c r="BL8" s="135">
        <f>'Segment Detail'!BL45</f>
        <v>3367.8553362942498</v>
      </c>
      <c r="BM8" s="135">
        <f>'Segment Detail'!BM45</f>
        <v>3488.0723630382531</v>
      </c>
      <c r="BN8" s="135">
        <f>'Segment Detail'!BN45</f>
        <v>3942.3432114868319</v>
      </c>
      <c r="BO8" s="136">
        <f>'Segment Detail'!BO45</f>
        <v>13995.270910819334</v>
      </c>
      <c r="BP8" s="135">
        <f>'Segment Detail'!BP45</f>
        <v>3799.1428839282221</v>
      </c>
      <c r="BQ8" s="135">
        <f>'Segment Detail'!BQ45</f>
        <v>4007.0526823274868</v>
      </c>
      <c r="BR8" s="135">
        <f>'Segment Detail'!BR45</f>
        <v>4161.7887393646888</v>
      </c>
      <c r="BS8" s="135">
        <f>'Segment Detail'!BS45</f>
        <v>4708.0365953218234</v>
      </c>
      <c r="BT8" s="136">
        <f>'Segment Detail'!BT45</f>
        <v>16676.020900942221</v>
      </c>
      <c r="BU8" s="135">
        <f>'Segment Detail'!BU45</f>
        <v>4444.0700621387932</v>
      </c>
      <c r="BV8" s="135">
        <f>'Segment Detail'!BV45</f>
        <v>4704.4563665516616</v>
      </c>
      <c r="BW8" s="135">
        <f>'Segment Detail'!BW45</f>
        <v>4797.2602815692844</v>
      </c>
      <c r="BX8" s="135">
        <f>'Segment Detail'!BX45</f>
        <v>5446.8950534630067</v>
      </c>
      <c r="BY8" s="136">
        <f>'Segment Detail'!BY45</f>
        <v>19392.681763722747</v>
      </c>
      <c r="BZ8" s="135">
        <f>'Segment Detail'!BZ45</f>
        <v>5107.0814667287887</v>
      </c>
      <c r="CA8" s="135">
        <f>'Segment Detail'!CA45</f>
        <v>5416.0480949089069</v>
      </c>
      <c r="CB8" s="135">
        <f>'Segment Detail'!CB45</f>
        <v>5561.8941062180738</v>
      </c>
      <c r="CC8" s="135">
        <f>'Segment Detail'!CC45</f>
        <v>6326.7592758530673</v>
      </c>
      <c r="CD8" s="136">
        <f>'Segment Detail'!CD45</f>
        <v>22411.782943708837</v>
      </c>
      <c r="CE8" s="137"/>
      <c r="CL8" s="129"/>
      <c r="CM8" s="129"/>
    </row>
    <row r="9" spans="1:91" ht="12.75">
      <c r="A9" s="130"/>
      <c r="B9" s="138" t="s">
        <v>21</v>
      </c>
      <c r="C9" s="139"/>
      <c r="D9" s="139"/>
      <c r="E9" s="139"/>
      <c r="F9" s="139"/>
      <c r="G9" s="140"/>
      <c r="H9" s="139"/>
      <c r="I9" s="139"/>
      <c r="J9" s="139"/>
      <c r="K9" s="139"/>
      <c r="L9" s="140"/>
      <c r="M9" s="139"/>
      <c r="N9" s="139"/>
      <c r="O9" s="139"/>
      <c r="P9" s="139"/>
      <c r="Q9" s="140"/>
      <c r="R9" s="139"/>
      <c r="S9" s="139"/>
      <c r="T9" s="139"/>
      <c r="U9" s="139"/>
      <c r="V9" s="140"/>
      <c r="W9" s="139"/>
      <c r="X9" s="139"/>
      <c r="Y9" s="139"/>
      <c r="Z9" s="139"/>
      <c r="AA9" s="140"/>
      <c r="AB9" s="139"/>
      <c r="AC9" s="139"/>
      <c r="AD9" s="139"/>
      <c r="AE9" s="139"/>
      <c r="AF9" s="140"/>
      <c r="AG9" s="139"/>
      <c r="AH9" s="139"/>
      <c r="AI9" s="139"/>
      <c r="AJ9" s="139"/>
      <c r="AK9" s="140"/>
      <c r="AL9" s="139"/>
      <c r="AM9" s="139"/>
      <c r="AN9" s="139"/>
      <c r="AO9" s="139"/>
      <c r="AP9" s="140">
        <f>IF(ISERROR((AP8/AK8-1)),"NM",(AP8/AK8-1))</f>
        <v>0.19172633253778848</v>
      </c>
      <c r="AQ9" s="139" t="str">
        <f>IF(ISERROR((AQ8/AL8-1)),"NM",(AQ8/AL8-1))</f>
        <v>NM</v>
      </c>
      <c r="AR9" s="139"/>
      <c r="AS9" s="139"/>
      <c r="AT9" s="139"/>
      <c r="AU9" s="140">
        <f t="shared" ref="AU9:CD9" si="0">IF(ISERROR((AU8/AP8-1)),"NM",(AU8/AP8-1))</f>
        <v>0.18391188251001345</v>
      </c>
      <c r="AV9" s="139">
        <f t="shared" si="0"/>
        <v>0.14362657091561948</v>
      </c>
      <c r="AW9" s="139">
        <f t="shared" si="0"/>
        <v>0.14970760233918123</v>
      </c>
      <c r="AX9" s="139">
        <f t="shared" si="0"/>
        <v>0.14514285714285724</v>
      </c>
      <c r="AY9" s="139">
        <f t="shared" si="0"/>
        <v>0.16454406520631681</v>
      </c>
      <c r="AZ9" s="140">
        <f t="shared" si="0"/>
        <v>0.15830279109106282</v>
      </c>
      <c r="BA9" s="139">
        <f t="shared" si="0"/>
        <v>0.18262689691261125</v>
      </c>
      <c r="BB9" s="139">
        <f t="shared" si="0"/>
        <v>0.19379450661241093</v>
      </c>
      <c r="BC9" s="139">
        <f t="shared" si="0"/>
        <v>0.16616766467065869</v>
      </c>
      <c r="BD9" s="139">
        <f t="shared" si="0"/>
        <v>0.1552930883639545</v>
      </c>
      <c r="BE9" s="140">
        <f t="shared" si="0"/>
        <v>0.16648411829134724</v>
      </c>
      <c r="BF9" s="139">
        <f t="shared" si="0"/>
        <v>0.16106194690265485</v>
      </c>
      <c r="BG9" s="139">
        <f t="shared" si="0"/>
        <v>0.18236046016190888</v>
      </c>
      <c r="BH9" s="139">
        <f t="shared" si="0"/>
        <v>0.22293538724860928</v>
      </c>
      <c r="BI9" s="139">
        <f t="shared" si="0"/>
        <v>0.22832260507383562</v>
      </c>
      <c r="BJ9" s="140">
        <f t="shared" si="0"/>
        <v>0.19989567031820554</v>
      </c>
      <c r="BK9" s="139">
        <f t="shared" si="0"/>
        <v>0.21836890243902429</v>
      </c>
      <c r="BL9" s="139">
        <f t="shared" si="0"/>
        <v>0.21364156262855838</v>
      </c>
      <c r="BM9" s="139">
        <f t="shared" si="0"/>
        <v>0.22045918930659658</v>
      </c>
      <c r="BN9" s="139">
        <f t="shared" si="0"/>
        <v>0.21527226001443656</v>
      </c>
      <c r="BO9" s="140">
        <f t="shared" si="0"/>
        <v>0.21687426404828569</v>
      </c>
      <c r="BP9" s="139">
        <f t="shared" si="0"/>
        <v>0.1883462258142703</v>
      </c>
      <c r="BQ9" s="139">
        <f t="shared" si="0"/>
        <v>0.18979358737438079</v>
      </c>
      <c r="BR9" s="139">
        <f t="shared" si="0"/>
        <v>0.19314862371135022</v>
      </c>
      <c r="BS9" s="139">
        <f t="shared" si="0"/>
        <v>0.19422291331814678</v>
      </c>
      <c r="BT9" s="140">
        <f t="shared" si="0"/>
        <v>0.19154684515970888</v>
      </c>
      <c r="BU9" s="139">
        <f t="shared" si="0"/>
        <v>0.16975596809976579</v>
      </c>
      <c r="BV9" s="139">
        <f t="shared" si="0"/>
        <v>0.17404405170412929</v>
      </c>
      <c r="BW9" s="139">
        <f t="shared" si="0"/>
        <v>0.1526919269577347</v>
      </c>
      <c r="BX9" s="139">
        <f t="shared" si="0"/>
        <v>0.15693558093311255</v>
      </c>
      <c r="BY9" s="140">
        <f t="shared" si="0"/>
        <v>0.16290821886814921</v>
      </c>
      <c r="BZ9" s="139">
        <f t="shared" si="0"/>
        <v>0.14919013321561114</v>
      </c>
      <c r="CA9" s="139">
        <f t="shared" si="0"/>
        <v>0.1512590771202833</v>
      </c>
      <c r="CB9" s="139">
        <f t="shared" si="0"/>
        <v>0.15938968906616457</v>
      </c>
      <c r="CC9" s="139">
        <f t="shared" si="0"/>
        <v>0.16153500549467426</v>
      </c>
      <c r="CD9" s="140">
        <f t="shared" si="0"/>
        <v>0.1556825000673101</v>
      </c>
      <c r="CE9" s="137"/>
    </row>
    <row r="10" spans="1:91" ht="6" customHeight="1">
      <c r="A10" s="130"/>
      <c r="B10" s="141"/>
      <c r="C10" s="142"/>
      <c r="D10" s="142"/>
      <c r="E10" s="142"/>
      <c r="F10" s="142"/>
      <c r="G10" s="143"/>
      <c r="H10" s="142"/>
      <c r="I10" s="142"/>
      <c r="J10" s="142"/>
      <c r="K10" s="142"/>
      <c r="L10" s="143"/>
      <c r="M10" s="142"/>
      <c r="N10" s="142"/>
      <c r="O10" s="142"/>
      <c r="P10" s="142"/>
      <c r="Q10" s="143"/>
      <c r="R10" s="142"/>
      <c r="S10" s="142"/>
      <c r="T10" s="142"/>
      <c r="U10" s="142"/>
      <c r="V10" s="143"/>
      <c r="W10" s="142"/>
      <c r="X10" s="142"/>
      <c r="Y10" s="142"/>
      <c r="Z10" s="142"/>
      <c r="AA10" s="143"/>
      <c r="AB10" s="142"/>
      <c r="AC10" s="142"/>
      <c r="AD10" s="142"/>
      <c r="AE10" s="142"/>
      <c r="AF10" s="143"/>
      <c r="AG10" s="142"/>
      <c r="AH10" s="142"/>
      <c r="AI10" s="142"/>
      <c r="AJ10" s="142"/>
      <c r="AK10" s="144"/>
      <c r="AL10" s="145"/>
      <c r="AM10" s="145"/>
      <c r="AN10" s="145"/>
      <c r="AO10" s="145"/>
      <c r="AP10" s="144"/>
      <c r="AQ10" s="145"/>
      <c r="AR10" s="145"/>
      <c r="AS10" s="145"/>
      <c r="AT10" s="145"/>
      <c r="AU10" s="144"/>
      <c r="AV10" s="145"/>
      <c r="AW10" s="145"/>
      <c r="AX10" s="145"/>
      <c r="AY10" s="145"/>
      <c r="AZ10" s="146"/>
      <c r="BA10" s="145"/>
      <c r="BB10" s="145"/>
      <c r="BC10" s="145"/>
      <c r="BD10" s="145"/>
      <c r="BE10" s="146"/>
      <c r="BF10" s="145"/>
      <c r="BG10" s="145"/>
      <c r="BH10" s="145"/>
      <c r="BI10" s="145"/>
      <c r="BJ10" s="146"/>
      <c r="BK10" s="145"/>
      <c r="BL10" s="145"/>
      <c r="BM10" s="145"/>
      <c r="BN10" s="145"/>
      <c r="BO10" s="146"/>
      <c r="BP10" s="145"/>
      <c r="BQ10" s="145"/>
      <c r="BR10" s="145"/>
      <c r="BS10" s="145"/>
      <c r="BT10" s="146"/>
      <c r="BU10" s="145"/>
      <c r="BV10" s="145"/>
      <c r="BW10" s="145"/>
      <c r="BX10" s="145"/>
      <c r="BY10" s="146"/>
      <c r="BZ10" s="145"/>
      <c r="CA10" s="145"/>
      <c r="CB10" s="145"/>
      <c r="CC10" s="145"/>
      <c r="CD10" s="146"/>
      <c r="CE10" s="137"/>
    </row>
    <row r="11" spans="1:91" ht="12.75">
      <c r="A11" s="130"/>
      <c r="B11" s="131" t="s">
        <v>117</v>
      </c>
      <c r="C11" s="132"/>
      <c r="D11" s="132"/>
      <c r="E11" s="132"/>
      <c r="F11" s="132"/>
      <c r="G11" s="133"/>
      <c r="H11" s="132"/>
      <c r="I11" s="132"/>
      <c r="J11" s="132"/>
      <c r="K11" s="132"/>
      <c r="L11" s="133"/>
      <c r="M11" s="132"/>
      <c r="N11" s="132"/>
      <c r="O11" s="132"/>
      <c r="P11" s="132"/>
      <c r="Q11" s="133"/>
      <c r="R11" s="132"/>
      <c r="S11" s="132"/>
      <c r="T11" s="132"/>
      <c r="U11" s="132"/>
      <c r="V11" s="133"/>
      <c r="W11" s="132"/>
      <c r="X11" s="132"/>
      <c r="Y11" s="132"/>
      <c r="Z11" s="132"/>
      <c r="AA11" s="133"/>
      <c r="AB11" s="132"/>
      <c r="AC11" s="132"/>
      <c r="AD11" s="132"/>
      <c r="AE11" s="132"/>
      <c r="AF11" s="133"/>
      <c r="AG11" s="132"/>
      <c r="AH11" s="132"/>
      <c r="AI11" s="132"/>
      <c r="AJ11" s="132"/>
      <c r="AK11" s="134">
        <f>'Segment Detail'!AK49</f>
        <v>634</v>
      </c>
      <c r="AL11" s="135"/>
      <c r="AM11" s="135"/>
      <c r="AN11" s="135"/>
      <c r="AO11" s="135"/>
      <c r="AP11" s="134">
        <f>'Segment Detail'!AP49</f>
        <v>735</v>
      </c>
      <c r="AQ11" s="135">
        <f>'Segment Detail'!AQ49</f>
        <v>200</v>
      </c>
      <c r="AR11" s="135">
        <f>'Segment Detail'!AR49</f>
        <v>271</v>
      </c>
      <c r="AS11" s="135">
        <f>'Segment Detail'!AS49</f>
        <v>221</v>
      </c>
      <c r="AT11" s="135">
        <f>'Segment Detail'!AT49</f>
        <v>226</v>
      </c>
      <c r="AU11" s="134">
        <f>'Segment Detail'!AU49</f>
        <v>918</v>
      </c>
      <c r="AV11" s="135">
        <f>'Segment Detail'!AV49</f>
        <v>223</v>
      </c>
      <c r="AW11" s="135">
        <f>'Segment Detail'!AW49</f>
        <v>327</v>
      </c>
      <c r="AX11" s="135">
        <f>'Segment Detail'!AX49</f>
        <v>254</v>
      </c>
      <c r="AY11" s="135">
        <f>'Segment Detail'!AY49</f>
        <v>270</v>
      </c>
      <c r="AZ11" s="136">
        <f>'Segment Detail'!AZ49</f>
        <v>1031</v>
      </c>
      <c r="BA11" s="135">
        <f>'Segment Detail'!BA49</f>
        <v>284</v>
      </c>
      <c r="BB11" s="135">
        <f>'Segment Detail'!BB49</f>
        <v>303</v>
      </c>
      <c r="BC11" s="135">
        <f>'Segment Detail'!BC49</f>
        <v>330</v>
      </c>
      <c r="BD11" s="135">
        <f>'Segment Detail'!BD49</f>
        <v>340</v>
      </c>
      <c r="BE11" s="136">
        <f>'Segment Detail'!BE49</f>
        <v>1257</v>
      </c>
      <c r="BF11" s="135">
        <f>'Segment Detail'!BF49</f>
        <v>351</v>
      </c>
      <c r="BG11" s="135">
        <f>'Segment Detail'!BG49</f>
        <v>361</v>
      </c>
      <c r="BH11" s="135">
        <f>'Segment Detail'!BH49</f>
        <v>381</v>
      </c>
      <c r="BI11" s="135">
        <f>'Segment Detail'!BI49-39</f>
        <v>461</v>
      </c>
      <c r="BJ11" s="136">
        <f>'Segment Detail'!BJ49-39</f>
        <v>1554</v>
      </c>
      <c r="BK11" s="1307">
        <f>'Segment Detail'!BK49</f>
        <v>488</v>
      </c>
      <c r="BL11" s="135">
        <f>'Segment Detail'!BL49</f>
        <v>452.98510532245808</v>
      </c>
      <c r="BM11" s="135">
        <f>'Segment Detail'!BM49</f>
        <v>173.6985170902955</v>
      </c>
      <c r="BN11" s="135">
        <f>'Segment Detail'!BN49</f>
        <v>299.25267348743756</v>
      </c>
      <c r="BO11" s="136">
        <f>'Segment Detail'!BO49</f>
        <v>1413.9362959001912</v>
      </c>
      <c r="BP11" s="135">
        <f>'Segment Detail'!BP49</f>
        <v>283.39999999999992</v>
      </c>
      <c r="BQ11" s="135">
        <f>'Segment Detail'!BQ49</f>
        <v>237.25749875388826</v>
      </c>
      <c r="BR11" s="135">
        <f>'Segment Detail'!BR49</f>
        <v>204.96425016654868</v>
      </c>
      <c r="BS11" s="135">
        <f>'Segment Detail'!BS49</f>
        <v>353.11815471517633</v>
      </c>
      <c r="BT11" s="136">
        <f>'Segment Detail'!BT49</f>
        <v>1078.7399036356132</v>
      </c>
      <c r="BU11" s="135">
        <f>'Segment Detail'!BU49</f>
        <v>328.74399999999986</v>
      </c>
      <c r="BV11" s="135">
        <f>'Segment Detail'!BV49</f>
        <v>275.21869855451035</v>
      </c>
      <c r="BW11" s="135">
        <f>'Segment Detail'!BW49</f>
        <v>237.75853019319646</v>
      </c>
      <c r="BX11" s="135">
        <f>'Segment Detail'!BX49</f>
        <v>409.6170594696045</v>
      </c>
      <c r="BY11" s="136">
        <f>'Segment Detail'!BY49</f>
        <v>1251.3382882173112</v>
      </c>
      <c r="BZ11" s="135">
        <f>'Segment Detail'!BZ49</f>
        <v>378.0555999999998</v>
      </c>
      <c r="CA11" s="135">
        <f>'Segment Detail'!CA49</f>
        <v>316.50150333768687</v>
      </c>
      <c r="CB11" s="135">
        <f>'Segment Detail'!CB49</f>
        <v>273.4223097221759</v>
      </c>
      <c r="CC11" s="135">
        <f>'Segment Detail'!CC49</f>
        <v>471.05961839004516</v>
      </c>
      <c r="CD11" s="136">
        <f>'Segment Detail'!CD49</f>
        <v>1439.0390314499077</v>
      </c>
      <c r="CE11" s="137"/>
    </row>
    <row r="12" spans="1:91" ht="12.75">
      <c r="A12" s="130"/>
      <c r="B12" s="138" t="s">
        <v>21</v>
      </c>
      <c r="C12" s="139"/>
      <c r="D12" s="139"/>
      <c r="E12" s="139"/>
      <c r="F12" s="139"/>
      <c r="G12" s="140"/>
      <c r="H12" s="139"/>
      <c r="I12" s="139"/>
      <c r="J12" s="139"/>
      <c r="K12" s="139"/>
      <c r="L12" s="140"/>
      <c r="M12" s="139"/>
      <c r="N12" s="139"/>
      <c r="O12" s="139"/>
      <c r="P12" s="139"/>
      <c r="Q12" s="140"/>
      <c r="R12" s="139"/>
      <c r="S12" s="139"/>
      <c r="T12" s="139"/>
      <c r="U12" s="139"/>
      <c r="V12" s="140"/>
      <c r="W12" s="139"/>
      <c r="X12" s="139"/>
      <c r="Y12" s="139"/>
      <c r="Z12" s="139"/>
      <c r="AA12" s="140"/>
      <c r="AB12" s="139"/>
      <c r="AC12" s="139"/>
      <c r="AD12" s="139"/>
      <c r="AE12" s="139"/>
      <c r="AF12" s="140"/>
      <c r="AG12" s="139"/>
      <c r="AH12" s="139"/>
      <c r="AI12" s="139"/>
      <c r="AJ12" s="139"/>
      <c r="AK12" s="140"/>
      <c r="AL12" s="139"/>
      <c r="AM12" s="139"/>
      <c r="AN12" s="139"/>
      <c r="AO12" s="139"/>
      <c r="AP12" s="140">
        <f>IF(ISERROR((AP11/AK11-1)),"NM",(AP11/AK11-1))</f>
        <v>0.15930599369085163</v>
      </c>
      <c r="AQ12" s="139" t="str">
        <f>IF(ISERROR((AQ11/AL11-1)),"NM",(AQ11/AL11-1))</f>
        <v>NM</v>
      </c>
      <c r="AR12" s="139"/>
      <c r="AS12" s="139"/>
      <c r="AT12" s="139"/>
      <c r="AU12" s="140">
        <f>IF(ISERROR((AU11/AP11-1)),"NM",(AU11/AP11-1))</f>
        <v>0.24897959183673479</v>
      </c>
      <c r="AV12" s="139">
        <f t="shared" ref="AV12:CD12" si="1">IF(ISERROR((AV11/AQ11-1)),"NM",(AV11/AQ11-1))</f>
        <v>0.11499999999999999</v>
      </c>
      <c r="AW12" s="139">
        <f t="shared" si="1"/>
        <v>0.20664206642066429</v>
      </c>
      <c r="AX12" s="139">
        <f t="shared" si="1"/>
        <v>0.14932126696832571</v>
      </c>
      <c r="AY12" s="139">
        <f t="shared" si="1"/>
        <v>0.19469026548672574</v>
      </c>
      <c r="AZ12" s="140">
        <f t="shared" si="1"/>
        <v>0.12309368191721126</v>
      </c>
      <c r="BA12" s="139">
        <f t="shared" si="1"/>
        <v>0.27354260089686089</v>
      </c>
      <c r="BB12" s="139">
        <f t="shared" si="1"/>
        <v>-7.3394495412844041E-2</v>
      </c>
      <c r="BC12" s="139">
        <f t="shared" si="1"/>
        <v>0.29921259842519676</v>
      </c>
      <c r="BD12" s="139">
        <f t="shared" si="1"/>
        <v>0.2592592592592593</v>
      </c>
      <c r="BE12" s="140">
        <f t="shared" si="1"/>
        <v>0.21920465567410274</v>
      </c>
      <c r="BF12" s="139">
        <f t="shared" si="1"/>
        <v>0.2359154929577465</v>
      </c>
      <c r="BG12" s="139">
        <f t="shared" si="1"/>
        <v>0.19141914191419152</v>
      </c>
      <c r="BH12" s="139">
        <f t="shared" si="1"/>
        <v>0.15454545454545454</v>
      </c>
      <c r="BI12" s="139">
        <f t="shared" si="1"/>
        <v>0.35588235294117654</v>
      </c>
      <c r="BJ12" s="140">
        <f t="shared" si="1"/>
        <v>0.23627684964200468</v>
      </c>
      <c r="BK12" s="139">
        <f t="shared" si="1"/>
        <v>0.39031339031339041</v>
      </c>
      <c r="BL12" s="139">
        <f t="shared" si="1"/>
        <v>0.25480638593478688</v>
      </c>
      <c r="BM12" s="139">
        <f t="shared" si="1"/>
        <v>-0.54409838034043179</v>
      </c>
      <c r="BN12" s="139">
        <f t="shared" si="1"/>
        <v>-0.35086187963679483</v>
      </c>
      <c r="BO12" s="140">
        <f t="shared" si="1"/>
        <v>-9.0131083719310667E-2</v>
      </c>
      <c r="BP12" s="139">
        <f t="shared" si="1"/>
        <v>-0.41926229508196733</v>
      </c>
      <c r="BQ12" s="139">
        <f t="shared" si="1"/>
        <v>-0.4762355407138692</v>
      </c>
      <c r="BR12" s="139">
        <f t="shared" si="1"/>
        <v>0.17999999999999994</v>
      </c>
      <c r="BS12" s="139">
        <f t="shared" si="1"/>
        <v>0.17999999999999994</v>
      </c>
      <c r="BT12" s="140">
        <f t="shared" si="1"/>
        <v>-0.23706612047268594</v>
      </c>
      <c r="BU12" s="139">
        <f t="shared" si="1"/>
        <v>0.15999999999999992</v>
      </c>
      <c r="BV12" s="139">
        <f t="shared" si="1"/>
        <v>0.15999999999999992</v>
      </c>
      <c r="BW12" s="139">
        <f t="shared" si="1"/>
        <v>0.15999999999999992</v>
      </c>
      <c r="BX12" s="139">
        <f t="shared" si="1"/>
        <v>0.15999999999999992</v>
      </c>
      <c r="BY12" s="140">
        <f t="shared" si="1"/>
        <v>0.15999999999999992</v>
      </c>
      <c r="BZ12" s="139">
        <f t="shared" si="1"/>
        <v>0.14999999999999991</v>
      </c>
      <c r="CA12" s="139">
        <f t="shared" si="1"/>
        <v>0.14999999999999991</v>
      </c>
      <c r="CB12" s="139">
        <f t="shared" si="1"/>
        <v>0.14999999999999991</v>
      </c>
      <c r="CC12" s="139">
        <f t="shared" si="1"/>
        <v>0.14999999999999991</v>
      </c>
      <c r="CD12" s="140">
        <f t="shared" si="1"/>
        <v>0.14999999999999991</v>
      </c>
      <c r="CE12" s="137"/>
    </row>
    <row r="13" spans="1:91" ht="5.25" customHeight="1">
      <c r="A13" s="147"/>
      <c r="B13" s="148"/>
      <c r="C13" s="132"/>
      <c r="D13" s="132"/>
      <c r="E13" s="132"/>
      <c r="F13" s="132"/>
      <c r="G13" s="133"/>
      <c r="H13" s="132"/>
      <c r="I13" s="132"/>
      <c r="J13" s="132"/>
      <c r="K13" s="132"/>
      <c r="L13" s="133"/>
      <c r="M13" s="132"/>
      <c r="N13" s="132"/>
      <c r="O13" s="132"/>
      <c r="P13" s="132"/>
      <c r="Q13" s="133"/>
      <c r="R13" s="132"/>
      <c r="S13" s="132"/>
      <c r="T13" s="132"/>
      <c r="U13" s="132"/>
      <c r="V13" s="133"/>
      <c r="W13" s="132"/>
      <c r="X13" s="132"/>
      <c r="Y13" s="132"/>
      <c r="Z13" s="132"/>
      <c r="AA13" s="133"/>
      <c r="AB13" s="132"/>
      <c r="AC13" s="132"/>
      <c r="AD13" s="132"/>
      <c r="AE13" s="132"/>
      <c r="AF13" s="133"/>
      <c r="AG13" s="132"/>
      <c r="AH13" s="132"/>
      <c r="AI13" s="132"/>
      <c r="AJ13" s="132"/>
      <c r="AK13" s="134"/>
      <c r="AL13" s="135"/>
      <c r="AM13" s="135"/>
      <c r="AN13" s="135"/>
      <c r="AO13" s="135"/>
      <c r="AP13" s="134"/>
      <c r="AQ13" s="149"/>
      <c r="AR13" s="135"/>
      <c r="AS13" s="135"/>
      <c r="AT13" s="135"/>
      <c r="AU13" s="134"/>
      <c r="AV13" s="135"/>
      <c r="AW13" s="135"/>
      <c r="AX13" s="135"/>
      <c r="AY13" s="135"/>
      <c r="AZ13" s="134"/>
      <c r="BA13" s="135"/>
      <c r="BB13" s="135"/>
      <c r="BC13" s="135"/>
      <c r="BD13" s="135"/>
      <c r="BE13" s="134"/>
      <c r="BF13" s="135"/>
      <c r="BG13" s="135"/>
      <c r="BH13" s="135"/>
      <c r="BI13" s="135"/>
      <c r="BJ13" s="134"/>
      <c r="BK13" s="135"/>
      <c r="BL13" s="135"/>
      <c r="BM13" s="135"/>
      <c r="BN13" s="135"/>
      <c r="BO13" s="134"/>
      <c r="BP13" s="135"/>
      <c r="BQ13" s="135"/>
      <c r="BR13" s="135"/>
      <c r="BS13" s="135"/>
      <c r="BT13" s="134"/>
      <c r="BU13" s="135"/>
      <c r="BV13" s="135"/>
      <c r="BW13" s="135"/>
      <c r="BX13" s="135"/>
      <c r="BY13" s="134"/>
      <c r="BZ13" s="135"/>
      <c r="CA13" s="135"/>
      <c r="CB13" s="135"/>
      <c r="CC13" s="135"/>
      <c r="CD13" s="134"/>
      <c r="CE13" s="147"/>
    </row>
    <row r="14" spans="1:91" ht="13.5" customHeight="1">
      <c r="A14" s="150"/>
      <c r="B14" s="151" t="s">
        <v>20</v>
      </c>
      <c r="C14" s="152"/>
      <c r="D14" s="152"/>
      <c r="E14" s="152"/>
      <c r="F14" s="152"/>
      <c r="G14" s="153"/>
      <c r="H14" s="152"/>
      <c r="I14" s="152"/>
      <c r="J14" s="152"/>
      <c r="K14" s="152"/>
      <c r="L14" s="153"/>
      <c r="M14" s="152"/>
      <c r="N14" s="152"/>
      <c r="O14" s="152"/>
      <c r="P14" s="152"/>
      <c r="Q14" s="153"/>
      <c r="R14" s="152"/>
      <c r="S14" s="152"/>
      <c r="T14" s="152"/>
      <c r="U14" s="152"/>
      <c r="V14" s="153"/>
      <c r="W14" s="152"/>
      <c r="X14" s="152"/>
      <c r="Y14" s="152"/>
      <c r="Z14" s="152"/>
      <c r="AA14" s="153"/>
      <c r="AB14" s="152"/>
      <c r="AC14" s="152"/>
      <c r="AD14" s="152"/>
      <c r="AE14" s="152"/>
      <c r="AF14" s="153"/>
      <c r="AG14" s="152"/>
      <c r="AH14" s="152"/>
      <c r="AI14" s="152"/>
      <c r="AJ14" s="152"/>
      <c r="AK14" s="154">
        <f>IF(ISERROR(AK11+AK8),"NM",AK11+AK8)</f>
        <v>5662</v>
      </c>
      <c r="AL14" s="155">
        <f t="shared" ref="AL14:CD14" si="2">IF(ISERROR(AL11+AL8),"NM",AL11+AL8)</f>
        <v>0</v>
      </c>
      <c r="AM14" s="155">
        <f t="shared" si="2"/>
        <v>0</v>
      </c>
      <c r="AN14" s="155">
        <f t="shared" si="2"/>
        <v>0</v>
      </c>
      <c r="AO14" s="155">
        <f t="shared" si="2"/>
        <v>0</v>
      </c>
      <c r="AP14" s="154">
        <f t="shared" si="2"/>
        <v>6727</v>
      </c>
      <c r="AQ14" s="155">
        <f t="shared" si="2"/>
        <v>1871</v>
      </c>
      <c r="AR14" s="155">
        <f t="shared" si="2"/>
        <v>1981</v>
      </c>
      <c r="AS14" s="155">
        <f t="shared" si="2"/>
        <v>1971</v>
      </c>
      <c r="AT14" s="155">
        <f t="shared" si="2"/>
        <v>2189</v>
      </c>
      <c r="AU14" s="154">
        <f t="shared" si="2"/>
        <v>8012</v>
      </c>
      <c r="AV14" s="155">
        <f t="shared" si="2"/>
        <v>2134</v>
      </c>
      <c r="AW14" s="155">
        <f t="shared" si="2"/>
        <v>2293</v>
      </c>
      <c r="AX14" s="155">
        <f t="shared" si="2"/>
        <v>2258</v>
      </c>
      <c r="AY14" s="155">
        <f t="shared" si="2"/>
        <v>2556</v>
      </c>
      <c r="AZ14" s="154">
        <f t="shared" si="2"/>
        <v>9248</v>
      </c>
      <c r="BA14" s="155">
        <f t="shared" si="2"/>
        <v>2544</v>
      </c>
      <c r="BB14" s="155">
        <f>IF(ISERROR(BB11+BB8),"NM",BB11+BB8)</f>
        <v>2650</v>
      </c>
      <c r="BC14" s="155">
        <f t="shared" si="2"/>
        <v>2667</v>
      </c>
      <c r="BD14" s="155">
        <f t="shared" si="2"/>
        <v>2981</v>
      </c>
      <c r="BE14" s="154">
        <f t="shared" si="2"/>
        <v>10842</v>
      </c>
      <c r="BF14" s="155">
        <f t="shared" si="2"/>
        <v>2975</v>
      </c>
      <c r="BG14" s="155">
        <f t="shared" si="2"/>
        <v>3136</v>
      </c>
      <c r="BH14" s="155">
        <f t="shared" si="2"/>
        <v>3239</v>
      </c>
      <c r="BI14" s="155">
        <f>IF(ISERROR(BI11+BI8),"NM",BI11+BI8)</f>
        <v>3705</v>
      </c>
      <c r="BJ14" s="154">
        <f t="shared" si="2"/>
        <v>13055</v>
      </c>
      <c r="BK14" s="155">
        <f t="shared" si="2"/>
        <v>3685</v>
      </c>
      <c r="BL14" s="155">
        <f t="shared" si="2"/>
        <v>3820.8404416167077</v>
      </c>
      <c r="BM14" s="155">
        <f t="shared" si="2"/>
        <v>3661.7708801285485</v>
      </c>
      <c r="BN14" s="155">
        <f t="shared" si="2"/>
        <v>4241.5958849742692</v>
      </c>
      <c r="BO14" s="154">
        <f t="shared" si="2"/>
        <v>15409.207206719526</v>
      </c>
      <c r="BP14" s="155">
        <f t="shared" si="2"/>
        <v>4082.5428839282222</v>
      </c>
      <c r="BQ14" s="155">
        <f t="shared" si="2"/>
        <v>4244.310181081375</v>
      </c>
      <c r="BR14" s="155">
        <f t="shared" si="2"/>
        <v>4366.7529895312373</v>
      </c>
      <c r="BS14" s="155">
        <f t="shared" si="2"/>
        <v>5061.1547500369998</v>
      </c>
      <c r="BT14" s="154">
        <f t="shared" si="2"/>
        <v>17754.760804577836</v>
      </c>
      <c r="BU14" s="155">
        <f t="shared" si="2"/>
        <v>4772.8140621387929</v>
      </c>
      <c r="BV14" s="155">
        <f t="shared" si="2"/>
        <v>4979.675065106172</v>
      </c>
      <c r="BW14" s="155">
        <f t="shared" si="2"/>
        <v>5035.0188117624812</v>
      </c>
      <c r="BX14" s="155">
        <f t="shared" si="2"/>
        <v>5856.5121129326108</v>
      </c>
      <c r="BY14" s="154">
        <f t="shared" si="2"/>
        <v>20644.020051940057</v>
      </c>
      <c r="BZ14" s="155">
        <f t="shared" si="2"/>
        <v>5485.1370667287883</v>
      </c>
      <c r="CA14" s="155">
        <f t="shared" si="2"/>
        <v>5732.5495982465936</v>
      </c>
      <c r="CB14" s="155">
        <f t="shared" si="2"/>
        <v>5835.3164159402495</v>
      </c>
      <c r="CC14" s="155">
        <f t="shared" si="2"/>
        <v>6797.8188942431125</v>
      </c>
      <c r="CD14" s="154">
        <f t="shared" si="2"/>
        <v>23850.821975158746</v>
      </c>
      <c r="CE14" s="156">
        <f>(BY14/BE14)^0.25-1</f>
        <v>0.17468444336810651</v>
      </c>
    </row>
    <row r="15" spans="1:91" ht="12.75" customHeight="1">
      <c r="A15" s="157"/>
      <c r="B15" s="138" t="s">
        <v>21</v>
      </c>
      <c r="C15" s="139"/>
      <c r="D15" s="139"/>
      <c r="E15" s="139"/>
      <c r="F15" s="139"/>
      <c r="G15" s="140"/>
      <c r="H15" s="139"/>
      <c r="I15" s="139"/>
      <c r="J15" s="139"/>
      <c r="K15" s="139"/>
      <c r="L15" s="140"/>
      <c r="M15" s="139"/>
      <c r="N15" s="139"/>
      <c r="O15" s="139"/>
      <c r="P15" s="139"/>
      <c r="Q15" s="140"/>
      <c r="R15" s="139"/>
      <c r="S15" s="139"/>
      <c r="T15" s="139"/>
      <c r="U15" s="139"/>
      <c r="V15" s="140"/>
      <c r="W15" s="139"/>
      <c r="X15" s="139"/>
      <c r="Y15" s="139"/>
      <c r="Z15" s="139"/>
      <c r="AA15" s="140"/>
      <c r="AB15" s="139"/>
      <c r="AC15" s="139"/>
      <c r="AD15" s="139"/>
      <c r="AE15" s="139"/>
      <c r="AF15" s="140"/>
      <c r="AG15" s="139"/>
      <c r="AH15" s="139"/>
      <c r="AI15" s="139"/>
      <c r="AJ15" s="139"/>
      <c r="AK15" s="140"/>
      <c r="AL15" s="139"/>
      <c r="AM15" s="139"/>
      <c r="AN15" s="139"/>
      <c r="AO15" s="139"/>
      <c r="AP15" s="140">
        <f>IF(ISERROR((AP14/AK14-1)),"NM",(AP14/AK14-1))</f>
        <v>0.18809607912398452</v>
      </c>
      <c r="AQ15" s="139" t="str">
        <f>IF(ISERROR(AQ14/AL14-1), "NM", (AQ14/AL14-1))</f>
        <v>NM</v>
      </c>
      <c r="AR15" s="139" t="str">
        <f>IF(ISERROR(AR14/AM14-1), "NM", (AR14/AM14-1))</f>
        <v>NM</v>
      </c>
      <c r="AS15" s="139" t="str">
        <f>IF(ISERROR(AS14/AN14-1), "NM", (AS14/AN14-1))</f>
        <v>NM</v>
      </c>
      <c r="AT15" s="139" t="str">
        <f>IF(ISERROR(AT14/AO14-1), "NM", (AT14/AO14-1))</f>
        <v>NM</v>
      </c>
      <c r="AU15" s="158">
        <f>IF(ISERROR((AU14/AP14-1)),"NM",(AU14/AP14-1))</f>
        <v>0.19102125761855215</v>
      </c>
      <c r="AV15" s="139">
        <f t="shared" ref="AV15:CD15" si="3">IF(ISERROR(AV14/AQ14-1), "NM", (AV14/AQ14-1))</f>
        <v>0.14056654195617324</v>
      </c>
      <c r="AW15" s="139">
        <f t="shared" si="3"/>
        <v>0.15749621403331648</v>
      </c>
      <c r="AX15" s="139">
        <f t="shared" si="3"/>
        <v>0.14561136478944703</v>
      </c>
      <c r="AY15" s="139">
        <f t="shared" si="3"/>
        <v>0.16765646413887625</v>
      </c>
      <c r="AZ15" s="158">
        <f t="shared" si="3"/>
        <v>0.15426859710434337</v>
      </c>
      <c r="BA15" s="139">
        <f t="shared" si="3"/>
        <v>0.19212746016869731</v>
      </c>
      <c r="BB15" s="139">
        <f t="shared" si="3"/>
        <v>0.15569123419101616</v>
      </c>
      <c r="BC15" s="139">
        <f t="shared" si="3"/>
        <v>0.18113374667847659</v>
      </c>
      <c r="BD15" s="139">
        <f t="shared" si="3"/>
        <v>0.16627543035993742</v>
      </c>
      <c r="BE15" s="158">
        <f t="shared" si="3"/>
        <v>0.17236159169550169</v>
      </c>
      <c r="BF15" s="139">
        <f t="shared" si="3"/>
        <v>0.16941823899371067</v>
      </c>
      <c r="BG15" s="139">
        <f>IF(ISERROR(BG14/BB14-1), "NM", (BG14/BB14-1))</f>
        <v>0.18339622641509434</v>
      </c>
      <c r="BH15" s="139">
        <f t="shared" si="3"/>
        <v>0.21447319085114369</v>
      </c>
      <c r="BI15" s="139">
        <f t="shared" si="3"/>
        <v>0.24287151962428721</v>
      </c>
      <c r="BJ15" s="158">
        <f t="shared" si="3"/>
        <v>0.20411363217118605</v>
      </c>
      <c r="BK15" s="139">
        <f t="shared" si="3"/>
        <v>0.23865546218487399</v>
      </c>
      <c r="BL15" s="139">
        <f t="shared" si="3"/>
        <v>0.2183802428624706</v>
      </c>
      <c r="BM15" s="139">
        <f t="shared" si="3"/>
        <v>0.13052512507827996</v>
      </c>
      <c r="BN15" s="139">
        <f t="shared" si="3"/>
        <v>0.14483019837362199</v>
      </c>
      <c r="BO15" s="158">
        <f t="shared" si="3"/>
        <v>0.18032992774565493</v>
      </c>
      <c r="BP15" s="139">
        <f t="shared" si="3"/>
        <v>0.10788137962774003</v>
      </c>
      <c r="BQ15" s="139">
        <f t="shared" si="3"/>
        <v>0.11083156858690635</v>
      </c>
      <c r="BR15" s="139">
        <f t="shared" si="3"/>
        <v>0.19252491007245665</v>
      </c>
      <c r="BS15" s="139">
        <f t="shared" si="3"/>
        <v>0.19321945967695653</v>
      </c>
      <c r="BT15" s="158">
        <f t="shared" si="3"/>
        <v>0.15221766872181974</v>
      </c>
      <c r="BU15" s="139">
        <f t="shared" si="3"/>
        <v>0.16907873299456733</v>
      </c>
      <c r="BV15" s="139">
        <f t="shared" si="3"/>
        <v>0.17325898736209688</v>
      </c>
      <c r="BW15" s="139">
        <f t="shared" si="3"/>
        <v>0.1530349492708496</v>
      </c>
      <c r="BX15" s="139">
        <f t="shared" si="3"/>
        <v>0.15714938629169484</v>
      </c>
      <c r="BY15" s="158">
        <f t="shared" si="3"/>
        <v>0.16273152193733087</v>
      </c>
      <c r="BZ15" s="139">
        <f t="shared" si="3"/>
        <v>0.14924591557853173</v>
      </c>
      <c r="CA15" s="139">
        <f t="shared" si="3"/>
        <v>0.15118948993600045</v>
      </c>
      <c r="CB15" s="139">
        <f t="shared" si="3"/>
        <v>0.15894629873242283</v>
      </c>
      <c r="CC15" s="139">
        <f t="shared" si="3"/>
        <v>0.16072822238886286</v>
      </c>
      <c r="CD15" s="158">
        <f t="shared" si="3"/>
        <v>0.15533805504695408</v>
      </c>
      <c r="CE15" s="159"/>
      <c r="CL15" s="160"/>
      <c r="CM15" s="160"/>
    </row>
    <row r="16" spans="1:91" ht="12.75" customHeight="1">
      <c r="A16" s="157"/>
      <c r="B16" s="138" t="s">
        <v>118</v>
      </c>
      <c r="C16" s="139"/>
      <c r="D16" s="139"/>
      <c r="E16" s="139"/>
      <c r="F16" s="139"/>
      <c r="G16" s="140"/>
      <c r="H16" s="139"/>
      <c r="I16" s="139"/>
      <c r="J16" s="139"/>
      <c r="K16" s="139"/>
      <c r="L16" s="140"/>
      <c r="M16" s="139"/>
      <c r="N16" s="139"/>
      <c r="O16" s="139"/>
      <c r="P16" s="139"/>
      <c r="Q16" s="140"/>
      <c r="R16" s="139"/>
      <c r="S16" s="139"/>
      <c r="T16" s="139"/>
      <c r="U16" s="139"/>
      <c r="V16" s="140"/>
      <c r="W16" s="139"/>
      <c r="X16" s="139"/>
      <c r="Y16" s="139"/>
      <c r="Z16" s="139"/>
      <c r="AA16" s="140"/>
      <c r="AB16" s="139"/>
      <c r="AC16" s="139"/>
      <c r="AD16" s="139"/>
      <c r="AE16" s="139"/>
      <c r="AF16" s="140"/>
      <c r="AG16" s="139"/>
      <c r="AH16" s="139"/>
      <c r="AI16" s="139"/>
      <c r="AJ16" s="139"/>
      <c r="AK16" s="140"/>
      <c r="AL16" s="139"/>
      <c r="AM16" s="139"/>
      <c r="AN16" s="139"/>
      <c r="AO16" s="139"/>
      <c r="AP16" s="140"/>
      <c r="AQ16" s="139"/>
      <c r="AR16" s="139"/>
      <c r="AS16" s="139"/>
      <c r="AT16" s="139"/>
      <c r="AU16" s="161"/>
      <c r="AV16" s="162">
        <v>0.17</v>
      </c>
      <c r="AW16" s="162">
        <v>0.19</v>
      </c>
      <c r="AX16" s="162">
        <v>0.19</v>
      </c>
      <c r="AY16" s="162">
        <v>0.21</v>
      </c>
      <c r="AZ16" s="161">
        <v>0.19</v>
      </c>
      <c r="BA16" s="162">
        <v>0.23</v>
      </c>
      <c r="BB16" s="162">
        <v>0.19</v>
      </c>
      <c r="BC16" s="162">
        <v>0.21</v>
      </c>
      <c r="BD16" s="162">
        <v>0.19</v>
      </c>
      <c r="BE16" s="158"/>
      <c r="BF16" s="162">
        <v>0.19</v>
      </c>
      <c r="BG16" s="162">
        <v>0.2</v>
      </c>
      <c r="BH16" s="162">
        <v>0.22</v>
      </c>
      <c r="BI16" s="162"/>
      <c r="BJ16" s="158"/>
      <c r="BK16" s="162">
        <v>0.22</v>
      </c>
      <c r="BL16" s="139"/>
      <c r="BM16" s="139"/>
      <c r="BN16" s="139"/>
      <c r="BO16" s="158"/>
      <c r="BP16" s="139"/>
      <c r="BQ16" s="139"/>
      <c r="BR16" s="139"/>
      <c r="BS16" s="139"/>
      <c r="BT16" s="158"/>
      <c r="BU16" s="139"/>
      <c r="BV16" s="139"/>
      <c r="BW16" s="139"/>
      <c r="BX16" s="139"/>
      <c r="BY16" s="158"/>
      <c r="BZ16" s="139"/>
      <c r="CA16" s="139"/>
      <c r="CB16" s="139"/>
      <c r="CC16" s="139"/>
      <c r="CD16" s="158"/>
      <c r="CE16" s="159"/>
      <c r="CL16" s="160"/>
      <c r="CM16" s="160"/>
    </row>
    <row r="17" spans="1:92" ht="12.75" customHeight="1">
      <c r="A17" s="157"/>
      <c r="B17" s="163"/>
      <c r="C17" s="139"/>
      <c r="D17" s="139"/>
      <c r="E17" s="139"/>
      <c r="F17" s="139"/>
      <c r="G17" s="164"/>
      <c r="H17" s="139"/>
      <c r="I17" s="139"/>
      <c r="J17" s="139"/>
      <c r="K17" s="139"/>
      <c r="L17" s="164"/>
      <c r="M17" s="139"/>
      <c r="N17" s="139"/>
      <c r="O17" s="139"/>
      <c r="P17" s="139"/>
      <c r="Q17" s="164"/>
      <c r="R17" s="139"/>
      <c r="S17" s="139"/>
      <c r="T17" s="139"/>
      <c r="U17" s="139"/>
      <c r="V17" s="164"/>
      <c r="W17" s="139"/>
      <c r="X17" s="139"/>
      <c r="Y17" s="139"/>
      <c r="Z17" s="139"/>
      <c r="AA17" s="164"/>
      <c r="AB17" s="139"/>
      <c r="AC17" s="139"/>
      <c r="AD17" s="139"/>
      <c r="AE17" s="139"/>
      <c r="AF17" s="164"/>
      <c r="AG17" s="139"/>
      <c r="AH17" s="139"/>
      <c r="AI17" s="139"/>
      <c r="AJ17" s="139"/>
      <c r="AK17" s="164"/>
      <c r="AL17" s="139"/>
      <c r="AM17" s="139"/>
      <c r="AN17" s="139"/>
      <c r="AO17" s="139"/>
      <c r="AP17" s="164"/>
      <c r="AQ17" s="139"/>
      <c r="AR17" s="139"/>
      <c r="AS17" s="139"/>
      <c r="AT17" s="139"/>
      <c r="AU17" s="165"/>
      <c r="AV17" s="139"/>
      <c r="AW17" s="139"/>
      <c r="AX17" s="139"/>
      <c r="AY17" s="139"/>
      <c r="AZ17" s="165"/>
      <c r="BA17" s="139"/>
      <c r="BB17" s="139"/>
      <c r="BC17" s="139"/>
      <c r="BD17" s="139"/>
      <c r="BE17" s="165"/>
      <c r="BF17" s="139"/>
      <c r="BG17" s="139"/>
      <c r="BH17" s="139"/>
      <c r="BI17" s="139"/>
      <c r="BJ17" s="165"/>
      <c r="BK17" s="139"/>
      <c r="BL17" s="139"/>
      <c r="BM17" s="139"/>
      <c r="BN17" s="139"/>
      <c r="BO17" s="165"/>
      <c r="BP17" s="139"/>
      <c r="BQ17" s="139"/>
      <c r="BR17" s="139"/>
      <c r="BS17" s="139"/>
      <c r="BT17" s="165"/>
      <c r="BU17" s="139"/>
      <c r="BV17" s="139"/>
      <c r="BW17" s="139"/>
      <c r="BX17" s="139"/>
      <c r="BY17" s="165"/>
      <c r="BZ17" s="139"/>
      <c r="CA17" s="139"/>
      <c r="CB17" s="139"/>
      <c r="CC17" s="139"/>
      <c r="CD17" s="165"/>
      <c r="CE17" s="166"/>
    </row>
    <row r="18" spans="1:92" ht="12.75">
      <c r="A18" s="130"/>
      <c r="B18" s="131" t="s">
        <v>119</v>
      </c>
      <c r="C18" s="167"/>
      <c r="D18" s="167"/>
      <c r="E18" s="167"/>
      <c r="F18" s="167"/>
      <c r="G18" s="168"/>
      <c r="H18" s="167"/>
      <c r="I18" s="167"/>
      <c r="J18" s="167"/>
      <c r="K18" s="167"/>
      <c r="L18" s="168"/>
      <c r="M18" s="167"/>
      <c r="N18" s="167"/>
      <c r="O18" s="167"/>
      <c r="P18" s="167"/>
      <c r="Q18" s="168"/>
      <c r="R18" s="167"/>
      <c r="S18" s="167"/>
      <c r="T18" s="167"/>
      <c r="U18" s="167"/>
      <c r="V18" s="168"/>
      <c r="W18" s="167"/>
      <c r="X18" s="167"/>
      <c r="Y18" s="167"/>
      <c r="Z18" s="167"/>
      <c r="AA18" s="168"/>
      <c r="AB18" s="167"/>
      <c r="AC18" s="167"/>
      <c r="AD18" s="167"/>
      <c r="AE18" s="167"/>
      <c r="AF18" s="168"/>
      <c r="AG18" s="167"/>
      <c r="AH18" s="167"/>
      <c r="AI18" s="167"/>
      <c r="AJ18" s="167"/>
      <c r="AK18" s="169">
        <v>1518</v>
      </c>
      <c r="AL18" s="170"/>
      <c r="AM18" s="170"/>
      <c r="AN18" s="170"/>
      <c r="AO18" s="170"/>
      <c r="AP18" s="169">
        <v>1835</v>
      </c>
      <c r="AQ18" s="170">
        <v>514</v>
      </c>
      <c r="AR18" s="170">
        <v>525</v>
      </c>
      <c r="AS18" s="170">
        <v>537</v>
      </c>
      <c r="AT18" s="170">
        <v>594</v>
      </c>
      <c r="AU18" s="171">
        <f>SUM(AQ18:AT18)</f>
        <v>2170</v>
      </c>
      <c r="AV18" s="170">
        <v>575</v>
      </c>
      <c r="AW18" s="170">
        <v>634</v>
      </c>
      <c r="AX18" s="170">
        <v>651</v>
      </c>
      <c r="AY18" s="170">
        <v>750</v>
      </c>
      <c r="AZ18" s="171">
        <f>SUM(AV18:AY18)</f>
        <v>2610</v>
      </c>
      <c r="BA18" s="170">
        <v>752</v>
      </c>
      <c r="BB18" s="170">
        <v>810</v>
      </c>
      <c r="BC18" s="170">
        <v>830</v>
      </c>
      <c r="BD18" s="170">
        <v>954</v>
      </c>
      <c r="BE18" s="171">
        <f>SUM(BA18:BD18)</f>
        <v>3346</v>
      </c>
      <c r="BF18" s="170">
        <v>987</v>
      </c>
      <c r="BG18" s="170">
        <v>1064</v>
      </c>
      <c r="BH18" s="170">
        <v>1102</v>
      </c>
      <c r="BI18" s="170">
        <v>1266</v>
      </c>
      <c r="BJ18" s="171">
        <f>SUM(BF18:BI18)</f>
        <v>4419</v>
      </c>
      <c r="BK18" s="170">
        <v>1275</v>
      </c>
      <c r="BL18" s="118">
        <f>BL20*'Segment Detail'!BL6</f>
        <v>1363.6012374129627</v>
      </c>
      <c r="BM18" s="118">
        <f>BM20*'Segment Detail'!BM6</f>
        <v>1430.3215423253496</v>
      </c>
      <c r="BN18" s="118">
        <f>BN20*'Segment Detail'!BN6</f>
        <v>1634.1717241994377</v>
      </c>
      <c r="BO18" s="171">
        <f>SUM(BK18:BN18)</f>
        <v>5703.0945039377502</v>
      </c>
      <c r="BP18" s="118">
        <f>BP20*'Segment Detail'!BP6</f>
        <v>1588.3017165532783</v>
      </c>
      <c r="BQ18" s="118">
        <f>BQ20*'Segment Detail'!BQ6</f>
        <v>1691.7632518337628</v>
      </c>
      <c r="BR18" s="118">
        <f>BR20*'Segment Detail'!BR6</f>
        <v>1774.4938163923573</v>
      </c>
      <c r="BS18" s="118">
        <f>BS20*'Segment Detail'!BS6</f>
        <v>2027.3427141802129</v>
      </c>
      <c r="BT18" s="171">
        <f>SUM(BP18:BS18)</f>
        <v>7081.9014989596117</v>
      </c>
      <c r="BU18" s="118">
        <f>BU20*'Segment Detail'!BU6</f>
        <v>1926.4329815059541</v>
      </c>
      <c r="BV18" s="118">
        <f>BV20*'Segment Detail'!BV6</f>
        <v>2052.9003328241656</v>
      </c>
      <c r="BW18" s="118">
        <f>BW20*'Segment Detail'!BW6</f>
        <v>2118.4087153426167</v>
      </c>
      <c r="BX18" s="118">
        <f>BX20*'Segment Detail'!BX6</f>
        <v>2421.4054517310888</v>
      </c>
      <c r="BY18" s="171">
        <f>SUM(BU18:BX18)</f>
        <v>8519.1474814038247</v>
      </c>
      <c r="BZ18" s="118">
        <f>BZ20*'Segment Detail'!BZ6</f>
        <v>2281.2991350147245</v>
      </c>
      <c r="CA18" s="118">
        <f>CA20*'Segment Detail'!CA6</f>
        <v>2430.9746081275512</v>
      </c>
      <c r="CB18" s="118">
        <f>CB20*'Segment Detail'!CB6</f>
        <v>2508.4568411660684</v>
      </c>
      <c r="CC18" s="118">
        <f>CC20*'Segment Detail'!CC6</f>
        <v>2867.1394058535457</v>
      </c>
      <c r="CD18" s="171">
        <f>SUM(BZ18:CC18)</f>
        <v>10087.869990161889</v>
      </c>
      <c r="CE18" s="137"/>
    </row>
    <row r="19" spans="1:92" ht="12.75" customHeight="1">
      <c r="A19" s="172"/>
      <c r="B19" s="138" t="s">
        <v>21</v>
      </c>
      <c r="C19" s="139"/>
      <c r="D19" s="139"/>
      <c r="E19" s="139"/>
      <c r="F19" s="139"/>
      <c r="G19" s="140"/>
      <c r="H19" s="139"/>
      <c r="I19" s="139"/>
      <c r="J19" s="139"/>
      <c r="K19" s="139"/>
      <c r="L19" s="140"/>
      <c r="M19" s="139"/>
      <c r="N19" s="139"/>
      <c r="O19" s="139"/>
      <c r="P19" s="139"/>
      <c r="Q19" s="140"/>
      <c r="R19" s="139"/>
      <c r="S19" s="139"/>
      <c r="T19" s="139"/>
      <c r="U19" s="139"/>
      <c r="V19" s="140"/>
      <c r="W19" s="139"/>
      <c r="X19" s="139"/>
      <c r="Y19" s="139"/>
      <c r="Z19" s="139"/>
      <c r="AA19" s="140"/>
      <c r="AB19" s="139"/>
      <c r="AC19" s="139"/>
      <c r="AD19" s="139"/>
      <c r="AE19" s="139"/>
      <c r="AF19" s="140"/>
      <c r="AG19" s="139"/>
      <c r="AH19" s="139"/>
      <c r="AI19" s="139"/>
      <c r="AJ19" s="139"/>
      <c r="AK19" s="140"/>
      <c r="AL19" s="139"/>
      <c r="AM19" s="139"/>
      <c r="AN19" s="139"/>
      <c r="AO19" s="139"/>
      <c r="AP19" s="140">
        <f t="shared" ref="AP19:AU19" si="4">IF(ISERROR((AP18/AK18-1)),"NM",(AP18/AK18-1))</f>
        <v>0.20882740447957837</v>
      </c>
      <c r="AQ19" s="139" t="str">
        <f t="shared" si="4"/>
        <v>NM</v>
      </c>
      <c r="AR19" s="139" t="str">
        <f t="shared" si="4"/>
        <v>NM</v>
      </c>
      <c r="AS19" s="139" t="str">
        <f t="shared" si="4"/>
        <v>NM</v>
      </c>
      <c r="AT19" s="139" t="str">
        <f t="shared" si="4"/>
        <v>NM</v>
      </c>
      <c r="AU19" s="140">
        <f t="shared" si="4"/>
        <v>0.18256130790190728</v>
      </c>
      <c r="AV19" s="139">
        <f t="shared" ref="AV19:CD19" si="5">IF(ISERROR(AV18/AQ18-1), "NM", (AV18/AQ18-1))</f>
        <v>0.11867704280155644</v>
      </c>
      <c r="AW19" s="139">
        <f t="shared" si="5"/>
        <v>0.20761904761904759</v>
      </c>
      <c r="AX19" s="139">
        <f t="shared" si="5"/>
        <v>0.2122905027932962</v>
      </c>
      <c r="AY19" s="139">
        <f t="shared" si="5"/>
        <v>0.26262626262626254</v>
      </c>
      <c r="AZ19" s="140">
        <f t="shared" si="5"/>
        <v>0.20276497695852536</v>
      </c>
      <c r="BA19" s="139">
        <f t="shared" si="5"/>
        <v>0.30782608695652169</v>
      </c>
      <c r="BB19" s="139">
        <f t="shared" si="5"/>
        <v>0.27760252365930604</v>
      </c>
      <c r="BC19" s="139">
        <f t="shared" si="5"/>
        <v>0.27496159754224281</v>
      </c>
      <c r="BD19" s="139">
        <f t="shared" si="5"/>
        <v>0.27200000000000002</v>
      </c>
      <c r="BE19" s="140">
        <f t="shared" si="5"/>
        <v>0.28199233716475103</v>
      </c>
      <c r="BF19" s="139">
        <f t="shared" si="5"/>
        <v>0.3125</v>
      </c>
      <c r="BG19" s="139">
        <f t="shared" si="5"/>
        <v>0.31358024691358022</v>
      </c>
      <c r="BH19" s="139">
        <f t="shared" si="5"/>
        <v>0.32771084337349388</v>
      </c>
      <c r="BI19" s="139">
        <f t="shared" si="5"/>
        <v>0.32704402515723263</v>
      </c>
      <c r="BJ19" s="140">
        <f t="shared" si="5"/>
        <v>0.32068141063956968</v>
      </c>
      <c r="BK19" s="139">
        <f t="shared" si="5"/>
        <v>0.29179331306990886</v>
      </c>
      <c r="BL19" s="173">
        <f t="shared" si="5"/>
        <v>0.28158011035052888</v>
      </c>
      <c r="BM19" s="173">
        <f t="shared" si="5"/>
        <v>0.29793243405204128</v>
      </c>
      <c r="BN19" s="173">
        <f t="shared" si="5"/>
        <v>0.29081494802483232</v>
      </c>
      <c r="BO19" s="140">
        <f t="shared" si="5"/>
        <v>0.29058486171933695</v>
      </c>
      <c r="BP19" s="173">
        <f t="shared" si="5"/>
        <v>0.24572683651237504</v>
      </c>
      <c r="BQ19" s="173">
        <f t="shared" si="5"/>
        <v>0.24065834308231637</v>
      </c>
      <c r="BR19" s="173">
        <f t="shared" si="5"/>
        <v>0.24062580607397455</v>
      </c>
      <c r="BS19" s="173">
        <f t="shared" si="5"/>
        <v>0.24059343590306281</v>
      </c>
      <c r="BT19" s="140">
        <f t="shared" si="5"/>
        <v>0.24176471108270303</v>
      </c>
      <c r="BU19" s="173">
        <f t="shared" si="5"/>
        <v>0.2128885597923067</v>
      </c>
      <c r="BV19" s="173">
        <f t="shared" si="5"/>
        <v>0.2134678599969313</v>
      </c>
      <c r="BW19" s="173">
        <f t="shared" si="5"/>
        <v>0.19381014223507242</v>
      </c>
      <c r="BX19" s="173">
        <f t="shared" si="5"/>
        <v>0.19437401224499995</v>
      </c>
      <c r="BY19" s="140">
        <f t="shared" si="5"/>
        <v>0.20294633901013115</v>
      </c>
      <c r="BZ19" s="173">
        <f t="shared" si="5"/>
        <v>0.18420892754408724</v>
      </c>
      <c r="CA19" s="173">
        <f t="shared" si="5"/>
        <v>0.18416591846096608</v>
      </c>
      <c r="CB19" s="173">
        <f t="shared" si="5"/>
        <v>0.18412316896098502</v>
      </c>
      <c r="CC19" s="173">
        <f t="shared" si="5"/>
        <v>0.18408067670112693</v>
      </c>
      <c r="CD19" s="140">
        <f t="shared" si="5"/>
        <v>0.18414078546971746</v>
      </c>
      <c r="CE19" s="174"/>
      <c r="CL19" s="160"/>
      <c r="CM19" s="160"/>
    </row>
    <row r="20" spans="1:92" ht="12.75" customHeight="1">
      <c r="A20" s="157"/>
      <c r="B20" s="138" t="s">
        <v>120</v>
      </c>
      <c r="C20" s="142"/>
      <c r="D20" s="142"/>
      <c r="E20" s="142"/>
      <c r="F20" s="175"/>
      <c r="G20" s="176"/>
      <c r="H20" s="142"/>
      <c r="I20" s="142"/>
      <c r="J20" s="142"/>
      <c r="K20" s="175"/>
      <c r="L20" s="176"/>
      <c r="M20" s="142"/>
      <c r="N20" s="142"/>
      <c r="O20" s="142"/>
      <c r="P20" s="175"/>
      <c r="Q20" s="176"/>
      <c r="R20" s="142"/>
      <c r="S20" s="142"/>
      <c r="T20" s="142"/>
      <c r="U20" s="175"/>
      <c r="V20" s="176"/>
      <c r="W20" s="142"/>
      <c r="X20" s="142"/>
      <c r="Y20" s="142"/>
      <c r="Z20" s="175"/>
      <c r="AA20" s="176"/>
      <c r="AB20" s="142"/>
      <c r="AC20" s="142"/>
      <c r="AD20" s="142"/>
      <c r="AE20" s="175"/>
      <c r="AF20" s="176"/>
      <c r="AG20" s="142"/>
      <c r="AH20" s="142"/>
      <c r="AI20" s="142"/>
      <c r="AJ20" s="175"/>
      <c r="AK20" s="176">
        <f>AK18/'Segment Detail'!AK$6</f>
        <v>1.0115549158370317E-2</v>
      </c>
      <c r="AL20" s="145"/>
      <c r="AM20" s="145"/>
      <c r="AN20" s="145"/>
      <c r="AO20" s="175"/>
      <c r="AP20" s="176">
        <f>AP18/'Segment Detail'!AP$6</f>
        <v>9.8865338405008454E-3</v>
      </c>
      <c r="AQ20" s="177">
        <f>AQ18/'Segment Detail'!AQ$6</f>
        <v>9.5759743647067588E-3</v>
      </c>
      <c r="AR20" s="178">
        <f>AR18/'Segment Detail'!AR$6</f>
        <v>9.2533840947546537E-3</v>
      </c>
      <c r="AS20" s="178">
        <f>AS18/'Segment Detail'!AS$6</f>
        <v>9.2293413996975115E-3</v>
      </c>
      <c r="AT20" s="178">
        <f>AT18/'Segment Detail'!AT$6</f>
        <v>8.9946849588879302E-3</v>
      </c>
      <c r="AU20" s="176">
        <f>AU18/'Segment Detail'!AU$6</f>
        <v>9.2484071003899673E-3</v>
      </c>
      <c r="AV20" s="177">
        <f>AV18/'Segment Detail'!AV$6</f>
        <v>9.1239428127132226E-3</v>
      </c>
      <c r="AW20" s="179">
        <f>AW18/'Segment Detail'!AW$6</f>
        <v>9.395097952046471E-3</v>
      </c>
      <c r="AX20" s="179">
        <f>AX18/'Segment Detail'!AX$6</f>
        <v>9.1282583395263395E-3</v>
      </c>
      <c r="AY20" s="179">
        <f>AY18/'Segment Detail'!AY$6</f>
        <v>9.025053548651055E-3</v>
      </c>
      <c r="AZ20" s="176">
        <f>AZ18/'Segment Detail'!AZ6</f>
        <v>9.0613044112235197E-3</v>
      </c>
      <c r="BA20" s="179">
        <f>BA18/'Segment Detail'!BA$6</f>
        <v>9.1086374592715506E-3</v>
      </c>
      <c r="BB20" s="179">
        <f>BB18/'Segment Detail'!BB$6</f>
        <v>9.2294019119674581E-3</v>
      </c>
      <c r="BC20" s="179">
        <f>BC18/'Segment Detail'!BC$6</f>
        <v>9.3368580910062442E-3</v>
      </c>
      <c r="BD20" s="179">
        <f>BD18/'Segment Detail'!BD$6</f>
        <v>9.4726494623228845E-3</v>
      </c>
      <c r="BE20" s="176">
        <f>BE18/'Segment Detail'!BE6</f>
        <v>9.2963037051854817E-3</v>
      </c>
      <c r="BF20" s="179">
        <f>BF18/'Segment Detail'!BF$6</f>
        <v>9.8073311539264105E-3</v>
      </c>
      <c r="BG20" s="179">
        <f>BG18/'Segment Detail'!BG$6</f>
        <v>9.870129870129871E-3</v>
      </c>
      <c r="BH20" s="179">
        <f>BH18/'Segment Detail'!BH$6</f>
        <v>9.5639797264458794E-3</v>
      </c>
      <c r="BI20" s="179">
        <f>BI18/'Segment Detail'!BI$6</f>
        <v>9.5536354374976418E-3</v>
      </c>
      <c r="BJ20" s="176">
        <f>BJ18/'Segment Detail'!BJ6</f>
        <v>9.6870081415587773E-3</v>
      </c>
      <c r="BK20" s="179">
        <f>BK18/'Segment Detail'!BK$6</f>
        <v>9.63252848206461E-3</v>
      </c>
      <c r="BL20" s="180">
        <f>CHOOSE(_Switch,BL21,BL22,BL23)</f>
        <v>9.7011116859009958E-3</v>
      </c>
      <c r="BM20" s="180">
        <f>CHOOSE(_Switch,BM21,BM22,BM23)</f>
        <v>9.7261116859009965E-3</v>
      </c>
      <c r="BN20" s="180">
        <f>CHOOSE(_Switch,BN21,BN22,BN23)</f>
        <v>9.7511116859009973E-3</v>
      </c>
      <c r="BO20" s="176">
        <f>BO18/'Segment Detail'!BO6</f>
        <v>9.7061799265027778E-3</v>
      </c>
      <c r="BP20" s="180">
        <f>CHOOSE(_Switch,BP21,BP22,BP23)</f>
        <v>9.776111685900998E-3</v>
      </c>
      <c r="BQ20" s="180">
        <f>CHOOSE(_Switch,BQ21,BQ22,BQ23)</f>
        <v>9.8011116859009987E-3</v>
      </c>
      <c r="BR20" s="180">
        <f>CHOOSE(_Switch,BR21,BR22,BR23)</f>
        <v>9.8261116859009994E-3</v>
      </c>
      <c r="BS20" s="180">
        <f>CHOOSE(_Switch,BS21,BS22,BS23)</f>
        <v>9.8511116859010001E-3</v>
      </c>
      <c r="BT20" s="176">
        <f>BT18/'Segment Detail'!BT6</f>
        <v>9.8160021781789949E-3</v>
      </c>
      <c r="BU20" s="180">
        <f>CHOOSE(_Switch,BU21,BU22,BU23)</f>
        <v>9.8811116859010006E-3</v>
      </c>
      <c r="BV20" s="180">
        <f>CHOOSE(_Switch,BV21,BV22,BV23)</f>
        <v>9.9111116859010012E-3</v>
      </c>
      <c r="BW20" s="180">
        <f>CHOOSE(_Switch,BW21,BW22,BW23)</f>
        <v>9.9411116859010017E-3</v>
      </c>
      <c r="BX20" s="180">
        <f>CHOOSE(_Switch,BX21,BX22,BX23)</f>
        <v>9.9711116859010022E-3</v>
      </c>
      <c r="BY20" s="176">
        <f>BY18/'Segment Detail'!BY6</f>
        <v>9.9287271064729798E-3</v>
      </c>
      <c r="BZ20" s="180">
        <f>CHOOSE(_Switch,BZ21,BZ22,BZ23)</f>
        <v>1.0001111685901003E-2</v>
      </c>
      <c r="CA20" s="180">
        <f>CHOOSE(_Switch,CA21,CA22,CA23)</f>
        <v>1.0031111685901003E-2</v>
      </c>
      <c r="CB20" s="180">
        <f>CHOOSE(_Switch,CB21,CB22,CB23)</f>
        <v>1.0061111685901004E-2</v>
      </c>
      <c r="CC20" s="180">
        <f>CHOOSE(_Switch,CC21,CC22,CC23)</f>
        <v>1.0091111685901004E-2</v>
      </c>
      <c r="CD20" s="176">
        <f>CD18/'Segment Detail'!CD6</f>
        <v>1.004872710647298E-2</v>
      </c>
      <c r="CE20" s="159"/>
    </row>
    <row r="21" spans="1:92" ht="12.75" customHeight="1" outlineLevel="1">
      <c r="A21" s="157"/>
      <c r="B21" s="181" t="s">
        <v>121</v>
      </c>
      <c r="C21" s="142"/>
      <c r="D21" s="142"/>
      <c r="E21" s="142"/>
      <c r="F21" s="175"/>
      <c r="G21" s="143"/>
      <c r="H21" s="142"/>
      <c r="I21" s="142"/>
      <c r="J21" s="142"/>
      <c r="K21" s="175"/>
      <c r="L21" s="143"/>
      <c r="M21" s="142"/>
      <c r="N21" s="142"/>
      <c r="O21" s="142"/>
      <c r="P21" s="175"/>
      <c r="Q21" s="143"/>
      <c r="R21" s="142"/>
      <c r="S21" s="142"/>
      <c r="T21" s="142"/>
      <c r="U21" s="175"/>
      <c r="V21" s="143"/>
      <c r="W21" s="142"/>
      <c r="X21" s="142"/>
      <c r="Y21" s="142"/>
      <c r="Z21" s="175"/>
      <c r="AA21" s="143"/>
      <c r="AB21" s="142"/>
      <c r="AC21" s="142"/>
      <c r="AD21" s="142"/>
      <c r="AE21" s="175"/>
      <c r="AF21" s="143"/>
      <c r="AG21" s="142"/>
      <c r="AH21" s="142"/>
      <c r="AI21" s="142"/>
      <c r="AJ21" s="175"/>
      <c r="AK21" s="144"/>
      <c r="AL21" s="145"/>
      <c r="AM21" s="145"/>
      <c r="AN21" s="145"/>
      <c r="AO21" s="175"/>
      <c r="AP21" s="144"/>
      <c r="AQ21" s="175"/>
      <c r="AR21" s="175"/>
      <c r="AS21" s="175"/>
      <c r="AT21" s="175"/>
      <c r="AU21" s="182"/>
      <c r="AV21" s="175"/>
      <c r="AW21" s="175"/>
      <c r="AX21" s="175"/>
      <c r="AY21" s="175"/>
      <c r="AZ21" s="182"/>
      <c r="BA21" s="175"/>
      <c r="BB21" s="175"/>
      <c r="BC21" s="175"/>
      <c r="BD21" s="175"/>
      <c r="BE21" s="182"/>
      <c r="BF21" s="175"/>
      <c r="BG21" s="175"/>
      <c r="BH21" s="175"/>
      <c r="BI21" s="175"/>
      <c r="BJ21" s="182"/>
      <c r="BK21" s="175"/>
      <c r="BL21" s="183">
        <f>+BL22-0.0001</f>
        <v>9.6011116859009964E-3</v>
      </c>
      <c r="BM21" s="183">
        <f>+BM22-0.0001</f>
        <v>9.6261116859009972E-3</v>
      </c>
      <c r="BN21" s="183">
        <f>+BN22-0.0001</f>
        <v>9.6511116859009979E-3</v>
      </c>
      <c r="BO21" s="182"/>
      <c r="BP21" s="183">
        <f>+BP22-0.0001</f>
        <v>9.6761116859009986E-3</v>
      </c>
      <c r="BQ21" s="183">
        <f>+BQ22-0.0001</f>
        <v>9.7011116859009993E-3</v>
      </c>
      <c r="BR21" s="183">
        <f>+BR22-0.0001</f>
        <v>9.726111685901E-3</v>
      </c>
      <c r="BS21" s="183">
        <f>+BS22-0.0001</f>
        <v>9.7511116859010007E-3</v>
      </c>
      <c r="BT21" s="182"/>
      <c r="BU21" s="183">
        <f>+BU22-0.0001</f>
        <v>9.7811116859010012E-3</v>
      </c>
      <c r="BV21" s="183">
        <f>+BV22-0.0001</f>
        <v>9.8111116859010018E-3</v>
      </c>
      <c r="BW21" s="183">
        <f>+BW22-0.0001</f>
        <v>9.8411116859010023E-3</v>
      </c>
      <c r="BX21" s="183">
        <f>+BX22-0.0001</f>
        <v>9.8711116859010028E-3</v>
      </c>
      <c r="BY21" s="182"/>
      <c r="BZ21" s="183">
        <f>+BZ22-0.0001</f>
        <v>9.9011116859010033E-3</v>
      </c>
      <c r="CA21" s="183">
        <f>+CA22-0.0001</f>
        <v>9.9311116859010038E-3</v>
      </c>
      <c r="CB21" s="183">
        <f>+CB22-0.0001</f>
        <v>9.9611116859010043E-3</v>
      </c>
      <c r="CC21" s="183">
        <f>+CC22-0.0001</f>
        <v>9.9911116859010048E-3</v>
      </c>
      <c r="CD21" s="182"/>
      <c r="CE21" s="159"/>
    </row>
    <row r="22" spans="1:92" ht="12.75" customHeight="1" outlineLevel="1">
      <c r="A22" s="157"/>
      <c r="B22" s="181" t="s">
        <v>122</v>
      </c>
      <c r="C22" s="142"/>
      <c r="D22" s="142"/>
      <c r="E22" s="142"/>
      <c r="F22" s="175"/>
      <c r="G22" s="143"/>
      <c r="H22" s="142"/>
      <c r="I22" s="142"/>
      <c r="J22" s="142"/>
      <c r="K22" s="175"/>
      <c r="L22" s="143"/>
      <c r="M22" s="142"/>
      <c r="N22" s="142"/>
      <c r="O22" s="142"/>
      <c r="P22" s="175"/>
      <c r="Q22" s="143"/>
      <c r="R22" s="142"/>
      <c r="S22" s="142"/>
      <c r="T22" s="142"/>
      <c r="U22" s="175"/>
      <c r="V22" s="143"/>
      <c r="W22" s="142"/>
      <c r="X22" s="142"/>
      <c r="Y22" s="142"/>
      <c r="Z22" s="175"/>
      <c r="AA22" s="143"/>
      <c r="AB22" s="142"/>
      <c r="AC22" s="142"/>
      <c r="AD22" s="142"/>
      <c r="AE22" s="175"/>
      <c r="AF22" s="143"/>
      <c r="AG22" s="142"/>
      <c r="AH22" s="142"/>
      <c r="AI22" s="142"/>
      <c r="AJ22" s="175"/>
      <c r="AK22" s="144"/>
      <c r="AL22" s="145"/>
      <c r="AM22" s="145"/>
      <c r="AN22" s="145"/>
      <c r="AO22" s="175"/>
      <c r="AP22" s="144"/>
      <c r="AQ22" s="175"/>
      <c r="AR22" s="175"/>
      <c r="AS22" s="175"/>
      <c r="AT22" s="175"/>
      <c r="AU22" s="182"/>
      <c r="AV22" s="175"/>
      <c r="AW22" s="175"/>
      <c r="AX22" s="175"/>
      <c r="AY22" s="175"/>
      <c r="AZ22" s="182"/>
      <c r="BA22" s="175"/>
      <c r="BB22" s="175"/>
      <c r="BC22" s="175"/>
      <c r="BD22" s="175"/>
      <c r="BE22" s="182"/>
      <c r="BF22" s="175"/>
      <c r="BG22" s="175"/>
      <c r="BH22" s="175"/>
      <c r="BI22" s="175"/>
      <c r="BJ22" s="182"/>
      <c r="BK22" s="175"/>
      <c r="BL22" s="183">
        <v>9.7011116859009958E-3</v>
      </c>
      <c r="BM22" s="183">
        <f>+BL22+0.000025</f>
        <v>9.7261116859009965E-3</v>
      </c>
      <c r="BN22" s="183">
        <f>+BM22+0.000025</f>
        <v>9.7511116859009973E-3</v>
      </c>
      <c r="BO22" s="182"/>
      <c r="BP22" s="183">
        <f>+BN22+0.000025</f>
        <v>9.776111685900998E-3</v>
      </c>
      <c r="BQ22" s="183">
        <f>+BP22+0.000025</f>
        <v>9.8011116859009987E-3</v>
      </c>
      <c r="BR22" s="183">
        <f>+BQ22+0.000025</f>
        <v>9.8261116859009994E-3</v>
      </c>
      <c r="BS22" s="183">
        <f>+BR22+0.000025</f>
        <v>9.8511116859010001E-3</v>
      </c>
      <c r="BT22" s="182"/>
      <c r="BU22" s="183">
        <f>+BS22+0.00003</f>
        <v>9.8811116859010006E-3</v>
      </c>
      <c r="BV22" s="183">
        <f>+BU22+0.00003</f>
        <v>9.9111116859010012E-3</v>
      </c>
      <c r="BW22" s="183">
        <f>+BV22+0.00003</f>
        <v>9.9411116859010017E-3</v>
      </c>
      <c r="BX22" s="183">
        <f>+BW22+0.00003</f>
        <v>9.9711116859010022E-3</v>
      </c>
      <c r="BY22" s="182"/>
      <c r="BZ22" s="183">
        <f>+BX22+0.00003</f>
        <v>1.0001111685901003E-2</v>
      </c>
      <c r="CA22" s="183">
        <f>+BZ22+0.00003</f>
        <v>1.0031111685901003E-2</v>
      </c>
      <c r="CB22" s="183">
        <f>+CA22+0.00003</f>
        <v>1.0061111685901004E-2</v>
      </c>
      <c r="CC22" s="183">
        <f>+CB22+0.00003</f>
        <v>1.0091111685901004E-2</v>
      </c>
      <c r="CD22" s="182"/>
      <c r="CE22" s="159"/>
    </row>
    <row r="23" spans="1:92" ht="12.75" customHeight="1" outlineLevel="1">
      <c r="A23" s="157"/>
      <c r="B23" s="181" t="s">
        <v>123</v>
      </c>
      <c r="C23" s="142"/>
      <c r="D23" s="142"/>
      <c r="E23" s="142"/>
      <c r="F23" s="175"/>
      <c r="G23" s="143"/>
      <c r="H23" s="142"/>
      <c r="I23" s="142"/>
      <c r="J23" s="142"/>
      <c r="K23" s="175"/>
      <c r="L23" s="143"/>
      <c r="M23" s="142"/>
      <c r="N23" s="142"/>
      <c r="O23" s="142"/>
      <c r="P23" s="175"/>
      <c r="Q23" s="143"/>
      <c r="R23" s="142"/>
      <c r="S23" s="142"/>
      <c r="T23" s="142"/>
      <c r="U23" s="175"/>
      <c r="V23" s="143"/>
      <c r="W23" s="142"/>
      <c r="X23" s="142"/>
      <c r="Y23" s="142"/>
      <c r="Z23" s="175"/>
      <c r="AA23" s="143"/>
      <c r="AB23" s="142"/>
      <c r="AC23" s="142"/>
      <c r="AD23" s="142"/>
      <c r="AE23" s="175"/>
      <c r="AF23" s="143"/>
      <c r="AG23" s="142"/>
      <c r="AH23" s="142"/>
      <c r="AI23" s="142"/>
      <c r="AJ23" s="175"/>
      <c r="AK23" s="144"/>
      <c r="AL23" s="145"/>
      <c r="AM23" s="145"/>
      <c r="AN23" s="145"/>
      <c r="AO23" s="175"/>
      <c r="AP23" s="144"/>
      <c r="AQ23" s="175"/>
      <c r="AR23" s="175"/>
      <c r="AS23" s="175"/>
      <c r="AT23" s="175"/>
      <c r="AU23" s="184"/>
      <c r="AV23" s="175"/>
      <c r="AW23" s="175"/>
      <c r="AX23" s="175"/>
      <c r="AY23" s="175"/>
      <c r="AZ23" s="182"/>
      <c r="BA23" s="175"/>
      <c r="BB23" s="175"/>
      <c r="BC23" s="175"/>
      <c r="BD23" s="175"/>
      <c r="BE23" s="182"/>
      <c r="BF23" s="175"/>
      <c r="BG23" s="175"/>
      <c r="BH23" s="175"/>
      <c r="BI23" s="175"/>
      <c r="BJ23" s="182"/>
      <c r="BK23" s="175"/>
      <c r="BL23" s="183">
        <f>BL22+0.01%</f>
        <v>9.8011116859009952E-3</v>
      </c>
      <c r="BM23" s="183">
        <f>BM22+0.01%</f>
        <v>9.8261116859009959E-3</v>
      </c>
      <c r="BN23" s="183">
        <f>BN22+0.01%</f>
        <v>9.8511116859009967E-3</v>
      </c>
      <c r="BO23" s="182"/>
      <c r="BP23" s="183">
        <f>BP22+0.01%</f>
        <v>9.8761116859009974E-3</v>
      </c>
      <c r="BQ23" s="183">
        <f>BQ22+0.01%</f>
        <v>9.9011116859009981E-3</v>
      </c>
      <c r="BR23" s="183">
        <f>BR22+0.01%</f>
        <v>9.9261116859009988E-3</v>
      </c>
      <c r="BS23" s="183">
        <f>BS22+0.01%</f>
        <v>9.9511116859009995E-3</v>
      </c>
      <c r="BT23" s="182"/>
      <c r="BU23" s="183">
        <f>BU22+0.01%</f>
        <v>9.981111685901E-3</v>
      </c>
      <c r="BV23" s="183">
        <f>BV22+0.01%</f>
        <v>1.0011111685901001E-2</v>
      </c>
      <c r="BW23" s="183">
        <f>BW22+0.01%</f>
        <v>1.0041111685901001E-2</v>
      </c>
      <c r="BX23" s="183">
        <f>BX22+0.01%</f>
        <v>1.0071111685901002E-2</v>
      </c>
      <c r="BY23" s="182"/>
      <c r="BZ23" s="183">
        <f>BZ22+0.01%</f>
        <v>1.0101111685901002E-2</v>
      </c>
      <c r="CA23" s="183">
        <f>CA22+0.01%</f>
        <v>1.0131111685901003E-2</v>
      </c>
      <c r="CB23" s="183">
        <f>CB22+0.01%</f>
        <v>1.0161111685901003E-2</v>
      </c>
      <c r="CC23" s="183">
        <f>CC22+0.01%</f>
        <v>1.0191111685901004E-2</v>
      </c>
      <c r="CD23" s="182"/>
      <c r="CE23" s="159"/>
    </row>
    <row r="24" spans="1:92" ht="12.75" customHeight="1">
      <c r="A24" s="157"/>
      <c r="B24" s="163"/>
      <c r="C24" s="142"/>
      <c r="D24" s="142"/>
      <c r="E24" s="142"/>
      <c r="F24" s="175"/>
      <c r="G24" s="143"/>
      <c r="H24" s="142"/>
      <c r="I24" s="142"/>
      <c r="J24" s="142"/>
      <c r="K24" s="175"/>
      <c r="L24" s="143"/>
      <c r="M24" s="142"/>
      <c r="N24" s="142"/>
      <c r="O24" s="142"/>
      <c r="P24" s="175"/>
      <c r="Q24" s="143"/>
      <c r="R24" s="142"/>
      <c r="S24" s="142"/>
      <c r="T24" s="142"/>
      <c r="U24" s="175"/>
      <c r="V24" s="143"/>
      <c r="W24" s="142"/>
      <c r="X24" s="142"/>
      <c r="Y24" s="142"/>
      <c r="Z24" s="175"/>
      <c r="AA24" s="143"/>
      <c r="AB24" s="142"/>
      <c r="AC24" s="142"/>
      <c r="AD24" s="142"/>
      <c r="AE24" s="175"/>
      <c r="AF24" s="143"/>
      <c r="AG24" s="142"/>
      <c r="AH24" s="142"/>
      <c r="AI24" s="142"/>
      <c r="AJ24" s="175"/>
      <c r="AK24" s="144"/>
      <c r="AL24" s="145"/>
      <c r="AM24" s="145"/>
      <c r="AN24" s="145"/>
      <c r="AO24" s="175"/>
      <c r="AP24" s="144"/>
      <c r="AQ24" s="175"/>
      <c r="AR24" s="175"/>
      <c r="AS24" s="175"/>
      <c r="AT24" s="175"/>
      <c r="AU24" s="144"/>
      <c r="AV24" s="175"/>
      <c r="AW24" s="175"/>
      <c r="AX24" s="175"/>
      <c r="AY24" s="175"/>
      <c r="AZ24" s="182"/>
      <c r="BA24" s="175"/>
      <c r="BB24" s="175"/>
      <c r="BC24" s="175"/>
      <c r="BD24" s="175"/>
      <c r="BE24" s="182"/>
      <c r="BF24" s="175"/>
      <c r="BG24" s="175"/>
      <c r="BH24" s="175"/>
      <c r="BI24" s="175"/>
      <c r="BJ24" s="144"/>
      <c r="BK24" s="175"/>
      <c r="BL24" s="175"/>
      <c r="BM24" s="175"/>
      <c r="BN24" s="175"/>
      <c r="BO24" s="144"/>
      <c r="BP24" s="175"/>
      <c r="BQ24" s="175"/>
      <c r="BR24" s="175"/>
      <c r="BS24" s="175"/>
      <c r="BT24" s="144"/>
      <c r="BU24" s="175"/>
      <c r="BV24" s="175"/>
      <c r="BW24" s="175"/>
      <c r="BX24" s="175"/>
      <c r="BY24" s="144"/>
      <c r="BZ24" s="175"/>
      <c r="CA24" s="175"/>
      <c r="CB24" s="175"/>
      <c r="CC24" s="175"/>
      <c r="CD24" s="144"/>
      <c r="CE24" s="159"/>
    </row>
    <row r="25" spans="1:92" ht="12.75">
      <c r="A25" s="130"/>
      <c r="B25" s="131" t="s">
        <v>124</v>
      </c>
      <c r="C25" s="167"/>
      <c r="D25" s="167"/>
      <c r="E25" s="167"/>
      <c r="F25" s="167"/>
      <c r="G25" s="168"/>
      <c r="H25" s="167"/>
      <c r="I25" s="167"/>
      <c r="J25" s="167"/>
      <c r="K25" s="167"/>
      <c r="L25" s="168"/>
      <c r="M25" s="167"/>
      <c r="N25" s="167"/>
      <c r="O25" s="167"/>
      <c r="P25" s="167"/>
      <c r="Q25" s="168"/>
      <c r="R25" s="167"/>
      <c r="S25" s="167"/>
      <c r="T25" s="167"/>
      <c r="U25" s="167"/>
      <c r="V25" s="168"/>
      <c r="W25" s="167"/>
      <c r="X25" s="167"/>
      <c r="Y25" s="167"/>
      <c r="Z25" s="167"/>
      <c r="AA25" s="168"/>
      <c r="AB25" s="167"/>
      <c r="AC25" s="167"/>
      <c r="AD25" s="167"/>
      <c r="AE25" s="167"/>
      <c r="AF25" s="168"/>
      <c r="AG25" s="167"/>
      <c r="AH25" s="167"/>
      <c r="AI25" s="167"/>
      <c r="AJ25" s="167"/>
      <c r="AK25" s="169">
        <v>365</v>
      </c>
      <c r="AL25" s="170"/>
      <c r="AM25" s="170"/>
      <c r="AN25" s="170"/>
      <c r="AO25" s="170"/>
      <c r="AP25" s="169">
        <v>502</v>
      </c>
      <c r="AQ25" s="170">
        <f>129+12</f>
        <v>141</v>
      </c>
      <c r="AR25" s="170">
        <f>144+10</f>
        <v>154</v>
      </c>
      <c r="AS25" s="170">
        <f>180+10</f>
        <v>190</v>
      </c>
      <c r="AT25" s="170">
        <f>193+11</f>
        <v>204</v>
      </c>
      <c r="AU25" s="171">
        <f>SUM(AQ25:AT25)</f>
        <v>689</v>
      </c>
      <c r="AV25" s="170">
        <f>178+10</f>
        <v>188</v>
      </c>
      <c r="AW25" s="170">
        <f>185+12</f>
        <v>197</v>
      </c>
      <c r="AX25" s="170">
        <v>201</v>
      </c>
      <c r="AY25" s="170">
        <v>245</v>
      </c>
      <c r="AZ25" s="171">
        <f>SUM(AV25:AY25)</f>
        <v>831</v>
      </c>
      <c r="BA25" s="170">
        <v>255</v>
      </c>
      <c r="BB25" s="170">
        <v>255</v>
      </c>
      <c r="BC25" s="170">
        <v>271</v>
      </c>
      <c r="BD25" s="170">
        <v>307</v>
      </c>
      <c r="BE25" s="171">
        <f>SUM(BA25:BD25)</f>
        <v>1088</v>
      </c>
      <c r="BF25" s="170">
        <v>300</v>
      </c>
      <c r="BG25" s="170">
        <v>308</v>
      </c>
      <c r="BH25" s="170">
        <v>363</v>
      </c>
      <c r="BI25" s="170">
        <v>40</v>
      </c>
      <c r="BJ25" s="171">
        <f>SUM(BF25:BI25)</f>
        <v>1011</v>
      </c>
      <c r="BK25" s="170">
        <v>305</v>
      </c>
      <c r="BL25" s="118">
        <f>BL27*'Segment Detail'!BL$6</f>
        <v>323.29107710489473</v>
      </c>
      <c r="BM25" s="118">
        <f>BM27*'Segment Detail'!BM$6</f>
        <v>338.23789542917967</v>
      </c>
      <c r="BN25" s="118">
        <f>BN27*'Segment Detail'!BN$6</f>
        <v>385.45297056675179</v>
      </c>
      <c r="BO25" s="171">
        <f>SUM(BK25:BN25)</f>
        <v>1351.9819431008264</v>
      </c>
      <c r="BP25" s="118">
        <f>BP27*'Segment Detail'!BP$6</f>
        <v>369.61386298091247</v>
      </c>
      <c r="BQ25" s="118">
        <f>BQ27*'Segment Detail'!BQ$6</f>
        <v>392.68620961214975</v>
      </c>
      <c r="BR25" s="118">
        <f>BR27*'Segment Detail'!BR$6</f>
        <v>410.84139498282582</v>
      </c>
      <c r="BS25" s="118">
        <f>BS27*'Segment Detail'!BS$6</f>
        <v>468.19128864014544</v>
      </c>
      <c r="BT25" s="171">
        <f>SUM(BP25:BS25)</f>
        <v>1641.3327562160334</v>
      </c>
      <c r="BU25" s="118">
        <f>BU27*'Segment Detail'!BU$6</f>
        <v>443.5366355770949</v>
      </c>
      <c r="BV25" s="118">
        <f>BV27*'Segment Detail'!BV$6</f>
        <v>471.22345153457974</v>
      </c>
      <c r="BW25" s="118">
        <f>BW27*'Segment Detail'!BW$6</f>
        <v>484.79284607973443</v>
      </c>
      <c r="BX25" s="118">
        <f>BX27*'Segment Detail'!BX$6</f>
        <v>552.46572059537164</v>
      </c>
      <c r="BY25" s="171">
        <f>SUM(BU25:BX25)</f>
        <v>1952.0186537867808</v>
      </c>
      <c r="BZ25" s="118">
        <f>BZ27*'Segment Detail'!BZ$6</f>
        <v>518.93786362520098</v>
      </c>
      <c r="CA25" s="118">
        <f>CA27*'Segment Detail'!CA$6</f>
        <v>551.33143829545827</v>
      </c>
      <c r="CB25" s="118">
        <f>CB27*'Segment Detail'!CB$6</f>
        <v>567.20762991328922</v>
      </c>
      <c r="CC25" s="118">
        <f>CC27*'Segment Detail'!CC$6</f>
        <v>646.38489309658462</v>
      </c>
      <c r="CD25" s="171">
        <f>SUM(BZ25:CC25)</f>
        <v>2283.8618249305332</v>
      </c>
      <c r="CE25" s="137"/>
    </row>
    <row r="26" spans="1:92" ht="12.75" customHeight="1">
      <c r="A26" s="172"/>
      <c r="B26" s="138" t="s">
        <v>21</v>
      </c>
      <c r="C26" s="139"/>
      <c r="D26" s="139"/>
      <c r="E26" s="139"/>
      <c r="F26" s="139"/>
      <c r="G26" s="140"/>
      <c r="H26" s="139"/>
      <c r="I26" s="139"/>
      <c r="J26" s="139"/>
      <c r="K26" s="139"/>
      <c r="L26" s="140"/>
      <c r="M26" s="139"/>
      <c r="N26" s="139"/>
      <c r="O26" s="139"/>
      <c r="P26" s="139"/>
      <c r="Q26" s="140"/>
      <c r="R26" s="139"/>
      <c r="S26" s="139"/>
      <c r="T26" s="139"/>
      <c r="U26" s="139"/>
      <c r="V26" s="140"/>
      <c r="W26" s="139"/>
      <c r="X26" s="139"/>
      <c r="Y26" s="139"/>
      <c r="Z26" s="139"/>
      <c r="AA26" s="140"/>
      <c r="AB26" s="139"/>
      <c r="AC26" s="139"/>
      <c r="AD26" s="139"/>
      <c r="AE26" s="139"/>
      <c r="AF26" s="140"/>
      <c r="AG26" s="139"/>
      <c r="AH26" s="139"/>
      <c r="AI26" s="139"/>
      <c r="AJ26" s="139"/>
      <c r="AK26" s="140"/>
      <c r="AL26" s="139"/>
      <c r="AM26" s="139"/>
      <c r="AN26" s="139"/>
      <c r="AO26" s="139"/>
      <c r="AP26" s="140">
        <f>IF(ISERROR(AP25/AK25-1), "NM", (AP25/AK25-1))</f>
        <v>0.37534246575342456</v>
      </c>
      <c r="AQ26" s="139" t="str">
        <f>IF(ISERROR(AQ25/AL25-1), "NM", (AQ25/AL25-1))</f>
        <v>NM</v>
      </c>
      <c r="AR26" s="139" t="str">
        <f>IF(ISERROR(AR25/AM25-1), "NM", (AR25/AM25-1))</f>
        <v>NM</v>
      </c>
      <c r="AS26" s="139" t="str">
        <f>IF(ISERROR(AS25/AN25-1), "NM", (AS25/AN25-1))</f>
        <v>NM</v>
      </c>
      <c r="AT26" s="139" t="str">
        <f>IF(ISERROR(AT25/AO25-1), "NM", (AT25/AO25-1))</f>
        <v>NM</v>
      </c>
      <c r="AU26" s="140">
        <f t="shared" ref="AU26:CD26" si="6">IF(ISERROR(AU25/AP25-1), "NM", (AU25/AP25-1))</f>
        <v>0.37250996015936244</v>
      </c>
      <c r="AV26" s="139">
        <f t="shared" si="6"/>
        <v>0.33333333333333326</v>
      </c>
      <c r="AW26" s="139">
        <f t="shared" si="6"/>
        <v>0.27922077922077926</v>
      </c>
      <c r="AX26" s="139">
        <f t="shared" si="6"/>
        <v>5.7894736842105221E-2</v>
      </c>
      <c r="AY26" s="139">
        <f t="shared" si="6"/>
        <v>0.2009803921568627</v>
      </c>
      <c r="AZ26" s="140">
        <f t="shared" si="6"/>
        <v>0.20609579100145137</v>
      </c>
      <c r="BA26" s="139">
        <f t="shared" si="6"/>
        <v>0.3563829787234043</v>
      </c>
      <c r="BB26" s="139">
        <f t="shared" si="6"/>
        <v>0.29441624365482233</v>
      </c>
      <c r="BC26" s="139">
        <f t="shared" si="6"/>
        <v>0.34825870646766166</v>
      </c>
      <c r="BD26" s="139">
        <f t="shared" si="6"/>
        <v>0.25306122448979584</v>
      </c>
      <c r="BE26" s="140">
        <f t="shared" si="6"/>
        <v>0.30926594464500612</v>
      </c>
      <c r="BF26" s="139">
        <f t="shared" si="6"/>
        <v>0.17647058823529416</v>
      </c>
      <c r="BG26" s="139">
        <f t="shared" si="6"/>
        <v>0.20784313725490189</v>
      </c>
      <c r="BH26" s="139">
        <f t="shared" si="6"/>
        <v>0.3394833948339484</v>
      </c>
      <c r="BI26" s="139">
        <f t="shared" si="6"/>
        <v>-0.86970684039087942</v>
      </c>
      <c r="BJ26" s="140">
        <f t="shared" si="6"/>
        <v>-7.0772058823529438E-2</v>
      </c>
      <c r="BK26" s="139">
        <f t="shared" si="6"/>
        <v>1.6666666666666607E-2</v>
      </c>
      <c r="BL26" s="139">
        <f t="shared" si="6"/>
        <v>4.9646354236671186E-2</v>
      </c>
      <c r="BM26" s="139">
        <f t="shared" si="6"/>
        <v>-6.821516410694306E-2</v>
      </c>
      <c r="BN26" s="139">
        <f t="shared" si="6"/>
        <v>8.6363242641687954</v>
      </c>
      <c r="BO26" s="140">
        <f t="shared" si="6"/>
        <v>0.33727195163286483</v>
      </c>
      <c r="BP26" s="139">
        <f t="shared" si="6"/>
        <v>0.21184873108495883</v>
      </c>
      <c r="BQ26" s="139">
        <f t="shared" si="6"/>
        <v>0.21465217391304359</v>
      </c>
      <c r="BR26" s="139">
        <f t="shared" si="6"/>
        <v>0.21465217391304359</v>
      </c>
      <c r="BS26" s="139">
        <f t="shared" si="6"/>
        <v>0.21465217391304359</v>
      </c>
      <c r="BT26" s="140">
        <f t="shared" si="6"/>
        <v>0.21401973198811297</v>
      </c>
      <c r="BU26" s="139">
        <f t="shared" si="6"/>
        <v>0.19999999999999973</v>
      </c>
      <c r="BV26" s="139">
        <f t="shared" si="6"/>
        <v>0.20000000000000018</v>
      </c>
      <c r="BW26" s="139">
        <f t="shared" si="6"/>
        <v>0.17999999999999994</v>
      </c>
      <c r="BX26" s="139">
        <f t="shared" si="6"/>
        <v>0.17999999999999994</v>
      </c>
      <c r="BY26" s="140">
        <f t="shared" si="6"/>
        <v>0.18928879375259022</v>
      </c>
      <c r="BZ26" s="139">
        <f t="shared" si="6"/>
        <v>0.16999999999999993</v>
      </c>
      <c r="CA26" s="139">
        <f t="shared" si="6"/>
        <v>0.16999999999999993</v>
      </c>
      <c r="CB26" s="139">
        <f t="shared" si="6"/>
        <v>0.16999999999999993</v>
      </c>
      <c r="CC26" s="139">
        <f t="shared" si="6"/>
        <v>0.16999999999999971</v>
      </c>
      <c r="CD26" s="140">
        <f t="shared" si="6"/>
        <v>0.16999999999999993</v>
      </c>
      <c r="CE26" s="174"/>
      <c r="CL26" s="160"/>
      <c r="CM26" s="160"/>
    </row>
    <row r="27" spans="1:92" ht="12.75" customHeight="1">
      <c r="A27" s="172"/>
      <c r="B27" s="138" t="s">
        <v>120</v>
      </c>
      <c r="C27" s="179"/>
      <c r="D27" s="179"/>
      <c r="E27" s="179"/>
      <c r="F27" s="179"/>
      <c r="G27" s="176"/>
      <c r="H27" s="179"/>
      <c r="I27" s="179"/>
      <c r="J27" s="179"/>
      <c r="K27" s="179"/>
      <c r="L27" s="176"/>
      <c r="M27" s="179"/>
      <c r="N27" s="179"/>
      <c r="O27" s="179"/>
      <c r="P27" s="179"/>
      <c r="Q27" s="176"/>
      <c r="R27" s="179"/>
      <c r="S27" s="179"/>
      <c r="T27" s="179"/>
      <c r="U27" s="179"/>
      <c r="V27" s="176"/>
      <c r="W27" s="179"/>
      <c r="X27" s="179"/>
      <c r="Y27" s="179"/>
      <c r="Z27" s="179"/>
      <c r="AA27" s="176"/>
      <c r="AB27" s="179"/>
      <c r="AC27" s="179"/>
      <c r="AD27" s="179"/>
      <c r="AE27" s="179"/>
      <c r="AF27" s="176"/>
      <c r="AG27" s="179"/>
      <c r="AH27" s="179"/>
      <c r="AI27" s="179"/>
      <c r="AJ27" s="179"/>
      <c r="AK27" s="176">
        <f>AK25/'Segment Detail'!AK$6</f>
        <v>2.4322631375528099E-3</v>
      </c>
      <c r="AL27" s="179"/>
      <c r="AM27" s="179"/>
      <c r="AN27" s="179"/>
      <c r="AO27" s="179"/>
      <c r="AP27" s="176">
        <f>AP25/'Segment Detail'!AP$6</f>
        <v>2.7046539443767981E-3</v>
      </c>
      <c r="AQ27" s="180">
        <f>AQ25/'Segment Detail'!AQ$6</f>
        <v>2.6268723451822041E-3</v>
      </c>
      <c r="AR27" s="179">
        <f>AR25/'Segment Detail'!AR$6</f>
        <v>2.7143260011280317E-3</v>
      </c>
      <c r="AS27" s="179">
        <f>AS25/'Segment Detail'!AS$6</f>
        <v>3.2655025436546131E-3</v>
      </c>
      <c r="AT27" s="179">
        <f>AT25/'Segment Detail'!AT$6</f>
        <v>3.0890837232544406E-3</v>
      </c>
      <c r="AU27" s="176">
        <f>AU25/'Segment Detail'!AU$6</f>
        <v>2.9364758028427133E-3</v>
      </c>
      <c r="AV27" s="180">
        <f>AV25/'Segment Detail'!AV$6</f>
        <v>2.9831326065914536E-3</v>
      </c>
      <c r="AW27" s="180">
        <f>AW25/'Segment Detail'!AW$6</f>
        <v>2.9192969977179101E-3</v>
      </c>
      <c r="AX27" s="180">
        <f>AX25/'Segment Detail'!AX$6</f>
        <v>2.8184023444620498E-3</v>
      </c>
      <c r="AY27" s="180">
        <f>AY25/'Segment Detail'!AY$6</f>
        <v>2.9481841592260112E-3</v>
      </c>
      <c r="AZ27" s="176">
        <f>AZ25/'Segment Detail'!AZ$6</f>
        <v>2.8850360021941551E-3</v>
      </c>
      <c r="BA27" s="180">
        <f>BA25/'Segment Detail'!BA$6</f>
        <v>3.0887002022795818E-3</v>
      </c>
      <c r="BB27" s="180">
        <f>BB25/'Segment Detail'!BB$6</f>
        <v>2.9055524537675331E-3</v>
      </c>
      <c r="BC27" s="180">
        <f>BC25/'Segment Detail'!BC$6</f>
        <v>3.0485404128466169E-3</v>
      </c>
      <c r="BD27" s="180">
        <f>BD25/'Segment Detail'!BD$6</f>
        <v>3.04832639930097E-3</v>
      </c>
      <c r="BE27" s="176">
        <f>BE25/'Segment Detail'!BE$6</f>
        <v>3.0228267875797381E-3</v>
      </c>
      <c r="BF27" s="180">
        <f>BF25/'Segment Detail'!BF$6</f>
        <v>2.9809517185186659E-3</v>
      </c>
      <c r="BG27" s="180">
        <f>BG25/'Segment Detail'!BG$6</f>
        <v>2.8571428571428571E-3</v>
      </c>
      <c r="BH27" s="180">
        <f>BH25/'Segment Detail'!BH$6</f>
        <v>3.1503853363882527E-3</v>
      </c>
      <c r="BI27" s="180">
        <f>BI25/'Segment Detail'!BI$6</f>
        <v>3.0185262045806136E-4</v>
      </c>
      <c r="BJ27" s="176">
        <f>BJ25/'Segment Detail'!BJ$6</f>
        <v>2.2162401518705417E-3</v>
      </c>
      <c r="BK27" s="180">
        <f>BK25/'Segment Detail'!BK$6</f>
        <v>2.3042519113958479E-3</v>
      </c>
      <c r="BL27" s="180">
        <f>CHOOSE(_Switch,BL28,BL29,BL30)</f>
        <v>2.3E-3</v>
      </c>
      <c r="BM27" s="180">
        <f>CHOOSE(_Switch,BM28,BM29,BM30)</f>
        <v>2.3E-3</v>
      </c>
      <c r="BN27" s="180">
        <f>CHOOSE(_Switch,BN28,BN29,BN30)</f>
        <v>2.3E-3</v>
      </c>
      <c r="BO27" s="176">
        <f>BO25/'Segment Detail'!BO$6</f>
        <v>2.3009578375492229E-3</v>
      </c>
      <c r="BP27" s="180">
        <f>CHOOSE(_Switch,BP28,BP29,BP30)</f>
        <v>2.2750000000000001E-3</v>
      </c>
      <c r="BQ27" s="180">
        <f>CHOOSE(_Switch,BQ28,BQ29,BQ30)</f>
        <v>2.2750000000000001E-3</v>
      </c>
      <c r="BR27" s="180">
        <f>CHOOSE(_Switch,BR28,BR29,BR30)</f>
        <v>2.2750000000000001E-3</v>
      </c>
      <c r="BS27" s="180">
        <f>CHOOSE(_Switch,BS28,BS29,BS30)</f>
        <v>2.2750000000000001E-3</v>
      </c>
      <c r="BT27" s="176">
        <f>BT25/'Segment Detail'!BT$6</f>
        <v>2.2750000000000001E-3</v>
      </c>
      <c r="BU27" s="180">
        <f>CHOOSE(_Switch,BU28,BU29,BU30)</f>
        <v>2.2750000000000001E-3</v>
      </c>
      <c r="BV27" s="180">
        <f>CHOOSE(_Switch,BV28,BV29,BV30)</f>
        <v>2.2750000000000001E-3</v>
      </c>
      <c r="BW27" s="180">
        <f>CHOOSE(_Switch,BW28,BW29,BW30)</f>
        <v>2.2750000000000001E-3</v>
      </c>
      <c r="BX27" s="180">
        <f>CHOOSE(_Switch,BX28,BX29,BX30)</f>
        <v>2.2750000000000001E-3</v>
      </c>
      <c r="BY27" s="176">
        <f>BY25/'Segment Detail'!BY$6</f>
        <v>2.2750000000000005E-3</v>
      </c>
      <c r="BZ27" s="180">
        <f>CHOOSE(_Switch,BZ28,BZ29,BZ30)</f>
        <v>2.2750000000000001E-3</v>
      </c>
      <c r="CA27" s="180">
        <f>CHOOSE(_Switch,CA28,CA29,CA30)</f>
        <v>2.2750000000000001E-3</v>
      </c>
      <c r="CB27" s="180">
        <f>CHOOSE(_Switch,CB28,CB29,CB30)</f>
        <v>2.2750000000000001E-3</v>
      </c>
      <c r="CC27" s="180">
        <f>CHOOSE(_Switch,CC28,CC29,CC30)</f>
        <v>2.2750000000000001E-3</v>
      </c>
      <c r="CD27" s="176">
        <f>CD25/'Segment Detail'!CD$6</f>
        <v>2.2750000000000001E-3</v>
      </c>
      <c r="CE27" s="174"/>
      <c r="CL27" s="160"/>
      <c r="CM27" s="160"/>
    </row>
    <row r="28" spans="1:92" ht="12.75" customHeight="1" outlineLevel="1">
      <c r="A28" s="172"/>
      <c r="B28" s="185" t="s">
        <v>121</v>
      </c>
      <c r="C28" s="186"/>
      <c r="D28" s="186"/>
      <c r="E28" s="186"/>
      <c r="F28" s="186"/>
      <c r="G28" s="187"/>
      <c r="H28" s="186"/>
      <c r="I28" s="186"/>
      <c r="J28" s="186"/>
      <c r="K28" s="186"/>
      <c r="L28" s="187"/>
      <c r="M28" s="186"/>
      <c r="N28" s="186"/>
      <c r="O28" s="186"/>
      <c r="P28" s="186"/>
      <c r="Q28" s="187"/>
      <c r="R28" s="186"/>
      <c r="S28" s="186"/>
      <c r="T28" s="186"/>
      <c r="U28" s="186"/>
      <c r="V28" s="187"/>
      <c r="W28" s="186"/>
      <c r="X28" s="186"/>
      <c r="Y28" s="186"/>
      <c r="Z28" s="186"/>
      <c r="AA28" s="187"/>
      <c r="AB28" s="186"/>
      <c r="AC28" s="186"/>
      <c r="AD28" s="186"/>
      <c r="AE28" s="186"/>
      <c r="AF28" s="187"/>
      <c r="AG28" s="186"/>
      <c r="AH28" s="186"/>
      <c r="AI28" s="186"/>
      <c r="AJ28" s="186"/>
      <c r="AK28" s="188"/>
      <c r="AL28" s="186"/>
      <c r="AM28" s="186"/>
      <c r="AN28" s="186"/>
      <c r="AO28" s="186"/>
      <c r="AP28" s="184"/>
      <c r="AQ28" s="186"/>
      <c r="AR28" s="186"/>
      <c r="AS28" s="186"/>
      <c r="AT28" s="186"/>
      <c r="AU28" s="184"/>
      <c r="AV28" s="186"/>
      <c r="AW28" s="186"/>
      <c r="AX28" s="186"/>
      <c r="AY28" s="186"/>
      <c r="AZ28" s="184"/>
      <c r="BA28" s="186"/>
      <c r="BB28" s="186"/>
      <c r="BC28" s="186"/>
      <c r="BD28" s="186"/>
      <c r="BE28" s="184"/>
      <c r="BF28" s="186"/>
      <c r="BG28" s="186"/>
      <c r="BH28" s="186"/>
      <c r="BI28" s="186"/>
      <c r="BJ28" s="184"/>
      <c r="BK28" s="186"/>
      <c r="BL28" s="183">
        <f>BL29-0.005%</f>
        <v>2.2499999999999998E-3</v>
      </c>
      <c r="BM28" s="183">
        <f>BM29-0.005%</f>
        <v>2.2499999999999998E-3</v>
      </c>
      <c r="BN28" s="183">
        <f>BN29-0.005%</f>
        <v>2.2499999999999998E-3</v>
      </c>
      <c r="BO28" s="184"/>
      <c r="BP28" s="183">
        <f>BP29-0.005%</f>
        <v>2.225E-3</v>
      </c>
      <c r="BQ28" s="183">
        <f>BQ29-0.005%</f>
        <v>2.225E-3</v>
      </c>
      <c r="BR28" s="183">
        <f>BR29-0.005%</f>
        <v>2.225E-3</v>
      </c>
      <c r="BS28" s="183">
        <f>BS29-0.005%</f>
        <v>2.225E-3</v>
      </c>
      <c r="BT28" s="184"/>
      <c r="BU28" s="183">
        <f>BU29-0.005%</f>
        <v>2.225E-3</v>
      </c>
      <c r="BV28" s="183">
        <f>BV29-0.005%</f>
        <v>2.225E-3</v>
      </c>
      <c r="BW28" s="183">
        <f>BW29-0.005%</f>
        <v>2.225E-3</v>
      </c>
      <c r="BX28" s="183">
        <f>BX29-0.005%</f>
        <v>2.225E-3</v>
      </c>
      <c r="BY28" s="184"/>
      <c r="BZ28" s="183">
        <f>BZ29-0.005%</f>
        <v>2.225E-3</v>
      </c>
      <c r="CA28" s="183">
        <f>CA29-0.005%</f>
        <v>2.225E-3</v>
      </c>
      <c r="CB28" s="183">
        <f>CB29-0.005%</f>
        <v>2.225E-3</v>
      </c>
      <c r="CC28" s="183">
        <f>CC29-0.005%</f>
        <v>2.225E-3</v>
      </c>
      <c r="CD28" s="184"/>
      <c r="CE28" s="174"/>
      <c r="CL28" s="160"/>
      <c r="CM28" s="160"/>
    </row>
    <row r="29" spans="1:92" ht="12.75" customHeight="1" outlineLevel="1">
      <c r="A29" s="172"/>
      <c r="B29" s="185" t="s">
        <v>122</v>
      </c>
      <c r="C29" s="186"/>
      <c r="D29" s="186"/>
      <c r="E29" s="186"/>
      <c r="F29" s="186"/>
      <c r="G29" s="187"/>
      <c r="H29" s="186"/>
      <c r="I29" s="186"/>
      <c r="J29" s="186"/>
      <c r="K29" s="186"/>
      <c r="L29" s="187"/>
      <c r="M29" s="186"/>
      <c r="N29" s="186"/>
      <c r="O29" s="186"/>
      <c r="P29" s="186"/>
      <c r="Q29" s="187"/>
      <c r="R29" s="186"/>
      <c r="S29" s="186"/>
      <c r="T29" s="186"/>
      <c r="U29" s="186"/>
      <c r="V29" s="187"/>
      <c r="W29" s="186"/>
      <c r="X29" s="186"/>
      <c r="Y29" s="186"/>
      <c r="Z29" s="186"/>
      <c r="AA29" s="187"/>
      <c r="AB29" s="186"/>
      <c r="AC29" s="186"/>
      <c r="AD29" s="186"/>
      <c r="AE29" s="186"/>
      <c r="AF29" s="187"/>
      <c r="AG29" s="186"/>
      <c r="AH29" s="186"/>
      <c r="AI29" s="186"/>
      <c r="AJ29" s="186"/>
      <c r="AK29" s="188"/>
      <c r="AL29" s="186"/>
      <c r="AM29" s="186"/>
      <c r="AN29" s="186"/>
      <c r="AO29" s="186"/>
      <c r="AP29" s="184"/>
      <c r="AQ29" s="186"/>
      <c r="AR29" s="186"/>
      <c r="AS29" s="186"/>
      <c r="AT29" s="186"/>
      <c r="AU29" s="184"/>
      <c r="AV29" s="186"/>
      <c r="AW29" s="186"/>
      <c r="AX29" s="186"/>
      <c r="AY29" s="186"/>
      <c r="AZ29" s="184"/>
      <c r="BA29" s="186"/>
      <c r="BB29" s="186"/>
      <c r="BC29" s="186"/>
      <c r="BD29" s="186"/>
      <c r="BE29" s="184"/>
      <c r="BF29" s="186"/>
      <c r="BG29" s="186"/>
      <c r="BH29" s="186"/>
      <c r="BI29" s="186"/>
      <c r="BJ29" s="184"/>
      <c r="BK29" s="186"/>
      <c r="BL29" s="183">
        <v>2.3E-3</v>
      </c>
      <c r="BM29" s="183">
        <f>BL29</f>
        <v>2.3E-3</v>
      </c>
      <c r="BN29" s="183">
        <f>BM29</f>
        <v>2.3E-3</v>
      </c>
      <c r="BO29" s="184"/>
      <c r="BP29" s="183">
        <f>BN29-0.000025</f>
        <v>2.2750000000000001E-3</v>
      </c>
      <c r="BQ29" s="183">
        <f>BP29</f>
        <v>2.2750000000000001E-3</v>
      </c>
      <c r="BR29" s="183">
        <f>BQ29</f>
        <v>2.2750000000000001E-3</v>
      </c>
      <c r="BS29" s="183">
        <f>BR29</f>
        <v>2.2750000000000001E-3</v>
      </c>
      <c r="BT29" s="184"/>
      <c r="BU29" s="183">
        <f>BS29</f>
        <v>2.2750000000000001E-3</v>
      </c>
      <c r="BV29" s="183">
        <f>BU29</f>
        <v>2.2750000000000001E-3</v>
      </c>
      <c r="BW29" s="183">
        <f>BV29</f>
        <v>2.2750000000000001E-3</v>
      </c>
      <c r="BX29" s="183">
        <f>BW29</f>
        <v>2.2750000000000001E-3</v>
      </c>
      <c r="BY29" s="184"/>
      <c r="BZ29" s="183">
        <f>BX29</f>
        <v>2.2750000000000001E-3</v>
      </c>
      <c r="CA29" s="183">
        <f>BZ29</f>
        <v>2.2750000000000001E-3</v>
      </c>
      <c r="CB29" s="183">
        <f>CA29</f>
        <v>2.2750000000000001E-3</v>
      </c>
      <c r="CC29" s="183">
        <f>CB29</f>
        <v>2.2750000000000001E-3</v>
      </c>
      <c r="CD29" s="184"/>
      <c r="CE29" s="174">
        <f>(CD18+CD25+CD37+CD44+CD51+CD58+CD72)/'Take Rate Drivers'!BY6</f>
        <v>2.0806383159530616E-2</v>
      </c>
      <c r="CL29" s="160"/>
      <c r="CM29" s="160"/>
      <c r="CN29" s="1262"/>
    </row>
    <row r="30" spans="1:92" ht="12.75" customHeight="1" outlineLevel="1">
      <c r="A30" s="172"/>
      <c r="B30" s="185" t="s">
        <v>123</v>
      </c>
      <c r="C30" s="186"/>
      <c r="D30" s="186"/>
      <c r="E30" s="186"/>
      <c r="F30" s="186"/>
      <c r="G30" s="187"/>
      <c r="H30" s="186"/>
      <c r="I30" s="186"/>
      <c r="J30" s="186"/>
      <c r="K30" s="186"/>
      <c r="L30" s="187"/>
      <c r="M30" s="186"/>
      <c r="N30" s="186"/>
      <c r="O30" s="186"/>
      <c r="P30" s="186"/>
      <c r="Q30" s="187"/>
      <c r="R30" s="186"/>
      <c r="S30" s="186"/>
      <c r="T30" s="186"/>
      <c r="U30" s="186"/>
      <c r="V30" s="187"/>
      <c r="W30" s="186"/>
      <c r="X30" s="186"/>
      <c r="Y30" s="186"/>
      <c r="Z30" s="186"/>
      <c r="AA30" s="187"/>
      <c r="AB30" s="186"/>
      <c r="AC30" s="186"/>
      <c r="AD30" s="186"/>
      <c r="AE30" s="186"/>
      <c r="AF30" s="187"/>
      <c r="AG30" s="186"/>
      <c r="AH30" s="186"/>
      <c r="AI30" s="186"/>
      <c r="AJ30" s="186"/>
      <c r="AK30" s="188"/>
      <c r="AL30" s="186"/>
      <c r="AM30" s="186"/>
      <c r="AN30" s="186"/>
      <c r="AO30" s="186"/>
      <c r="AP30" s="184"/>
      <c r="AQ30" s="186"/>
      <c r="AR30" s="186"/>
      <c r="AS30" s="186"/>
      <c r="AT30" s="186"/>
      <c r="AU30" s="184"/>
      <c r="AV30" s="186"/>
      <c r="AW30" s="186"/>
      <c r="AX30" s="186"/>
      <c r="AY30" s="186"/>
      <c r="AZ30" s="184"/>
      <c r="BA30" s="186"/>
      <c r="BB30" s="186"/>
      <c r="BC30" s="186"/>
      <c r="BD30" s="186"/>
      <c r="BE30" s="184"/>
      <c r="BF30" s="186"/>
      <c r="BG30" s="186"/>
      <c r="BH30" s="186"/>
      <c r="BI30" s="186"/>
      <c r="BJ30" s="184"/>
      <c r="BK30" s="186"/>
      <c r="BL30" s="183">
        <f>BL29+0.015%</f>
        <v>2.4499999999999999E-3</v>
      </c>
      <c r="BM30" s="183">
        <f>BM29+0.015%</f>
        <v>2.4499999999999999E-3</v>
      </c>
      <c r="BN30" s="183">
        <f>BN29+0.015%</f>
        <v>2.4499999999999999E-3</v>
      </c>
      <c r="BO30" s="184"/>
      <c r="BP30" s="183">
        <f>BP29+0.015%</f>
        <v>2.4250000000000001E-3</v>
      </c>
      <c r="BQ30" s="183">
        <f>BQ29+0.015%</f>
        <v>2.4250000000000001E-3</v>
      </c>
      <c r="BR30" s="183">
        <f>BR29+0.015%</f>
        <v>2.4250000000000001E-3</v>
      </c>
      <c r="BS30" s="183">
        <f>BS29+0.015%</f>
        <v>2.4250000000000001E-3</v>
      </c>
      <c r="BT30" s="184"/>
      <c r="BU30" s="183">
        <f>BU29+0.015%</f>
        <v>2.4250000000000001E-3</v>
      </c>
      <c r="BV30" s="183">
        <f>BV29+0.015%</f>
        <v>2.4250000000000001E-3</v>
      </c>
      <c r="BW30" s="183">
        <f>BW29+0.015%</f>
        <v>2.4250000000000001E-3</v>
      </c>
      <c r="BX30" s="183">
        <f>BX29+0.015%</f>
        <v>2.4250000000000001E-3</v>
      </c>
      <c r="BY30" s="184"/>
      <c r="BZ30" s="183">
        <f>BZ29+0.015%</f>
        <v>2.4250000000000001E-3</v>
      </c>
      <c r="CA30" s="183">
        <f>CA29+0.015%</f>
        <v>2.4250000000000001E-3</v>
      </c>
      <c r="CB30" s="183">
        <f>CB29+0.015%</f>
        <v>2.4250000000000001E-3</v>
      </c>
      <c r="CC30" s="183">
        <f>CC29+0.015%</f>
        <v>2.4250000000000001E-3</v>
      </c>
      <c r="CD30" s="184"/>
      <c r="CE30" s="174"/>
      <c r="CL30" s="160"/>
      <c r="CM30" s="160"/>
      <c r="CN30" s="1262"/>
    </row>
    <row r="31" spans="1:92" ht="12.75" customHeight="1" outlineLevel="1">
      <c r="A31" s="172"/>
      <c r="B31" s="138" t="s">
        <v>125</v>
      </c>
      <c r="C31" s="186"/>
      <c r="D31" s="186"/>
      <c r="E31" s="186"/>
      <c r="F31" s="186"/>
      <c r="G31" s="187"/>
      <c r="H31" s="186"/>
      <c r="I31" s="186"/>
      <c r="J31" s="186"/>
      <c r="K31" s="186"/>
      <c r="L31" s="187"/>
      <c r="M31" s="186"/>
      <c r="N31" s="186"/>
      <c r="O31" s="186"/>
      <c r="P31" s="186"/>
      <c r="Q31" s="187"/>
      <c r="R31" s="186"/>
      <c r="S31" s="186"/>
      <c r="T31" s="186"/>
      <c r="U31" s="186"/>
      <c r="V31" s="187"/>
      <c r="W31" s="186"/>
      <c r="X31" s="186"/>
      <c r="Y31" s="186"/>
      <c r="Z31" s="186"/>
      <c r="AA31" s="187"/>
      <c r="AB31" s="186"/>
      <c r="AC31" s="186"/>
      <c r="AD31" s="186"/>
      <c r="AE31" s="186"/>
      <c r="AF31" s="187"/>
      <c r="AG31" s="186"/>
      <c r="AH31" s="186"/>
      <c r="AI31" s="186"/>
      <c r="AJ31" s="186"/>
      <c r="AK31" s="169">
        <v>134</v>
      </c>
      <c r="AL31" s="170"/>
      <c r="AM31" s="170"/>
      <c r="AN31" s="170"/>
      <c r="AO31" s="170"/>
      <c r="AP31" s="169">
        <v>194</v>
      </c>
      <c r="AQ31" s="170">
        <v>49</v>
      </c>
      <c r="AR31" s="170"/>
      <c r="AS31" s="170"/>
      <c r="AT31" s="170"/>
      <c r="AU31" s="171">
        <v>239</v>
      </c>
      <c r="AV31" s="170">
        <v>71</v>
      </c>
      <c r="AW31" s="170"/>
      <c r="AX31" s="170"/>
      <c r="AY31" s="170"/>
      <c r="AZ31" s="171"/>
      <c r="BA31" s="170"/>
      <c r="BB31" s="170"/>
      <c r="BC31" s="170"/>
      <c r="BD31" s="170"/>
      <c r="BE31" s="171"/>
      <c r="BF31" s="170"/>
      <c r="BG31" s="170"/>
      <c r="BH31" s="170"/>
      <c r="BI31" s="170"/>
      <c r="BJ31" s="171"/>
      <c r="BK31" s="170"/>
      <c r="BL31" s="118"/>
      <c r="BM31" s="118"/>
      <c r="BN31" s="118"/>
      <c r="BO31" s="171"/>
      <c r="BP31" s="118"/>
      <c r="BQ31" s="118"/>
      <c r="BR31" s="118"/>
      <c r="BS31" s="118"/>
      <c r="BT31" s="171"/>
      <c r="BU31" s="118"/>
      <c r="BV31" s="118"/>
      <c r="BW31" s="118"/>
      <c r="BX31" s="118"/>
      <c r="BY31" s="171"/>
      <c r="BZ31" s="118"/>
      <c r="CA31" s="118"/>
      <c r="CB31" s="118"/>
      <c r="CC31" s="118"/>
      <c r="CD31" s="171"/>
      <c r="CE31" s="174"/>
      <c r="CL31" s="160"/>
      <c r="CM31" s="160"/>
    </row>
    <row r="32" spans="1:92" ht="12.75" customHeight="1">
      <c r="A32" s="157"/>
      <c r="B32" s="163"/>
      <c r="C32" s="142"/>
      <c r="D32" s="142"/>
      <c r="E32" s="142"/>
      <c r="F32" s="175"/>
      <c r="G32" s="143"/>
      <c r="H32" s="142"/>
      <c r="I32" s="142"/>
      <c r="J32" s="142"/>
      <c r="K32" s="175"/>
      <c r="L32" s="143"/>
      <c r="M32" s="142"/>
      <c r="N32" s="142"/>
      <c r="O32" s="142"/>
      <c r="P32" s="175"/>
      <c r="Q32" s="143"/>
      <c r="R32" s="142"/>
      <c r="S32" s="142"/>
      <c r="T32" s="142"/>
      <c r="U32" s="175"/>
      <c r="V32" s="143"/>
      <c r="W32" s="142"/>
      <c r="X32" s="142"/>
      <c r="Y32" s="142"/>
      <c r="Z32" s="175"/>
      <c r="AA32" s="143"/>
      <c r="AB32" s="142"/>
      <c r="AC32" s="142"/>
      <c r="AD32" s="142"/>
      <c r="AE32" s="175"/>
      <c r="AF32" s="143"/>
      <c r="AG32" s="142"/>
      <c r="AH32" s="142"/>
      <c r="AI32" s="142"/>
      <c r="AJ32" s="175"/>
      <c r="AK32" s="144"/>
      <c r="AL32" s="145"/>
      <c r="AM32" s="145"/>
      <c r="AN32" s="145"/>
      <c r="AO32" s="175"/>
      <c r="AP32" s="144"/>
      <c r="AQ32" s="175"/>
      <c r="AR32" s="175"/>
      <c r="AS32" s="175"/>
      <c r="AT32" s="175"/>
      <c r="AU32" s="144"/>
      <c r="AV32" s="175"/>
      <c r="AW32" s="175"/>
      <c r="AX32" s="175"/>
      <c r="AY32" s="175"/>
      <c r="AZ32" s="144"/>
      <c r="BA32" s="175"/>
      <c r="BB32" s="175"/>
      <c r="BC32" s="175"/>
      <c r="BD32" s="175"/>
      <c r="BE32" s="189"/>
      <c r="BF32" s="175"/>
      <c r="BG32" s="175"/>
      <c r="BH32" s="175"/>
      <c r="BI32" s="175"/>
      <c r="BJ32" s="144"/>
      <c r="BK32" s="175"/>
      <c r="BL32" s="175"/>
      <c r="BM32" s="175"/>
      <c r="BN32" s="175"/>
      <c r="BO32" s="144"/>
      <c r="BP32" s="175"/>
      <c r="BQ32" s="175"/>
      <c r="BR32" s="175"/>
      <c r="BS32" s="175"/>
      <c r="BT32" s="144"/>
      <c r="BU32" s="175"/>
      <c r="BV32" s="175"/>
      <c r="BW32" s="175"/>
      <c r="BX32" s="175"/>
      <c r="BY32" s="144"/>
      <c r="BZ32" s="175"/>
      <c r="CA32" s="175"/>
      <c r="CB32" s="175"/>
      <c r="CC32" s="175"/>
      <c r="CD32" s="144"/>
      <c r="CE32" s="174"/>
      <c r="CL32" s="160"/>
      <c r="CM32" s="160"/>
    </row>
    <row r="33" spans="1:91" ht="12.75" customHeight="1">
      <c r="A33" s="157"/>
      <c r="B33" s="151" t="s">
        <v>126</v>
      </c>
      <c r="C33" s="152"/>
      <c r="D33" s="152"/>
      <c r="E33" s="152"/>
      <c r="F33" s="152"/>
      <c r="G33" s="153"/>
      <c r="H33" s="152"/>
      <c r="I33" s="152"/>
      <c r="J33" s="152"/>
      <c r="K33" s="152"/>
      <c r="L33" s="153"/>
      <c r="M33" s="152"/>
      <c r="N33" s="152"/>
      <c r="O33" s="152"/>
      <c r="P33" s="152"/>
      <c r="Q33" s="153"/>
      <c r="R33" s="152"/>
      <c r="S33" s="152"/>
      <c r="T33" s="152"/>
      <c r="U33" s="152"/>
      <c r="V33" s="153"/>
      <c r="W33" s="152"/>
      <c r="X33" s="152"/>
      <c r="Y33" s="152"/>
      <c r="Z33" s="152"/>
      <c r="AA33" s="153"/>
      <c r="AB33" s="152"/>
      <c r="AC33" s="152"/>
      <c r="AD33" s="152"/>
      <c r="AE33" s="152"/>
      <c r="AF33" s="153"/>
      <c r="AG33" s="152"/>
      <c r="AH33" s="152"/>
      <c r="AI33" s="152"/>
      <c r="AJ33" s="152"/>
      <c r="AK33" s="154">
        <f>AK14-AK18-AK25</f>
        <v>3779</v>
      </c>
      <c r="AL33" s="155">
        <f t="shared" ref="AL33:CD33" si="7">AL14-AL18-AL25</f>
        <v>0</v>
      </c>
      <c r="AM33" s="155">
        <f t="shared" si="7"/>
        <v>0</v>
      </c>
      <c r="AN33" s="155">
        <f t="shared" si="7"/>
        <v>0</v>
      </c>
      <c r="AO33" s="155">
        <f t="shared" si="7"/>
        <v>0</v>
      </c>
      <c r="AP33" s="154">
        <f t="shared" si="7"/>
        <v>4390</v>
      </c>
      <c r="AQ33" s="155">
        <f t="shared" si="7"/>
        <v>1216</v>
      </c>
      <c r="AR33" s="155">
        <f t="shared" si="7"/>
        <v>1302</v>
      </c>
      <c r="AS33" s="155">
        <f t="shared" si="7"/>
        <v>1244</v>
      </c>
      <c r="AT33" s="155">
        <f t="shared" si="7"/>
        <v>1391</v>
      </c>
      <c r="AU33" s="154">
        <f t="shared" si="7"/>
        <v>5153</v>
      </c>
      <c r="AV33" s="155">
        <f t="shared" si="7"/>
        <v>1371</v>
      </c>
      <c r="AW33" s="155">
        <f t="shared" si="7"/>
        <v>1462</v>
      </c>
      <c r="AX33" s="155">
        <f t="shared" si="7"/>
        <v>1406</v>
      </c>
      <c r="AY33" s="155">
        <f t="shared" si="7"/>
        <v>1561</v>
      </c>
      <c r="AZ33" s="154">
        <f t="shared" si="7"/>
        <v>5807</v>
      </c>
      <c r="BA33" s="155">
        <f t="shared" si="7"/>
        <v>1537</v>
      </c>
      <c r="BB33" s="155">
        <f t="shared" si="7"/>
        <v>1585</v>
      </c>
      <c r="BC33" s="155">
        <f t="shared" si="7"/>
        <v>1566</v>
      </c>
      <c r="BD33" s="155">
        <f t="shared" si="7"/>
        <v>1720</v>
      </c>
      <c r="BE33" s="154">
        <f t="shared" si="7"/>
        <v>6408</v>
      </c>
      <c r="BF33" s="155">
        <f t="shared" si="7"/>
        <v>1688</v>
      </c>
      <c r="BG33" s="155">
        <f t="shared" si="7"/>
        <v>1764</v>
      </c>
      <c r="BH33" s="155">
        <f t="shared" si="7"/>
        <v>1774</v>
      </c>
      <c r="BI33" s="155">
        <f t="shared" si="7"/>
        <v>2399</v>
      </c>
      <c r="BJ33" s="154">
        <f t="shared" si="7"/>
        <v>7625</v>
      </c>
      <c r="BK33" s="155">
        <f t="shared" si="7"/>
        <v>2105</v>
      </c>
      <c r="BL33" s="155">
        <f t="shared" si="7"/>
        <v>2133.9481270988504</v>
      </c>
      <c r="BM33" s="155">
        <f t="shared" si="7"/>
        <v>1893.2114423740193</v>
      </c>
      <c r="BN33" s="155">
        <f t="shared" si="7"/>
        <v>2221.9711902080799</v>
      </c>
      <c r="BO33" s="154">
        <f t="shared" si="7"/>
        <v>8354.1307596809493</v>
      </c>
      <c r="BP33" s="155">
        <f t="shared" si="7"/>
        <v>2124.6273043940314</v>
      </c>
      <c r="BQ33" s="155">
        <f t="shared" si="7"/>
        <v>2159.8607196354624</v>
      </c>
      <c r="BR33" s="155">
        <f t="shared" si="7"/>
        <v>2181.4177781560543</v>
      </c>
      <c r="BS33" s="155">
        <f t="shared" si="7"/>
        <v>2565.6207472166411</v>
      </c>
      <c r="BT33" s="154">
        <f t="shared" si="7"/>
        <v>9031.5265494021914</v>
      </c>
      <c r="BU33" s="155">
        <f t="shared" si="7"/>
        <v>2402.844445055744</v>
      </c>
      <c r="BV33" s="155">
        <f t="shared" si="7"/>
        <v>2455.5512807474265</v>
      </c>
      <c r="BW33" s="155">
        <f t="shared" si="7"/>
        <v>2431.8172503401302</v>
      </c>
      <c r="BX33" s="155">
        <f t="shared" si="7"/>
        <v>2882.6409406061503</v>
      </c>
      <c r="BY33" s="154">
        <f t="shared" si="7"/>
        <v>10172.853916749451</v>
      </c>
      <c r="BZ33" s="155">
        <f t="shared" si="7"/>
        <v>2684.900068088863</v>
      </c>
      <c r="CA33" s="155">
        <f t="shared" si="7"/>
        <v>2750.2435518235843</v>
      </c>
      <c r="CB33" s="155">
        <f t="shared" si="7"/>
        <v>2759.6519448608919</v>
      </c>
      <c r="CC33" s="155">
        <f t="shared" si="7"/>
        <v>3284.2945952929822</v>
      </c>
      <c r="CD33" s="154">
        <f t="shared" si="7"/>
        <v>11479.090160066324</v>
      </c>
      <c r="CE33" s="159"/>
    </row>
    <row r="34" spans="1:91" ht="12.75" customHeight="1">
      <c r="A34" s="157"/>
      <c r="B34" s="190" t="s">
        <v>127</v>
      </c>
      <c r="C34" s="139"/>
      <c r="D34" s="139"/>
      <c r="E34" s="139"/>
      <c r="F34" s="139"/>
      <c r="G34" s="140"/>
      <c r="H34" s="139"/>
      <c r="I34" s="139"/>
      <c r="J34" s="139"/>
      <c r="K34" s="139"/>
      <c r="L34" s="140"/>
      <c r="M34" s="139"/>
      <c r="N34" s="139"/>
      <c r="O34" s="139"/>
      <c r="P34" s="139"/>
      <c r="Q34" s="140"/>
      <c r="R34" s="139"/>
      <c r="S34" s="139"/>
      <c r="T34" s="139"/>
      <c r="U34" s="139"/>
      <c r="V34" s="140"/>
      <c r="W34" s="139"/>
      <c r="X34" s="139"/>
      <c r="Y34" s="139"/>
      <c r="Z34" s="139"/>
      <c r="AA34" s="140"/>
      <c r="AB34" s="139"/>
      <c r="AC34" s="139"/>
      <c r="AD34" s="139"/>
      <c r="AE34" s="139"/>
      <c r="AF34" s="140"/>
      <c r="AG34" s="139"/>
      <c r="AH34" s="139"/>
      <c r="AI34" s="139"/>
      <c r="AJ34" s="139"/>
      <c r="AK34" s="140">
        <f>AK33/AK14</f>
        <v>0.66743200282585657</v>
      </c>
      <c r="AL34" s="139"/>
      <c r="AM34" s="139"/>
      <c r="AN34" s="139"/>
      <c r="AO34" s="139"/>
      <c r="AP34" s="140">
        <f t="shared" ref="AP34:CD34" si="8">AP33/AP14</f>
        <v>0.65259402408205736</v>
      </c>
      <c r="AQ34" s="139">
        <f t="shared" si="8"/>
        <v>0.64991982896846601</v>
      </c>
      <c r="AR34" s="139">
        <f t="shared" si="8"/>
        <v>0.65724381625441697</v>
      </c>
      <c r="AS34" s="139">
        <f t="shared" si="8"/>
        <v>0.63115169964485029</v>
      </c>
      <c r="AT34" s="139">
        <f t="shared" si="8"/>
        <v>0.63544997715851992</v>
      </c>
      <c r="AU34" s="158">
        <f t="shared" si="8"/>
        <v>0.6431602596105841</v>
      </c>
      <c r="AV34" s="139">
        <f t="shared" si="8"/>
        <v>0.64245548266166819</v>
      </c>
      <c r="AW34" s="139">
        <f t="shared" si="8"/>
        <v>0.63759267335368508</v>
      </c>
      <c r="AX34" s="139">
        <f t="shared" si="8"/>
        <v>0.62267493356953052</v>
      </c>
      <c r="AY34" s="139">
        <f t="shared" si="8"/>
        <v>0.61071987480438183</v>
      </c>
      <c r="AZ34" s="158">
        <f>AZ33/AZ14</f>
        <v>0.62791955017301038</v>
      </c>
      <c r="BA34" s="139">
        <f t="shared" si="8"/>
        <v>0.60416666666666663</v>
      </c>
      <c r="BB34" s="139">
        <f t="shared" si="8"/>
        <v>0.59811320754716979</v>
      </c>
      <c r="BC34" s="139">
        <f>BC33/BC14</f>
        <v>0.58717660292463447</v>
      </c>
      <c r="BD34" s="139">
        <f t="shared" si="8"/>
        <v>0.57698758805769879</v>
      </c>
      <c r="BE34" s="158">
        <f t="shared" si="8"/>
        <v>0.59103486441615938</v>
      </c>
      <c r="BF34" s="139">
        <f t="shared" si="8"/>
        <v>0.56739495798319328</v>
      </c>
      <c r="BG34" s="139">
        <f t="shared" si="8"/>
        <v>0.5625</v>
      </c>
      <c r="BH34" s="139">
        <f t="shared" si="8"/>
        <v>0.54769990737882057</v>
      </c>
      <c r="BI34" s="139">
        <f t="shared" si="8"/>
        <v>0.64750337381916334</v>
      </c>
      <c r="BJ34" s="158">
        <f t="shared" si="8"/>
        <v>0.58406740712370742</v>
      </c>
      <c r="BK34" s="139">
        <f t="shared" si="8"/>
        <v>0.57123473541383984</v>
      </c>
      <c r="BL34" s="139">
        <f t="shared" si="8"/>
        <v>0.55850228757417453</v>
      </c>
      <c r="BM34" s="139">
        <f t="shared" si="8"/>
        <v>0.51702072695153367</v>
      </c>
      <c r="BN34" s="139">
        <f t="shared" si="8"/>
        <v>0.52385263718294062</v>
      </c>
      <c r="BO34" s="158">
        <f t="shared" si="8"/>
        <v>0.54215188670043624</v>
      </c>
      <c r="BP34" s="139">
        <f t="shared" si="8"/>
        <v>0.52041763302917599</v>
      </c>
      <c r="BQ34" s="139">
        <f t="shared" si="8"/>
        <v>0.50888380619843576</v>
      </c>
      <c r="BR34" s="139">
        <f t="shared" si="8"/>
        <v>0.49955144781162109</v>
      </c>
      <c r="BS34" s="139">
        <f t="shared" si="8"/>
        <v>0.50692398749472833</v>
      </c>
      <c r="BT34" s="158">
        <f t="shared" si="8"/>
        <v>0.50868196135165777</v>
      </c>
      <c r="BU34" s="139">
        <f t="shared" si="8"/>
        <v>0.50344396697050076</v>
      </c>
      <c r="BV34" s="139">
        <f t="shared" si="8"/>
        <v>0.4931147612329343</v>
      </c>
      <c r="BW34" s="139">
        <f t="shared" si="8"/>
        <v>0.48298076755127073</v>
      </c>
      <c r="BX34" s="139">
        <f t="shared" si="8"/>
        <v>0.4922112146307312</v>
      </c>
      <c r="BY34" s="158">
        <f t="shared" si="8"/>
        <v>0.49277485156256856</v>
      </c>
      <c r="BZ34" s="139">
        <f t="shared" si="8"/>
        <v>0.48948641308795526</v>
      </c>
      <c r="CA34" s="139">
        <f t="shared" si="8"/>
        <v>0.4797592248769722</v>
      </c>
      <c r="CB34" s="139">
        <f t="shared" si="8"/>
        <v>0.47292241725271156</v>
      </c>
      <c r="CC34" s="139">
        <f t="shared" si="8"/>
        <v>0.48313946670076219</v>
      </c>
      <c r="CD34" s="158">
        <f t="shared" si="8"/>
        <v>0.4812869834013308</v>
      </c>
      <c r="CE34" s="159"/>
      <c r="CL34" s="160"/>
      <c r="CM34" s="160"/>
    </row>
    <row r="35" spans="1:91" ht="12.75" customHeight="1">
      <c r="A35" s="157"/>
      <c r="B35" s="138" t="s">
        <v>120</v>
      </c>
      <c r="C35" s="142"/>
      <c r="D35" s="142"/>
      <c r="E35" s="142"/>
      <c r="F35" s="175"/>
      <c r="G35" s="143"/>
      <c r="H35" s="142"/>
      <c r="I35" s="142"/>
      <c r="J35" s="142"/>
      <c r="K35" s="175"/>
      <c r="L35" s="143"/>
      <c r="M35" s="142"/>
      <c r="N35" s="142"/>
      <c r="O35" s="142"/>
      <c r="P35" s="175"/>
      <c r="Q35" s="143"/>
      <c r="R35" s="142"/>
      <c r="S35" s="142"/>
      <c r="T35" s="142"/>
      <c r="U35" s="175"/>
      <c r="V35" s="143"/>
      <c r="W35" s="142"/>
      <c r="X35" s="142"/>
      <c r="Y35" s="142"/>
      <c r="Z35" s="175"/>
      <c r="AA35" s="143"/>
      <c r="AB35" s="142"/>
      <c r="AC35" s="142"/>
      <c r="AD35" s="142"/>
      <c r="AE35" s="175"/>
      <c r="AF35" s="143"/>
      <c r="AG35" s="142"/>
      <c r="AH35" s="142"/>
      <c r="AI35" s="142"/>
      <c r="AJ35" s="175"/>
      <c r="AK35" s="144"/>
      <c r="AL35" s="145"/>
      <c r="AM35" s="145"/>
      <c r="AN35" s="145"/>
      <c r="AO35" s="175"/>
      <c r="AP35" s="144"/>
      <c r="AQ35" s="175"/>
      <c r="AR35" s="175"/>
      <c r="AS35" s="175"/>
      <c r="AT35" s="175"/>
      <c r="AU35" s="191">
        <f>+AU33/'Segment Detail'!AU6</f>
        <v>2.1961770409359219E-2</v>
      </c>
      <c r="AV35" s="178">
        <f>+AV33/'Segment Detail'!AV6</f>
        <v>2.1754653210834484E-2</v>
      </c>
      <c r="AW35" s="178">
        <f>+AW33/'Segment Detail'!AW6</f>
        <v>2.1665036602353221E-2</v>
      </c>
      <c r="AX35" s="178">
        <f>+AX33/'Segment Detail'!AX6</f>
        <v>1.9714794509023095E-2</v>
      </c>
      <c r="AY35" s="178">
        <f>+AY33/'Segment Detail'!AY6</f>
        <v>1.878414478592573E-2</v>
      </c>
      <c r="AZ35" s="191">
        <f>+AZ33/'Segment Detail'!AZ6</f>
        <v>2.0160534373936771E-2</v>
      </c>
      <c r="BA35" s="178">
        <f>+BA33/'Segment Detail'!BA6</f>
        <v>1.8616989062367518E-2</v>
      </c>
      <c r="BB35" s="178">
        <f>+BB33/'Segment Detail'!BB6</f>
        <v>1.8060002506751136E-2</v>
      </c>
      <c r="BC35" s="178">
        <f>+BC33/'Segment Detail'!BC6</f>
        <v>1.761628888013949E-2</v>
      </c>
      <c r="BD35" s="178">
        <f>+BD33/'Segment Detail'!BD6</f>
        <v>1.7078571357647128E-2</v>
      </c>
      <c r="BE35" s="191">
        <f>+BE33/'Segment Detail'!BE6</f>
        <v>1.7803560712142428E-2</v>
      </c>
      <c r="BF35" s="178">
        <f>+BF33/'Segment Detail'!BF6</f>
        <v>1.6772821669531691E-2</v>
      </c>
      <c r="BG35" s="178">
        <f>+BG33/'Segment Detail'!BG6</f>
        <v>1.6363636363636365E-2</v>
      </c>
      <c r="BH35" s="178">
        <f>+BH33/'Segment Detail'!BH6</f>
        <v>1.539609803513157E-2</v>
      </c>
      <c r="BI35" s="178">
        <f>+BI33/'Segment Detail'!BI6</f>
        <v>1.810361091197223E-2</v>
      </c>
      <c r="BJ35" s="191">
        <f>+BJ33/'Segment Detail'!BJ6</f>
        <v>1.6714966526224413E-2</v>
      </c>
      <c r="BK35" s="178">
        <f>+BK33/'Segment Detail'!BK6</f>
        <v>1.5903115650781178E-2</v>
      </c>
      <c r="BL35" s="178">
        <f>+BL33/'Segment Detail'!BL6</f>
        <v>1.5181615082852672E-2</v>
      </c>
      <c r="BM35" s="178">
        <f>+BM33/'Segment Detail'!BM6</f>
        <v>1.2873738798354031E-2</v>
      </c>
      <c r="BN35" s="178">
        <f>+BN33/'Segment Detail'!BN6</f>
        <v>1.3258514339542634E-2</v>
      </c>
      <c r="BO35" s="191">
        <f>+BO33/'Segment Detail'!BO6</f>
        <v>1.421801729341985E-2</v>
      </c>
      <c r="BP35" s="178">
        <f>+BP33/'Segment Detail'!BP6</f>
        <v>1.3077234383240745E-2</v>
      </c>
      <c r="BQ35" s="178">
        <f>+BQ33/'Segment Detail'!BQ6</f>
        <v>1.2513001518499586E-2</v>
      </c>
      <c r="BR35" s="178">
        <f>+BR33/'Segment Detail'!BR6</f>
        <v>1.2079419225787796E-2</v>
      </c>
      <c r="BS35" s="178">
        <f>+BS33/'Segment Detail'!BS6</f>
        <v>1.2466671938452165E-2</v>
      </c>
      <c r="BT35" s="191">
        <f>+BT33/'Segment Detail'!BT6</f>
        <v>1.2518316485231719E-2</v>
      </c>
      <c r="BU35" s="178">
        <f>+BU33/'Segment Detail'!BU6</f>
        <v>1.2324734134733372E-2</v>
      </c>
      <c r="BV35" s="178">
        <f>+BV33/'Segment Detail'!BV6</f>
        <v>1.1855053362704829E-2</v>
      </c>
      <c r="BW35" s="178">
        <f>+BW33/'Segment Detail'!BW6</f>
        <v>1.141185207096451E-2</v>
      </c>
      <c r="BX35" s="178">
        <f>+BX33/'Segment Detail'!BX6</f>
        <v>1.1870434482001296E-2</v>
      </c>
      <c r="BY35" s="191">
        <f>+BY33/'Segment Detail'!BY6</f>
        <v>1.1856056096445964E-2</v>
      </c>
      <c r="BZ35" s="178">
        <f>+BZ33/'Segment Detail'!BZ6</f>
        <v>1.1770479826297139E-2</v>
      </c>
      <c r="CA35" s="178">
        <f>+CA33/'Segment Detail'!CA6</f>
        <v>1.1348534920741516E-2</v>
      </c>
      <c r="CB35" s="178">
        <f>+CB33/'Segment Detail'!CB6</f>
        <v>1.1068624333417904E-2</v>
      </c>
      <c r="CC35" s="178">
        <f>+CC33/'Segment Detail'!CC6</f>
        <v>1.1559320590704279E-2</v>
      </c>
      <c r="CD35" s="191">
        <f>+CD33/'Segment Detail'!CD6</f>
        <v>1.1434549073451591E-2</v>
      </c>
      <c r="CE35" s="159"/>
    </row>
    <row r="36" spans="1:91" ht="12.75" customHeight="1">
      <c r="A36" s="157"/>
      <c r="B36" s="138"/>
      <c r="C36" s="142"/>
      <c r="D36" s="142"/>
      <c r="E36" s="142"/>
      <c r="F36" s="175"/>
      <c r="G36" s="143"/>
      <c r="H36" s="142"/>
      <c r="I36" s="142"/>
      <c r="J36" s="142"/>
      <c r="K36" s="175"/>
      <c r="L36" s="143"/>
      <c r="M36" s="142"/>
      <c r="N36" s="142"/>
      <c r="O36" s="142"/>
      <c r="P36" s="175"/>
      <c r="Q36" s="143"/>
      <c r="R36" s="142"/>
      <c r="S36" s="142"/>
      <c r="T36" s="142"/>
      <c r="U36" s="175"/>
      <c r="V36" s="143"/>
      <c r="W36" s="142"/>
      <c r="X36" s="142"/>
      <c r="Y36" s="142"/>
      <c r="Z36" s="175"/>
      <c r="AA36" s="143"/>
      <c r="AB36" s="142"/>
      <c r="AC36" s="142"/>
      <c r="AD36" s="142"/>
      <c r="AE36" s="175"/>
      <c r="AF36" s="143"/>
      <c r="AG36" s="142"/>
      <c r="AH36" s="142"/>
      <c r="AI36" s="142"/>
      <c r="AJ36" s="175"/>
      <c r="AK36" s="144"/>
      <c r="AL36" s="145"/>
      <c r="AM36" s="145"/>
      <c r="AN36" s="145"/>
      <c r="AO36" s="175"/>
      <c r="AP36" s="144"/>
      <c r="AQ36" s="175"/>
      <c r="AR36" s="175"/>
      <c r="AS36" s="175"/>
      <c r="AT36" s="175"/>
      <c r="AU36" s="144"/>
      <c r="AV36" s="175"/>
      <c r="AW36" s="175"/>
      <c r="AX36" s="175"/>
      <c r="AY36" s="175"/>
      <c r="AZ36" s="144"/>
      <c r="BA36" s="175"/>
      <c r="BB36" s="175"/>
      <c r="BC36" s="175"/>
      <c r="BD36" s="175"/>
      <c r="BE36" s="144"/>
      <c r="BF36" s="175"/>
      <c r="BG36" s="175"/>
      <c r="BH36" s="175"/>
      <c r="BI36" s="175"/>
      <c r="BJ36" s="192"/>
      <c r="BK36" s="175"/>
      <c r="BL36" s="175"/>
      <c r="BM36" s="193"/>
      <c r="BN36" s="193"/>
      <c r="BO36" s="194"/>
      <c r="BP36" s="193"/>
      <c r="BQ36" s="193"/>
      <c r="BR36" s="193"/>
      <c r="BS36" s="193"/>
      <c r="BT36" s="194"/>
      <c r="BU36" s="193"/>
      <c r="BV36" s="193"/>
      <c r="BW36" s="193"/>
      <c r="BX36" s="193"/>
      <c r="BY36" s="194"/>
      <c r="BZ36" s="175"/>
      <c r="CA36" s="175"/>
      <c r="CB36" s="175"/>
      <c r="CC36" s="175"/>
      <c r="CD36" s="192"/>
      <c r="CE36" s="159"/>
    </row>
    <row r="37" spans="1:91" ht="12" customHeight="1">
      <c r="A37" s="195"/>
      <c r="B37" s="131" t="s">
        <v>128</v>
      </c>
      <c r="C37" s="196"/>
      <c r="D37" s="196"/>
      <c r="E37" s="196"/>
      <c r="F37" s="196"/>
      <c r="G37" s="168"/>
      <c r="H37" s="196"/>
      <c r="I37" s="196"/>
      <c r="J37" s="196"/>
      <c r="K37" s="196"/>
      <c r="L37" s="168"/>
      <c r="M37" s="196"/>
      <c r="N37" s="196"/>
      <c r="O37" s="196"/>
      <c r="P37" s="196"/>
      <c r="Q37" s="168"/>
      <c r="R37" s="196"/>
      <c r="S37" s="196"/>
      <c r="T37" s="196"/>
      <c r="U37" s="196"/>
      <c r="V37" s="168"/>
      <c r="W37" s="196"/>
      <c r="X37" s="196"/>
      <c r="Y37" s="196"/>
      <c r="Z37" s="196"/>
      <c r="AA37" s="168"/>
      <c r="AB37" s="196"/>
      <c r="AC37" s="196"/>
      <c r="AD37" s="196"/>
      <c r="AE37" s="196"/>
      <c r="AF37" s="168"/>
      <c r="AG37" s="196"/>
      <c r="AH37" s="196"/>
      <c r="AI37" s="196"/>
      <c r="AJ37" s="196"/>
      <c r="AK37" s="169">
        <f>814-49</f>
        <v>765</v>
      </c>
      <c r="AL37" s="116"/>
      <c r="AM37" s="116"/>
      <c r="AN37" s="116"/>
      <c r="AO37" s="116"/>
      <c r="AP37" s="169">
        <f>950-74</f>
        <v>876</v>
      </c>
      <c r="AQ37" s="197">
        <f>237-15+2</f>
        <v>224</v>
      </c>
      <c r="AR37" s="116">
        <f>246-12+2</f>
        <v>236</v>
      </c>
      <c r="AS37" s="116">
        <f>244-12+4</f>
        <v>236</v>
      </c>
      <c r="AT37" s="116">
        <f>264-13+5</f>
        <v>256</v>
      </c>
      <c r="AU37" s="144">
        <f>SUM(AQ37:AT37)</f>
        <v>952</v>
      </c>
      <c r="AV37" s="197">
        <f>249-14+3</f>
        <v>238</v>
      </c>
      <c r="AW37" s="100">
        <f>278+5-17</f>
        <v>266</v>
      </c>
      <c r="AX37" s="100">
        <f>284-16</f>
        <v>268</v>
      </c>
      <c r="AY37" s="100">
        <f>299-18</f>
        <v>281</v>
      </c>
      <c r="AZ37" s="144">
        <f>SUM(AV37:AY37)</f>
        <v>1053</v>
      </c>
      <c r="BA37" s="100">
        <f>296-18</f>
        <v>278</v>
      </c>
      <c r="BB37" s="100">
        <f>318-22</f>
        <v>296</v>
      </c>
      <c r="BC37" s="100">
        <f>325-21</f>
        <v>304</v>
      </c>
      <c r="BD37" s="100">
        <f>328-24</f>
        <v>304</v>
      </c>
      <c r="BE37" s="144">
        <f>SUM(BA37:BD37)</f>
        <v>1182</v>
      </c>
      <c r="BF37" s="100">
        <f>317-30</f>
        <v>287</v>
      </c>
      <c r="BG37" s="100">
        <f>335-34</f>
        <v>301</v>
      </c>
      <c r="BH37" s="100">
        <f>346-38</f>
        <v>308</v>
      </c>
      <c r="BI37" s="100">
        <f>366-40</f>
        <v>326</v>
      </c>
      <c r="BJ37" s="144">
        <f>SUM(BF37:BI37)</f>
        <v>1222</v>
      </c>
      <c r="BK37" s="100">
        <f>351-38</f>
        <v>313</v>
      </c>
      <c r="BL37" s="145">
        <f>BL39*BL$14</f>
        <v>328.52404868543658</v>
      </c>
      <c r="BM37" s="145">
        <f>BM39*BM$14</f>
        <v>302.42960252250339</v>
      </c>
      <c r="BN37" s="145">
        <f>BN39*BN$14</f>
        <v>341.40267553249373</v>
      </c>
      <c r="BO37" s="144">
        <f>SUM(BK37:BN37)</f>
        <v>1285.3563267404338</v>
      </c>
      <c r="BP37" s="145">
        <f>BP39*BP$14</f>
        <v>341.26929034258495</v>
      </c>
      <c r="BQ37" s="145">
        <f>BQ39*BQ$14</f>
        <v>335.22471305219506</v>
      </c>
      <c r="BR37" s="145">
        <f>BR39*BR$14</f>
        <v>330.08756362467841</v>
      </c>
      <c r="BS37" s="145">
        <f>BS39*BS$14</f>
        <v>371.94023278089043</v>
      </c>
      <c r="BT37" s="144">
        <f>SUM(BP37:BS37)</f>
        <v>1378.5217998003488</v>
      </c>
      <c r="BU37" s="145">
        <f>BU39*BU$14</f>
        <v>365.56097112869276</v>
      </c>
      <c r="BV37" s="145">
        <f>BV39*BV$14</f>
        <v>358.44768191862465</v>
      </c>
      <c r="BW37" s="145">
        <f>BW39*BW$14</f>
        <v>345.35736549658202</v>
      </c>
      <c r="BX37" s="145">
        <f>BX39*BX$14</f>
        <v>389.39482730906923</v>
      </c>
      <c r="BY37" s="144">
        <f>SUM(BU37:BX37)</f>
        <v>1458.7608458529685</v>
      </c>
      <c r="BZ37" s="145">
        <f>BZ39*BZ$14</f>
        <v>373.495787897377</v>
      </c>
      <c r="CA37" s="145">
        <f>CA39*CA$14</f>
        <v>363.91453253154708</v>
      </c>
      <c r="CB37" s="145">
        <f>CB39*CB$14</f>
        <v>350.65045094675219</v>
      </c>
      <c r="CC37" s="145">
        <f>CC39*CC$14</f>
        <v>394.20010510880769</v>
      </c>
      <c r="CD37" s="144">
        <f>SUM(BZ37:CC37)</f>
        <v>1482.260876484484</v>
      </c>
      <c r="CE37" s="198"/>
      <c r="CL37" s="160"/>
      <c r="CM37" s="160"/>
    </row>
    <row r="38" spans="1:91" ht="12" customHeight="1">
      <c r="A38" s="172"/>
      <c r="B38" s="138" t="s">
        <v>21</v>
      </c>
      <c r="C38" s="139"/>
      <c r="D38" s="139"/>
      <c r="E38" s="139"/>
      <c r="F38" s="139"/>
      <c r="G38" s="140"/>
      <c r="H38" s="139"/>
      <c r="I38" s="139"/>
      <c r="J38" s="139"/>
      <c r="K38" s="139"/>
      <c r="L38" s="140"/>
      <c r="M38" s="139"/>
      <c r="N38" s="139"/>
      <c r="O38" s="139"/>
      <c r="P38" s="139"/>
      <c r="Q38" s="140"/>
      <c r="R38" s="139"/>
      <c r="S38" s="139"/>
      <c r="T38" s="139"/>
      <c r="U38" s="139"/>
      <c r="V38" s="140"/>
      <c r="W38" s="139"/>
      <c r="X38" s="139"/>
      <c r="Y38" s="139"/>
      <c r="Z38" s="139"/>
      <c r="AA38" s="140"/>
      <c r="AB38" s="139"/>
      <c r="AC38" s="139"/>
      <c r="AD38" s="139"/>
      <c r="AE38" s="139"/>
      <c r="AF38" s="140"/>
      <c r="AG38" s="139"/>
      <c r="AH38" s="139"/>
      <c r="AI38" s="139"/>
      <c r="AJ38" s="139"/>
      <c r="AK38" s="140"/>
      <c r="AL38" s="139"/>
      <c r="AM38" s="139"/>
      <c r="AN38" s="139"/>
      <c r="AO38" s="139"/>
      <c r="AP38" s="140">
        <f>IF(ISERROR(AP37/AK37-1), "NM", (AP37/AK37-1))</f>
        <v>0.1450980392156862</v>
      </c>
      <c r="AQ38" s="139" t="str">
        <f>IF(ISERROR(AQ37/AL37-1), "NM", (AQ37/AL37-1))</f>
        <v>NM</v>
      </c>
      <c r="AR38" s="139" t="str">
        <f>IF(ISERROR(AR37/AM37-1), "NM", (AR37/AM37-1))</f>
        <v>NM</v>
      </c>
      <c r="AS38" s="139" t="str">
        <f>IF(ISERROR(AS37/AN37-1), "NM", (AS37/AN37-1))</f>
        <v>NM</v>
      </c>
      <c r="AT38" s="139" t="str">
        <f>IF(ISERROR(AT37/AO37-1), "NM", (AT37/AO37-1))</f>
        <v>NM</v>
      </c>
      <c r="AU38" s="140">
        <f t="shared" ref="AU38:CD38" si="9">IF(ISERROR(AU37/AP37-1), "NM", (AU37/AP37-1))</f>
        <v>8.6757990867579959E-2</v>
      </c>
      <c r="AV38" s="139">
        <f t="shared" si="9"/>
        <v>6.25E-2</v>
      </c>
      <c r="AW38" s="139">
        <f t="shared" si="9"/>
        <v>0.12711864406779672</v>
      </c>
      <c r="AX38" s="139">
        <f t="shared" si="9"/>
        <v>0.13559322033898313</v>
      </c>
      <c r="AY38" s="139">
        <f t="shared" si="9"/>
        <v>9.765625E-2</v>
      </c>
      <c r="AZ38" s="140">
        <f t="shared" si="9"/>
        <v>0.10609243697478998</v>
      </c>
      <c r="BA38" s="139">
        <f t="shared" si="9"/>
        <v>0.16806722689075637</v>
      </c>
      <c r="BB38" s="139">
        <f t="shared" si="9"/>
        <v>0.11278195488721798</v>
      </c>
      <c r="BC38" s="139">
        <f t="shared" si="9"/>
        <v>0.13432835820895517</v>
      </c>
      <c r="BD38" s="139">
        <f t="shared" si="9"/>
        <v>8.1850533807829251E-2</v>
      </c>
      <c r="BE38" s="140">
        <f t="shared" si="9"/>
        <v>0.12250712250712259</v>
      </c>
      <c r="BF38" s="139">
        <f t="shared" si="9"/>
        <v>3.2374100719424481E-2</v>
      </c>
      <c r="BG38" s="139">
        <f t="shared" si="9"/>
        <v>1.6891891891891886E-2</v>
      </c>
      <c r="BH38" s="139">
        <f t="shared" si="9"/>
        <v>1.3157894736842035E-2</v>
      </c>
      <c r="BI38" s="139">
        <f t="shared" si="9"/>
        <v>7.2368421052631637E-2</v>
      </c>
      <c r="BJ38" s="140">
        <f t="shared" si="9"/>
        <v>3.384094754653133E-2</v>
      </c>
      <c r="BK38" s="139">
        <f t="shared" si="9"/>
        <v>9.0592334494773441E-2</v>
      </c>
      <c r="BL38" s="139">
        <f t="shared" si="9"/>
        <v>9.1442022210752816E-2</v>
      </c>
      <c r="BM38" s="139">
        <f t="shared" si="9"/>
        <v>-1.8085706095768206E-2</v>
      </c>
      <c r="BN38" s="139">
        <f t="shared" si="9"/>
        <v>4.7247470958569737E-2</v>
      </c>
      <c r="BO38" s="140">
        <f t="shared" si="9"/>
        <v>5.1846421227850881E-2</v>
      </c>
      <c r="BP38" s="139">
        <f t="shared" si="9"/>
        <v>9.0317221541804882E-2</v>
      </c>
      <c r="BQ38" s="139">
        <f t="shared" si="9"/>
        <v>2.0396267468304474E-2</v>
      </c>
      <c r="BR38" s="139">
        <f t="shared" si="9"/>
        <v>9.1452559112883192E-2</v>
      </c>
      <c r="BS38" s="139">
        <f t="shared" si="9"/>
        <v>8.9447328439258955E-2</v>
      </c>
      <c r="BT38" s="140">
        <f t="shared" si="9"/>
        <v>7.2482214559269842E-2</v>
      </c>
      <c r="BU38" s="139">
        <f t="shared" si="9"/>
        <v>7.1180388841089348E-2</v>
      </c>
      <c r="BV38" s="139">
        <f t="shared" si="9"/>
        <v>6.9275825922815448E-2</v>
      </c>
      <c r="BW38" s="139">
        <f t="shared" si="9"/>
        <v>4.6259852095688059E-2</v>
      </c>
      <c r="BX38" s="139">
        <f t="shared" si="9"/>
        <v>4.6928492778734343E-2</v>
      </c>
      <c r="BY38" s="140">
        <f t="shared" si="9"/>
        <v>5.8206584810077455E-2</v>
      </c>
      <c r="BZ38" s="139">
        <f t="shared" si="9"/>
        <v>2.1705864124895502E-2</v>
      </c>
      <c r="CA38" s="139">
        <f t="shared" si="9"/>
        <v>1.5251460362808222E-2</v>
      </c>
      <c r="CB38" s="139">
        <f t="shared" si="9"/>
        <v>1.5326400937067941E-2</v>
      </c>
      <c r="CC38" s="139">
        <f t="shared" si="9"/>
        <v>1.2340373992498987E-2</v>
      </c>
      <c r="CD38" s="140">
        <f t="shared" si="9"/>
        <v>1.6109584170923119E-2</v>
      </c>
      <c r="CE38" s="174"/>
      <c r="CL38" s="160"/>
      <c r="CM38" s="160"/>
    </row>
    <row r="39" spans="1:91" ht="12" customHeight="1">
      <c r="A39" s="172"/>
      <c r="B39" s="199" t="s">
        <v>129</v>
      </c>
      <c r="C39" s="139"/>
      <c r="D39" s="139"/>
      <c r="E39" s="139"/>
      <c r="F39" s="139"/>
      <c r="G39" s="140"/>
      <c r="H39" s="139"/>
      <c r="I39" s="139"/>
      <c r="J39" s="139"/>
      <c r="K39" s="139"/>
      <c r="L39" s="140"/>
      <c r="M39" s="139"/>
      <c r="N39" s="139"/>
      <c r="O39" s="139"/>
      <c r="P39" s="139"/>
      <c r="Q39" s="140"/>
      <c r="R39" s="139"/>
      <c r="S39" s="139"/>
      <c r="T39" s="139"/>
      <c r="U39" s="139"/>
      <c r="V39" s="140"/>
      <c r="W39" s="139"/>
      <c r="X39" s="139"/>
      <c r="Y39" s="139"/>
      <c r="Z39" s="139"/>
      <c r="AA39" s="140"/>
      <c r="AB39" s="139"/>
      <c r="AC39" s="139"/>
      <c r="AD39" s="139"/>
      <c r="AE39" s="139"/>
      <c r="AF39" s="140"/>
      <c r="AG39" s="139"/>
      <c r="AH39" s="139"/>
      <c r="AI39" s="139"/>
      <c r="AJ39" s="139"/>
      <c r="AK39" s="140">
        <f>AK37/AK$14</f>
        <v>0.13511126810314378</v>
      </c>
      <c r="AL39" s="139"/>
      <c r="AM39" s="139"/>
      <c r="AN39" s="139"/>
      <c r="AO39" s="139"/>
      <c r="AP39" s="140">
        <f t="shared" ref="AP39:BH39" si="10">AP37/AP$14</f>
        <v>0.1302214954660324</v>
      </c>
      <c r="AQ39" s="173">
        <f t="shared" si="10"/>
        <v>0.11972207375734902</v>
      </c>
      <c r="AR39" s="139">
        <f t="shared" si="10"/>
        <v>0.11913175164058556</v>
      </c>
      <c r="AS39" s="139">
        <f t="shared" si="10"/>
        <v>0.11973617453069507</v>
      </c>
      <c r="AT39" s="139">
        <f t="shared" si="10"/>
        <v>0.11694837825491092</v>
      </c>
      <c r="AU39" s="140">
        <f t="shared" si="10"/>
        <v>0.11882176734897654</v>
      </c>
      <c r="AV39" s="173">
        <f t="shared" si="10"/>
        <v>0.11152764761012184</v>
      </c>
      <c r="AW39" s="173">
        <f t="shared" si="10"/>
        <v>0.11600523331879634</v>
      </c>
      <c r="AX39" s="173">
        <f t="shared" si="10"/>
        <v>0.11868910540301152</v>
      </c>
      <c r="AY39" s="173">
        <f t="shared" si="10"/>
        <v>0.10993740219092332</v>
      </c>
      <c r="AZ39" s="140">
        <f t="shared" si="10"/>
        <v>0.11386245674740485</v>
      </c>
      <c r="BA39" s="173">
        <f t="shared" si="10"/>
        <v>0.10927672955974843</v>
      </c>
      <c r="BB39" s="173">
        <f t="shared" si="10"/>
        <v>0.11169811320754718</v>
      </c>
      <c r="BC39" s="173">
        <f t="shared" si="10"/>
        <v>0.11398575178102738</v>
      </c>
      <c r="BD39" s="173">
        <f t="shared" si="10"/>
        <v>0.10197920161019793</v>
      </c>
      <c r="BE39" s="140">
        <f t="shared" si="10"/>
        <v>0.10902047592695074</v>
      </c>
      <c r="BF39" s="173">
        <f t="shared" si="10"/>
        <v>9.6470588235294114E-2</v>
      </c>
      <c r="BG39" s="173">
        <f t="shared" si="10"/>
        <v>9.5982142857142863E-2</v>
      </c>
      <c r="BH39" s="173">
        <f t="shared" si="10"/>
        <v>9.5091077493053414E-2</v>
      </c>
      <c r="BI39" s="173">
        <f t="shared" ref="BI39" si="11">BI37/BI$14</f>
        <v>8.7989203778677458E-2</v>
      </c>
      <c r="BJ39" s="140">
        <f>BJ37/BJ$14</f>
        <v>9.3603983148219078E-2</v>
      </c>
      <c r="BK39" s="173">
        <f t="shared" ref="BK39" si="12">BK37/BK$14</f>
        <v>8.4938941655359562E-2</v>
      </c>
      <c r="BL39" s="173">
        <f>CHOOSE(_Switch,BL40,BL41,BL42)</f>
        <v>8.5982142857142868E-2</v>
      </c>
      <c r="BM39" s="173">
        <f>CHOOSE(_Switch,BM40,BM41,BM42)</f>
        <v>8.2591077493053416E-2</v>
      </c>
      <c r="BN39" s="173">
        <f>CHOOSE(_Switch,BN40,BN41,BN42)</f>
        <v>8.0489203778677465E-2</v>
      </c>
      <c r="BO39" s="140">
        <f>BO37/BO$14</f>
        <v>8.3414825272771054E-2</v>
      </c>
      <c r="BP39" s="173">
        <f>CHOOSE(_Switch,BP40,BP41,BP42)</f>
        <v>8.3592334494773435E-2</v>
      </c>
      <c r="BQ39" s="173">
        <f>CHOOSE(_Switch,BQ40,BQ41,BQ42)</f>
        <v>7.8982142857142862E-2</v>
      </c>
      <c r="BR39" s="173">
        <f>CHOOSE(_Switch,BR40,BR41,BR42)</f>
        <v>7.559107749305341E-2</v>
      </c>
      <c r="BS39" s="173">
        <f>CHOOSE(_Switch,BS40,BS41,BS42)</f>
        <v>7.3489203778677459E-2</v>
      </c>
      <c r="BT39" s="140">
        <f>BT37/BT$14</f>
        <v>7.7642375190147009E-2</v>
      </c>
      <c r="BU39" s="173">
        <f>CHOOSE(_Switch,BU40,BU41,BU42)</f>
        <v>7.6592334494773429E-2</v>
      </c>
      <c r="BV39" s="173">
        <f>CHOOSE(_Switch,BV40,BV41,BV42)</f>
        <v>7.1982142857142856E-2</v>
      </c>
      <c r="BW39" s="173">
        <f>CHOOSE(_Switch,BW40,BW41,BW42)</f>
        <v>6.8591077493053404E-2</v>
      </c>
      <c r="BX39" s="173">
        <f>CHOOSE(_Switch,BX40,BX41,BX42)</f>
        <v>6.6489203778677453E-2</v>
      </c>
      <c r="BY39" s="140">
        <f>BY37/BY$14</f>
        <v>7.0662634611996469E-2</v>
      </c>
      <c r="BZ39" s="173">
        <f>CHOOSE(_Switch,BZ40,BZ41,BZ42)</f>
        <v>6.8092334494773421E-2</v>
      </c>
      <c r="CA39" s="173">
        <f>CHOOSE(_Switch,CA40,CA41,CA42)</f>
        <v>6.3482142857142848E-2</v>
      </c>
      <c r="CB39" s="173">
        <f>CHOOSE(_Switch,CB40,CB41,CB42)</f>
        <v>6.0091077493053403E-2</v>
      </c>
      <c r="CC39" s="173">
        <f>CHOOSE(_Switch,CC40,CC41,CC42)</f>
        <v>5.7989203778677452E-2</v>
      </c>
      <c r="CD39" s="140">
        <f>CD37/CD$14</f>
        <v>6.214716113466854E-2</v>
      </c>
      <c r="CE39" s="174"/>
      <c r="CL39" s="160"/>
      <c r="CM39" s="160"/>
    </row>
    <row r="40" spans="1:91" ht="12" customHeight="1" outlineLevel="1">
      <c r="A40" s="172"/>
      <c r="B40" s="185" t="s">
        <v>121</v>
      </c>
      <c r="C40" s="186"/>
      <c r="D40" s="186"/>
      <c r="E40" s="186"/>
      <c r="F40" s="186"/>
      <c r="G40" s="187"/>
      <c r="H40" s="186"/>
      <c r="I40" s="186"/>
      <c r="J40" s="186"/>
      <c r="K40" s="186"/>
      <c r="L40" s="187"/>
      <c r="M40" s="186"/>
      <c r="N40" s="186"/>
      <c r="O40" s="186"/>
      <c r="P40" s="186"/>
      <c r="Q40" s="187"/>
      <c r="R40" s="186"/>
      <c r="S40" s="186"/>
      <c r="T40" s="186"/>
      <c r="U40" s="186"/>
      <c r="V40" s="187"/>
      <c r="W40" s="186"/>
      <c r="X40" s="186"/>
      <c r="Y40" s="186"/>
      <c r="Z40" s="186"/>
      <c r="AA40" s="187"/>
      <c r="AB40" s="186"/>
      <c r="AC40" s="186"/>
      <c r="AD40" s="186"/>
      <c r="AE40" s="186"/>
      <c r="AF40" s="187"/>
      <c r="AG40" s="186"/>
      <c r="AH40" s="186"/>
      <c r="AI40" s="186"/>
      <c r="AJ40" s="186"/>
      <c r="AK40" s="188"/>
      <c r="AL40" s="186"/>
      <c r="AM40" s="186"/>
      <c r="AN40" s="186"/>
      <c r="AO40" s="186"/>
      <c r="AP40" s="184"/>
      <c r="AQ40" s="186"/>
      <c r="AR40" s="186"/>
      <c r="AS40" s="186"/>
      <c r="AT40" s="186"/>
      <c r="AU40" s="184"/>
      <c r="AV40" s="186"/>
      <c r="AW40" s="186"/>
      <c r="AX40" s="186"/>
      <c r="AY40" s="186"/>
      <c r="AZ40" s="184"/>
      <c r="BA40" s="186"/>
      <c r="BB40" s="186"/>
      <c r="BC40" s="186"/>
      <c r="BD40" s="186"/>
      <c r="BE40" s="184"/>
      <c r="BF40" s="186"/>
      <c r="BG40" s="186"/>
      <c r="BH40" s="186"/>
      <c r="BI40" s="186"/>
      <c r="BJ40" s="184"/>
      <c r="BK40" s="186"/>
      <c r="BL40" s="200">
        <f>BL41-0.005</f>
        <v>8.0982142857142864E-2</v>
      </c>
      <c r="BM40" s="200">
        <f>BM41-0.005</f>
        <v>7.7591077493053412E-2</v>
      </c>
      <c r="BN40" s="200">
        <f>BN41-0.005</f>
        <v>7.5489203778677461E-2</v>
      </c>
      <c r="BO40" s="184"/>
      <c r="BP40" s="200">
        <f>BP41-0.0035</f>
        <v>8.0092334494773432E-2</v>
      </c>
      <c r="BQ40" s="200">
        <f>BQ41-0.0035</f>
        <v>7.5482142857142859E-2</v>
      </c>
      <c r="BR40" s="200">
        <f>BR41-0.0035</f>
        <v>7.2091077493053407E-2</v>
      </c>
      <c r="BS40" s="200">
        <f>BS41-0.0035</f>
        <v>6.9989203778677456E-2</v>
      </c>
      <c r="BT40" s="184"/>
      <c r="BU40" s="200">
        <f>BU41-0.0035</f>
        <v>7.3092334494773425E-2</v>
      </c>
      <c r="BV40" s="200">
        <f>BV41-0.0035</f>
        <v>6.8482142857142853E-2</v>
      </c>
      <c r="BW40" s="200">
        <f>BW41-0.0035</f>
        <v>6.5091077493053401E-2</v>
      </c>
      <c r="BX40" s="200">
        <f>BX41-0.0035</f>
        <v>6.2989203778677449E-2</v>
      </c>
      <c r="BY40" s="184"/>
      <c r="BZ40" s="200">
        <f>BZ41-0.0035</f>
        <v>6.4592334494773418E-2</v>
      </c>
      <c r="CA40" s="200">
        <f>CA41-0.0035</f>
        <v>5.9982142857142845E-2</v>
      </c>
      <c r="CB40" s="200">
        <f>CB41-0.0035</f>
        <v>5.65910774930534E-2</v>
      </c>
      <c r="CC40" s="200">
        <f>CC41-0.0035</f>
        <v>5.4489203778677449E-2</v>
      </c>
      <c r="CD40" s="184"/>
      <c r="CE40" s="174"/>
      <c r="CL40" s="160"/>
      <c r="CM40" s="160"/>
    </row>
    <row r="41" spans="1:91" ht="12" customHeight="1" outlineLevel="1">
      <c r="A41" s="172"/>
      <c r="B41" s="185" t="s">
        <v>122</v>
      </c>
      <c r="C41" s="186"/>
      <c r="D41" s="186"/>
      <c r="E41" s="186"/>
      <c r="F41" s="186"/>
      <c r="G41" s="187"/>
      <c r="H41" s="186"/>
      <c r="I41" s="186"/>
      <c r="J41" s="186"/>
      <c r="K41" s="186"/>
      <c r="L41" s="187"/>
      <c r="M41" s="186"/>
      <c r="N41" s="186"/>
      <c r="O41" s="186"/>
      <c r="P41" s="186"/>
      <c r="Q41" s="187"/>
      <c r="R41" s="186"/>
      <c r="S41" s="186"/>
      <c r="T41" s="186"/>
      <c r="U41" s="186"/>
      <c r="V41" s="187"/>
      <c r="W41" s="186"/>
      <c r="X41" s="186"/>
      <c r="Y41" s="186"/>
      <c r="Z41" s="186"/>
      <c r="AA41" s="187"/>
      <c r="AB41" s="186"/>
      <c r="AC41" s="186"/>
      <c r="AD41" s="186"/>
      <c r="AE41" s="186"/>
      <c r="AF41" s="187"/>
      <c r="AG41" s="186"/>
      <c r="AH41" s="186"/>
      <c r="AI41" s="186"/>
      <c r="AJ41" s="186"/>
      <c r="AK41" s="188"/>
      <c r="AL41" s="186"/>
      <c r="AM41" s="186"/>
      <c r="AN41" s="186"/>
      <c r="AO41" s="186"/>
      <c r="AP41" s="184"/>
      <c r="AQ41" s="186"/>
      <c r="AR41" s="186"/>
      <c r="AS41" s="186"/>
      <c r="AT41" s="186"/>
      <c r="AU41" s="184"/>
      <c r="AV41" s="186"/>
      <c r="AW41" s="186"/>
      <c r="AX41" s="186"/>
      <c r="AY41" s="186"/>
      <c r="AZ41" s="184"/>
      <c r="BA41" s="186"/>
      <c r="BB41" s="186"/>
      <c r="BC41" s="186"/>
      <c r="BD41" s="186"/>
      <c r="BE41" s="184"/>
      <c r="BF41" s="186"/>
      <c r="BG41" s="201"/>
      <c r="BH41" s="201"/>
      <c r="BI41" s="201"/>
      <c r="BJ41" s="184"/>
      <c r="BK41" s="186"/>
      <c r="BL41" s="200">
        <f>+BG39-0.01</f>
        <v>8.5982142857142868E-2</v>
      </c>
      <c r="BM41" s="200">
        <f>+BH39-0.0125</f>
        <v>8.2591077493053416E-2</v>
      </c>
      <c r="BN41" s="200">
        <f>+BI39-0.0075</f>
        <v>8.0489203778677465E-2</v>
      </c>
      <c r="BO41" s="184"/>
      <c r="BP41" s="200">
        <f>+BK38-0.007</f>
        <v>8.3592334494773435E-2</v>
      </c>
      <c r="BQ41" s="200">
        <f t="shared" ref="BQ41:BS41" si="13">+BL41-0.007</f>
        <v>7.8982142857142862E-2</v>
      </c>
      <c r="BR41" s="200">
        <f t="shared" si="13"/>
        <v>7.559107749305341E-2</v>
      </c>
      <c r="BS41" s="200">
        <f t="shared" si="13"/>
        <v>7.3489203778677459E-2</v>
      </c>
      <c r="BT41" s="184"/>
      <c r="BU41" s="200">
        <f>+BP41-0.007</f>
        <v>7.6592334494773429E-2</v>
      </c>
      <c r="BV41" s="200">
        <f t="shared" ref="BV41:BX41" si="14">+BQ41-0.007</f>
        <v>7.1982142857142856E-2</v>
      </c>
      <c r="BW41" s="200">
        <f t="shared" si="14"/>
        <v>6.8591077493053404E-2</v>
      </c>
      <c r="BX41" s="200">
        <f t="shared" si="14"/>
        <v>6.6489203778677453E-2</v>
      </c>
      <c r="BY41" s="184"/>
      <c r="BZ41" s="200">
        <f>+BU41-0.0085</f>
        <v>6.8092334494773421E-2</v>
      </c>
      <c r="CA41" s="200">
        <f t="shared" ref="CA41:CC41" si="15">+BV41-0.0085</f>
        <v>6.3482142857142848E-2</v>
      </c>
      <c r="CB41" s="200">
        <f t="shared" si="15"/>
        <v>6.0091077493053403E-2</v>
      </c>
      <c r="CC41" s="200">
        <f t="shared" si="15"/>
        <v>5.7989203778677452E-2</v>
      </c>
      <c r="CD41" s="184"/>
      <c r="CE41" s="174"/>
      <c r="CL41" s="160"/>
      <c r="CM41" s="160"/>
    </row>
    <row r="42" spans="1:91" ht="12" customHeight="1" outlineLevel="1">
      <c r="A42" s="172"/>
      <c r="B42" s="185" t="s">
        <v>123</v>
      </c>
      <c r="C42" s="186"/>
      <c r="D42" s="186"/>
      <c r="E42" s="186"/>
      <c r="F42" s="186"/>
      <c r="G42" s="187"/>
      <c r="H42" s="186"/>
      <c r="I42" s="186"/>
      <c r="J42" s="186"/>
      <c r="K42" s="186"/>
      <c r="L42" s="187"/>
      <c r="M42" s="186"/>
      <c r="N42" s="186"/>
      <c r="O42" s="186"/>
      <c r="P42" s="186"/>
      <c r="Q42" s="187"/>
      <c r="R42" s="186"/>
      <c r="S42" s="186"/>
      <c r="T42" s="186"/>
      <c r="U42" s="186"/>
      <c r="V42" s="187"/>
      <c r="W42" s="186"/>
      <c r="X42" s="186"/>
      <c r="Y42" s="186"/>
      <c r="Z42" s="186"/>
      <c r="AA42" s="187"/>
      <c r="AB42" s="186"/>
      <c r="AC42" s="186"/>
      <c r="AD42" s="186"/>
      <c r="AE42" s="186"/>
      <c r="AF42" s="187"/>
      <c r="AG42" s="186"/>
      <c r="AH42" s="186"/>
      <c r="AI42" s="186"/>
      <c r="AJ42" s="186"/>
      <c r="AK42" s="188"/>
      <c r="AL42" s="186"/>
      <c r="AM42" s="186"/>
      <c r="AN42" s="186"/>
      <c r="AO42" s="186"/>
      <c r="AP42" s="184"/>
      <c r="AQ42" s="186"/>
      <c r="AR42" s="186"/>
      <c r="AS42" s="186"/>
      <c r="AT42" s="186"/>
      <c r="AU42" s="184"/>
      <c r="AV42" s="186"/>
      <c r="AW42" s="186"/>
      <c r="AX42" s="186"/>
      <c r="AY42" s="186"/>
      <c r="AZ42" s="184"/>
      <c r="BA42" s="186"/>
      <c r="BB42" s="186"/>
      <c r="BC42" s="186"/>
      <c r="BD42" s="186"/>
      <c r="BE42" s="184"/>
      <c r="BF42" s="186"/>
      <c r="BG42" s="186"/>
      <c r="BH42" s="186"/>
      <c r="BI42" s="186"/>
      <c r="BJ42" s="184"/>
      <c r="BK42" s="186"/>
      <c r="BL42" s="200">
        <f>+BL41*0.98</f>
        <v>8.4262500000000004E-2</v>
      </c>
      <c r="BM42" s="200">
        <f>+BM41*0.98</f>
        <v>8.0939255943192345E-2</v>
      </c>
      <c r="BN42" s="200">
        <f>+BN41*0.98</f>
        <v>7.8879419703103915E-2</v>
      </c>
      <c r="BO42" s="184"/>
      <c r="BP42" s="200">
        <f>+BP41*0.98</f>
        <v>8.192048780487797E-2</v>
      </c>
      <c r="BQ42" s="200">
        <f>+BQ41*0.98</f>
        <v>7.7402499999999999E-2</v>
      </c>
      <c r="BR42" s="200">
        <f>+BR41*0.98</f>
        <v>7.407925594319234E-2</v>
      </c>
      <c r="BS42" s="200">
        <f>+BS41*0.98</f>
        <v>7.201941970310391E-2</v>
      </c>
      <c r="BT42" s="184"/>
      <c r="BU42" s="200">
        <f>+BU41*0.98</f>
        <v>7.5060487804877965E-2</v>
      </c>
      <c r="BV42" s="200">
        <f>+BV41*0.98</f>
        <v>7.0542499999999994E-2</v>
      </c>
      <c r="BW42" s="200">
        <f>+BW41*0.98</f>
        <v>6.7219255943192335E-2</v>
      </c>
      <c r="BX42" s="200">
        <f>+BX41*0.98</f>
        <v>6.5159419703103905E-2</v>
      </c>
      <c r="BY42" s="184"/>
      <c r="BZ42" s="200">
        <f>+BZ41*0.98</f>
        <v>6.6730487804877947E-2</v>
      </c>
      <c r="CA42" s="200">
        <f>+CA41*0.98</f>
        <v>6.221249999999999E-2</v>
      </c>
      <c r="CB42" s="200">
        <f>+CB41*0.98</f>
        <v>5.8889255943192331E-2</v>
      </c>
      <c r="CC42" s="200">
        <f>+CC41*0.98</f>
        <v>5.6829419703103901E-2</v>
      </c>
      <c r="CD42" s="184"/>
      <c r="CE42" s="174"/>
      <c r="CL42" s="160"/>
      <c r="CM42" s="160"/>
    </row>
    <row r="43" spans="1:91" ht="12.75" customHeight="1">
      <c r="A43" s="172"/>
      <c r="B43" s="163"/>
      <c r="C43" s="202"/>
      <c r="D43" s="202"/>
      <c r="E43" s="202"/>
      <c r="F43" s="203"/>
      <c r="G43" s="143"/>
      <c r="H43" s="202"/>
      <c r="I43" s="202"/>
      <c r="J43" s="202"/>
      <c r="K43" s="203"/>
      <c r="L43" s="143"/>
      <c r="M43" s="202"/>
      <c r="N43" s="202"/>
      <c r="O43" s="202"/>
      <c r="P43" s="203"/>
      <c r="Q43" s="143"/>
      <c r="R43" s="202"/>
      <c r="S43" s="202"/>
      <c r="T43" s="202"/>
      <c r="U43" s="203"/>
      <c r="V43" s="143"/>
      <c r="W43" s="202"/>
      <c r="X43" s="202"/>
      <c r="Y43" s="202"/>
      <c r="Z43" s="203"/>
      <c r="AA43" s="143"/>
      <c r="AB43" s="202"/>
      <c r="AC43" s="202"/>
      <c r="AD43" s="202"/>
      <c r="AE43" s="203"/>
      <c r="AF43" s="143"/>
      <c r="AG43" s="202"/>
      <c r="AH43" s="202"/>
      <c r="AI43" s="202"/>
      <c r="AJ43" s="203"/>
      <c r="AK43" s="144"/>
      <c r="AL43" s="204"/>
      <c r="AM43" s="204"/>
      <c r="AN43" s="204"/>
      <c r="AO43" s="203"/>
      <c r="AP43" s="144"/>
      <c r="AQ43" s="203"/>
      <c r="AR43" s="203"/>
      <c r="AS43" s="203"/>
      <c r="AT43" s="203"/>
      <c r="AU43" s="144"/>
      <c r="AV43" s="203"/>
      <c r="AW43" s="203"/>
      <c r="AX43" s="203"/>
      <c r="AY43" s="203"/>
      <c r="AZ43" s="144"/>
      <c r="BA43" s="203"/>
      <c r="BB43" s="203"/>
      <c r="BC43" s="203"/>
      <c r="BD43" s="203"/>
      <c r="BE43" s="144"/>
      <c r="BF43" s="203"/>
      <c r="BG43" s="203"/>
      <c r="BH43" s="203"/>
      <c r="BI43" s="203"/>
      <c r="BJ43" s="144"/>
      <c r="BK43" s="203"/>
      <c r="BL43" s="203"/>
      <c r="BM43" s="193"/>
      <c r="BN43" s="193"/>
      <c r="BO43" s="194"/>
      <c r="BP43" s="193"/>
      <c r="BQ43" s="193"/>
      <c r="BR43" s="193"/>
      <c r="BS43" s="193"/>
      <c r="BT43" s="194"/>
      <c r="BU43" s="193"/>
      <c r="BV43" s="193"/>
      <c r="BW43" s="193"/>
      <c r="BX43" s="193"/>
      <c r="BY43" s="194"/>
      <c r="BZ43" s="203"/>
      <c r="CA43" s="203"/>
      <c r="CB43" s="203"/>
      <c r="CC43" s="203"/>
      <c r="CD43" s="144"/>
      <c r="CE43" s="174"/>
      <c r="CL43" s="160"/>
      <c r="CM43" s="160"/>
    </row>
    <row r="44" spans="1:91" ht="12" customHeight="1">
      <c r="A44" s="195"/>
      <c r="B44" s="131" t="s">
        <v>130</v>
      </c>
      <c r="C44" s="196"/>
      <c r="D44" s="196"/>
      <c r="E44" s="196"/>
      <c r="F44" s="196"/>
      <c r="G44" s="168"/>
      <c r="H44" s="196"/>
      <c r="I44" s="196"/>
      <c r="J44" s="196"/>
      <c r="K44" s="196"/>
      <c r="L44" s="168"/>
      <c r="M44" s="196"/>
      <c r="N44" s="196"/>
      <c r="O44" s="196"/>
      <c r="P44" s="196"/>
      <c r="Q44" s="168"/>
      <c r="R44" s="196"/>
      <c r="S44" s="196"/>
      <c r="T44" s="196"/>
      <c r="U44" s="196"/>
      <c r="V44" s="168"/>
      <c r="W44" s="196"/>
      <c r="X44" s="196"/>
      <c r="Y44" s="196"/>
      <c r="Z44" s="196"/>
      <c r="AA44" s="168"/>
      <c r="AB44" s="196"/>
      <c r="AC44" s="196"/>
      <c r="AD44" s="196"/>
      <c r="AE44" s="196"/>
      <c r="AF44" s="168"/>
      <c r="AG44" s="196"/>
      <c r="AH44" s="196"/>
      <c r="AI44" s="196"/>
      <c r="AJ44" s="196"/>
      <c r="AK44" s="169">
        <f>662-43</f>
        <v>619</v>
      </c>
      <c r="AL44" s="116"/>
      <c r="AM44" s="116"/>
      <c r="AN44" s="116"/>
      <c r="AO44" s="116"/>
      <c r="AP44" s="169">
        <f>791-46</f>
        <v>745</v>
      </c>
      <c r="AQ44" s="197">
        <f>202-12-17</f>
        <v>173</v>
      </c>
      <c r="AR44" s="116">
        <f>239-14-15</f>
        <v>210</v>
      </c>
      <c r="AS44" s="116">
        <f>255-14-13</f>
        <v>228</v>
      </c>
      <c r="AT44" s="116">
        <f>258-19-15</f>
        <v>224</v>
      </c>
      <c r="AU44" s="144">
        <f>SUM(AQ44:AT44)</f>
        <v>835</v>
      </c>
      <c r="AV44" s="197">
        <f>222-13-13</f>
        <v>196</v>
      </c>
      <c r="AW44" s="100">
        <f>234-11-12</f>
        <v>211</v>
      </c>
      <c r="AX44" s="100">
        <f>226-18</f>
        <v>208</v>
      </c>
      <c r="AY44" s="100">
        <f>255-10</f>
        <v>245</v>
      </c>
      <c r="AZ44" s="144">
        <f>SUM(AV44:AY44)</f>
        <v>860</v>
      </c>
      <c r="BA44" s="100">
        <f>233-16</f>
        <v>217</v>
      </c>
      <c r="BB44" s="100">
        <f>250-22</f>
        <v>228</v>
      </c>
      <c r="BC44" s="100">
        <f>233-21</f>
        <v>212</v>
      </c>
      <c r="BD44" s="100">
        <f>253-25</f>
        <v>228</v>
      </c>
      <c r="BE44" s="144">
        <f>SUM(BA44:BD44)</f>
        <v>885</v>
      </c>
      <c r="BF44" s="100">
        <f>238-28</f>
        <v>210</v>
      </c>
      <c r="BG44" s="100">
        <f>284-33</f>
        <v>251</v>
      </c>
      <c r="BH44" s="100">
        <f>278-36</f>
        <v>242</v>
      </c>
      <c r="BI44" s="100">
        <f>328-43</f>
        <v>285</v>
      </c>
      <c r="BJ44" s="144">
        <f>SUM(BF44:BI44)</f>
        <v>988</v>
      </c>
      <c r="BK44" s="100">
        <f>285-44</f>
        <v>241</v>
      </c>
      <c r="BL44" s="145">
        <f>BL46*BL$14</f>
        <v>286.70923875039654</v>
      </c>
      <c r="BM44" s="145">
        <f>BM46*BM$14</f>
        <v>255.27822586830095</v>
      </c>
      <c r="BN44" s="145">
        <f>BN46*BN$14</f>
        <v>305.06862711161091</v>
      </c>
      <c r="BO44" s="144">
        <f>SUM(BK44:BN44)</f>
        <v>1088.0560917303083</v>
      </c>
      <c r="BP44" s="145">
        <f>BP46*BP$14</f>
        <v>246.58669807064425</v>
      </c>
      <c r="BQ44" s="145">
        <f>BQ46*BQ$14</f>
        <v>297.26412250405389</v>
      </c>
      <c r="BR44" s="145">
        <f>BR46*BR$14</f>
        <v>282.59187839939563</v>
      </c>
      <c r="BS44" s="145">
        <f>BS46*BS$14</f>
        <v>338.70804865632226</v>
      </c>
      <c r="BT44" s="144">
        <f>SUM(BP44:BS44)</f>
        <v>1165.1507476304159</v>
      </c>
      <c r="BU44" s="145">
        <f>BU46*BU$14</f>
        <v>264.41519424304875</v>
      </c>
      <c r="BV44" s="145">
        <f>BV46*BV$14</f>
        <v>323.8694280226577</v>
      </c>
      <c r="BW44" s="145">
        <f>BW46*BW$14</f>
        <v>300.66321811578888</v>
      </c>
      <c r="BX44" s="145">
        <f>BX46*BX$14</f>
        <v>362.65325007005782</v>
      </c>
      <c r="BY44" s="144">
        <f>SUM(BU44:BX44)</f>
        <v>1251.6010904515531</v>
      </c>
      <c r="BZ44" s="145">
        <f>BZ46*BZ$14</f>
        <v>276.45239666708392</v>
      </c>
      <c r="CA44" s="145">
        <f>CA46*CA$14</f>
        <v>344.17233366003455</v>
      </c>
      <c r="CB44" s="145">
        <f>CB46*CB$14</f>
        <v>319.27594172057144</v>
      </c>
      <c r="CC44" s="145">
        <f>CC46*CC$14</f>
        <v>386.95276782614638</v>
      </c>
      <c r="CD44" s="144">
        <f>SUM(BZ44:CC44)</f>
        <v>1326.8534398738361</v>
      </c>
      <c r="CE44" s="205"/>
      <c r="CL44" s="160"/>
      <c r="CM44" s="160"/>
    </row>
    <row r="45" spans="1:91" ht="12" customHeight="1">
      <c r="A45" s="172"/>
      <c r="B45" s="138" t="s">
        <v>21</v>
      </c>
      <c r="C45" s="139"/>
      <c r="D45" s="139"/>
      <c r="E45" s="139"/>
      <c r="F45" s="139"/>
      <c r="G45" s="140"/>
      <c r="H45" s="139"/>
      <c r="I45" s="139"/>
      <c r="J45" s="139"/>
      <c r="K45" s="139"/>
      <c r="L45" s="140"/>
      <c r="M45" s="139"/>
      <c r="N45" s="139"/>
      <c r="O45" s="139"/>
      <c r="P45" s="139"/>
      <c r="Q45" s="140"/>
      <c r="R45" s="139"/>
      <c r="S45" s="139"/>
      <c r="T45" s="139"/>
      <c r="U45" s="139"/>
      <c r="V45" s="140"/>
      <c r="W45" s="139"/>
      <c r="X45" s="139"/>
      <c r="Y45" s="139"/>
      <c r="Z45" s="139"/>
      <c r="AA45" s="140"/>
      <c r="AB45" s="139"/>
      <c r="AC45" s="139"/>
      <c r="AD45" s="139"/>
      <c r="AE45" s="139"/>
      <c r="AF45" s="140"/>
      <c r="AG45" s="139"/>
      <c r="AH45" s="139"/>
      <c r="AI45" s="139"/>
      <c r="AJ45" s="139"/>
      <c r="AK45" s="140"/>
      <c r="AL45" s="139"/>
      <c r="AM45" s="139"/>
      <c r="AN45" s="139"/>
      <c r="AO45" s="139"/>
      <c r="AP45" s="140">
        <f>IF(ISERROR(AP44/AK44-1), "NM", (AP44/AK44-1))</f>
        <v>0.20355411954765756</v>
      </c>
      <c r="AQ45" s="139" t="str">
        <f>IF(ISERROR(AQ44/AL44-1), "NM", (AQ44/AL44-1))</f>
        <v>NM</v>
      </c>
      <c r="AR45" s="139" t="str">
        <f>IF(ISERROR(AR44/AM44-1), "NM", (AR44/AM44-1))</f>
        <v>NM</v>
      </c>
      <c r="AS45" s="139" t="str">
        <f>IF(ISERROR(AS44/AN44-1), "NM", (AS44/AN44-1))</f>
        <v>NM</v>
      </c>
      <c r="AT45" s="139" t="str">
        <f>IF(ISERROR(AT44/AO44-1), "NM", (AT44/AO44-1))</f>
        <v>NM</v>
      </c>
      <c r="AU45" s="140">
        <f t="shared" ref="AU45:CD45" si="16">IF(ISERROR(AU44/AP44-1), "NM", (AU44/AP44-1))</f>
        <v>0.12080536912751683</v>
      </c>
      <c r="AV45" s="139">
        <f t="shared" si="16"/>
        <v>0.13294797687861282</v>
      </c>
      <c r="AW45" s="139">
        <f t="shared" si="16"/>
        <v>4.761904761904745E-3</v>
      </c>
      <c r="AX45" s="139">
        <f t="shared" si="16"/>
        <v>-8.7719298245614086E-2</v>
      </c>
      <c r="AY45" s="139">
        <f t="shared" si="16"/>
        <v>9.375E-2</v>
      </c>
      <c r="AZ45" s="140">
        <f t="shared" si="16"/>
        <v>2.9940119760478945E-2</v>
      </c>
      <c r="BA45" s="139">
        <f t="shared" si="16"/>
        <v>0.10714285714285721</v>
      </c>
      <c r="BB45" s="139">
        <f t="shared" si="16"/>
        <v>8.0568720379146974E-2</v>
      </c>
      <c r="BC45" s="139">
        <f t="shared" si="16"/>
        <v>1.9230769230769162E-2</v>
      </c>
      <c r="BD45" s="139">
        <f t="shared" si="16"/>
        <v>-6.9387755102040871E-2</v>
      </c>
      <c r="BE45" s="140">
        <f t="shared" si="16"/>
        <v>2.9069767441860517E-2</v>
      </c>
      <c r="BF45" s="139">
        <f t="shared" si="16"/>
        <v>-3.2258064516129004E-2</v>
      </c>
      <c r="BG45" s="139">
        <f t="shared" si="16"/>
        <v>0.10087719298245612</v>
      </c>
      <c r="BH45" s="139">
        <f t="shared" si="16"/>
        <v>0.14150943396226423</v>
      </c>
      <c r="BI45" s="139">
        <f t="shared" si="16"/>
        <v>0.25</v>
      </c>
      <c r="BJ45" s="140">
        <f t="shared" si="16"/>
        <v>0.11638418079096047</v>
      </c>
      <c r="BK45" s="139">
        <f t="shared" si="16"/>
        <v>0.14761904761904754</v>
      </c>
      <c r="BL45" s="139">
        <f t="shared" si="16"/>
        <v>0.14226788346771535</v>
      </c>
      <c r="BM45" s="139">
        <f t="shared" si="16"/>
        <v>5.4868701935127939E-2</v>
      </c>
      <c r="BN45" s="139">
        <f t="shared" si="16"/>
        <v>7.0416235479336509E-2</v>
      </c>
      <c r="BO45" s="140">
        <f t="shared" si="16"/>
        <v>0.10127134790517034</v>
      </c>
      <c r="BP45" s="139">
        <f t="shared" si="16"/>
        <v>2.3181319795204436E-2</v>
      </c>
      <c r="BQ45" s="139">
        <f t="shared" si="16"/>
        <v>3.6813894800391322E-2</v>
      </c>
      <c r="BR45" s="139">
        <f t="shared" si="16"/>
        <v>0.1069956218874144</v>
      </c>
      <c r="BS45" s="139">
        <f t="shared" si="16"/>
        <v>0.11026837424486846</v>
      </c>
      <c r="BT45" s="140">
        <f t="shared" si="16"/>
        <v>7.085540578841476E-2</v>
      </c>
      <c r="BU45" s="139">
        <f t="shared" si="16"/>
        <v>7.2301126994680054E-2</v>
      </c>
      <c r="BV45" s="139">
        <f t="shared" si="16"/>
        <v>8.9500560291264186E-2</v>
      </c>
      <c r="BW45" s="139">
        <f t="shared" si="16"/>
        <v>6.3948545933979251E-2</v>
      </c>
      <c r="BX45" s="139">
        <f t="shared" si="16"/>
        <v>7.0695696511281048E-2</v>
      </c>
      <c r="BY45" s="140">
        <f t="shared" si="16"/>
        <v>7.4196702012123694E-2</v>
      </c>
      <c r="BZ45" s="139">
        <f t="shared" si="16"/>
        <v>4.5523868091221109E-2</v>
      </c>
      <c r="CA45" s="139">
        <f t="shared" si="16"/>
        <v>6.2688552486517723E-2</v>
      </c>
      <c r="CB45" s="139">
        <f t="shared" si="16"/>
        <v>6.1905555729183215E-2</v>
      </c>
      <c r="CC45" s="139">
        <f t="shared" si="16"/>
        <v>6.7004825550010416E-2</v>
      </c>
      <c r="CD45" s="140">
        <f t="shared" si="16"/>
        <v>6.0124867257133285E-2</v>
      </c>
      <c r="CE45" s="174"/>
      <c r="CL45" s="160"/>
      <c r="CM45" s="160"/>
    </row>
    <row r="46" spans="1:91" ht="12" customHeight="1">
      <c r="A46" s="172"/>
      <c r="B46" s="199" t="s">
        <v>129</v>
      </c>
      <c r="C46" s="139"/>
      <c r="D46" s="139"/>
      <c r="E46" s="139"/>
      <c r="F46" s="139"/>
      <c r="G46" s="140"/>
      <c r="H46" s="139"/>
      <c r="I46" s="139"/>
      <c r="J46" s="139"/>
      <c r="K46" s="139"/>
      <c r="L46" s="140"/>
      <c r="M46" s="139"/>
      <c r="N46" s="139"/>
      <c r="O46" s="139"/>
      <c r="P46" s="139"/>
      <c r="Q46" s="140"/>
      <c r="R46" s="139"/>
      <c r="S46" s="139"/>
      <c r="T46" s="139"/>
      <c r="U46" s="139"/>
      <c r="V46" s="140"/>
      <c r="W46" s="139"/>
      <c r="X46" s="139"/>
      <c r="Y46" s="139"/>
      <c r="Z46" s="139"/>
      <c r="AA46" s="140"/>
      <c r="AB46" s="139"/>
      <c r="AC46" s="139"/>
      <c r="AD46" s="139"/>
      <c r="AE46" s="139"/>
      <c r="AF46" s="140"/>
      <c r="AG46" s="139"/>
      <c r="AH46" s="139"/>
      <c r="AI46" s="139"/>
      <c r="AJ46" s="139"/>
      <c r="AK46" s="140">
        <f>AK44/AK$14</f>
        <v>0.10932532673966797</v>
      </c>
      <c r="AL46" s="139"/>
      <c r="AM46" s="139"/>
      <c r="AN46" s="139"/>
      <c r="AO46" s="139"/>
      <c r="AP46" s="140">
        <f t="shared" ref="AP46:BH46" si="17">AP44/AP$14</f>
        <v>0.11074773301620336</v>
      </c>
      <c r="AQ46" s="173">
        <f t="shared" si="17"/>
        <v>9.2463923035809734E-2</v>
      </c>
      <c r="AR46" s="139">
        <f t="shared" si="17"/>
        <v>0.10600706713780919</v>
      </c>
      <c r="AS46" s="139">
        <f t="shared" si="17"/>
        <v>0.11567732115677321</v>
      </c>
      <c r="AT46" s="139">
        <f t="shared" si="17"/>
        <v>0.10232983097304706</v>
      </c>
      <c r="AU46" s="140">
        <f t="shared" si="17"/>
        <v>0.10421867199201199</v>
      </c>
      <c r="AV46" s="173">
        <f t="shared" si="17"/>
        <v>9.1846298031865045E-2</v>
      </c>
      <c r="AW46" s="173">
        <f t="shared" si="17"/>
        <v>9.2019188835586574E-2</v>
      </c>
      <c r="AX46" s="173">
        <f t="shared" si="17"/>
        <v>9.211691762621789E-2</v>
      </c>
      <c r="AY46" s="173">
        <f t="shared" si="17"/>
        <v>9.5852895148669792E-2</v>
      </c>
      <c r="AZ46" s="140">
        <f t="shared" si="17"/>
        <v>9.2993079584775082E-2</v>
      </c>
      <c r="BA46" s="173">
        <f t="shared" si="17"/>
        <v>8.5298742138364775E-2</v>
      </c>
      <c r="BB46" s="173">
        <f t="shared" si="17"/>
        <v>8.6037735849056607E-2</v>
      </c>
      <c r="BC46" s="173">
        <f t="shared" si="17"/>
        <v>7.9490063742032241E-2</v>
      </c>
      <c r="BD46" s="173">
        <f t="shared" si="17"/>
        <v>7.6484401207648434E-2</v>
      </c>
      <c r="BE46" s="140">
        <f t="shared" si="17"/>
        <v>8.162700608743774E-2</v>
      </c>
      <c r="BF46" s="173">
        <f t="shared" si="17"/>
        <v>7.0588235294117646E-2</v>
      </c>
      <c r="BG46" s="173">
        <f t="shared" si="17"/>
        <v>8.0038265306122444E-2</v>
      </c>
      <c r="BH46" s="173">
        <f t="shared" si="17"/>
        <v>7.4714418030256247E-2</v>
      </c>
      <c r="BI46" s="173">
        <f t="shared" ref="BI46" si="18">BI44/BI$14</f>
        <v>7.6923076923076927E-2</v>
      </c>
      <c r="BJ46" s="140">
        <f>BJ44/BJ$14</f>
        <v>7.567981616238989E-2</v>
      </c>
      <c r="BK46" s="173">
        <f t="shared" ref="BK46" si="19">BK44/BK$14</f>
        <v>6.5400271370420621E-2</v>
      </c>
      <c r="BL46" s="173">
        <f>CHOOSE(_Switch,BL47,BL48,BL49)</f>
        <v>7.503826530612244E-2</v>
      </c>
      <c r="BM46" s="173">
        <f>CHOOSE(_Switch,BM47,BM48,BM49)</f>
        <v>6.9714418030256242E-2</v>
      </c>
      <c r="BN46" s="173">
        <f>CHOOSE(_Switch,BN47,BN48,BN49)</f>
        <v>7.1923076923076923E-2</v>
      </c>
      <c r="BO46" s="140">
        <f>BO44/BO$14</f>
        <v>7.0610776864356614E-2</v>
      </c>
      <c r="BP46" s="173">
        <f>CHOOSE(_Switch,BP47,BP48,BP49)</f>
        <v>6.0400271370420623E-2</v>
      </c>
      <c r="BQ46" s="173">
        <f>CHOOSE(_Switch,BQ47,BQ48,BQ49)</f>
        <v>7.0038265306122435E-2</v>
      </c>
      <c r="BR46" s="173">
        <f>CHOOSE(_Switch,BR47,BR48,BR49)</f>
        <v>6.4714418030256238E-2</v>
      </c>
      <c r="BS46" s="173">
        <f>CHOOSE(_Switch,BS47,BS48,BS49)</f>
        <v>6.6923076923076918E-2</v>
      </c>
      <c r="BT46" s="140">
        <f>BT44/BT$14</f>
        <v>6.5624694156960817E-2</v>
      </c>
      <c r="BU46" s="173">
        <f>CHOOSE(_Switch,BU47,BU48,BU49)</f>
        <v>5.5400271370420626E-2</v>
      </c>
      <c r="BV46" s="173">
        <f>CHOOSE(_Switch,BV47,BV48,BV49)</f>
        <v>6.5038265306122431E-2</v>
      </c>
      <c r="BW46" s="173">
        <f>CHOOSE(_Switch,BW47,BW48,BW49)</f>
        <v>5.971441803025624E-2</v>
      </c>
      <c r="BX46" s="173">
        <f>CHOOSE(_Switch,BX47,BX48,BX49)</f>
        <v>6.1923076923076921E-2</v>
      </c>
      <c r="BY46" s="140">
        <f>BY44/BY$14</f>
        <v>6.0627779245638343E-2</v>
      </c>
      <c r="BZ46" s="173">
        <f>CHOOSE(_Switch,BZ47,BZ48,BZ49)</f>
        <v>5.0400271370420628E-2</v>
      </c>
      <c r="CA46" s="173">
        <f>CHOOSE(_Switch,CA47,CA48,CA49)</f>
        <v>6.0038265306122433E-2</v>
      </c>
      <c r="CB46" s="173">
        <f>CHOOSE(_Switch,CB47,CB48,CB49)</f>
        <v>5.4714418030256243E-2</v>
      </c>
      <c r="CC46" s="173">
        <f>CHOOSE(_Switch,CC47,CC48,CC49)</f>
        <v>5.6923076923076923E-2</v>
      </c>
      <c r="CD46" s="140">
        <f>CD44/CD$14</f>
        <v>5.5631350619940421E-2</v>
      </c>
      <c r="CE46" s="174"/>
      <c r="CL46" s="160"/>
      <c r="CM46" s="160"/>
    </row>
    <row r="47" spans="1:91" ht="12" customHeight="1" outlineLevel="1">
      <c r="A47" s="172"/>
      <c r="B47" s="185" t="s">
        <v>121</v>
      </c>
      <c r="C47" s="186"/>
      <c r="D47" s="186"/>
      <c r="E47" s="186"/>
      <c r="F47" s="186"/>
      <c r="G47" s="187"/>
      <c r="H47" s="186"/>
      <c r="I47" s="186"/>
      <c r="J47" s="186"/>
      <c r="K47" s="186"/>
      <c r="L47" s="187"/>
      <c r="M47" s="186"/>
      <c r="N47" s="186"/>
      <c r="O47" s="186"/>
      <c r="P47" s="186"/>
      <c r="Q47" s="187"/>
      <c r="R47" s="186"/>
      <c r="S47" s="186"/>
      <c r="T47" s="186"/>
      <c r="U47" s="186"/>
      <c r="V47" s="187"/>
      <c r="W47" s="186"/>
      <c r="X47" s="186"/>
      <c r="Y47" s="186"/>
      <c r="Z47" s="186"/>
      <c r="AA47" s="187"/>
      <c r="AB47" s="186"/>
      <c r="AC47" s="186"/>
      <c r="AD47" s="186"/>
      <c r="AE47" s="186"/>
      <c r="AF47" s="187"/>
      <c r="AG47" s="186"/>
      <c r="AH47" s="186"/>
      <c r="AI47" s="186"/>
      <c r="AJ47" s="186"/>
      <c r="AK47" s="188"/>
      <c r="AL47" s="186"/>
      <c r="AM47" s="186"/>
      <c r="AN47" s="186"/>
      <c r="AO47" s="186"/>
      <c r="AP47" s="184"/>
      <c r="AQ47" s="186"/>
      <c r="AR47" s="186"/>
      <c r="AS47" s="186"/>
      <c r="AT47" s="186"/>
      <c r="AU47" s="184"/>
      <c r="AV47" s="186"/>
      <c r="AW47" s="186"/>
      <c r="AX47" s="186"/>
      <c r="AY47" s="186"/>
      <c r="AZ47" s="184"/>
      <c r="BA47" s="186"/>
      <c r="BB47" s="186"/>
      <c r="BC47" s="186"/>
      <c r="BD47" s="186"/>
      <c r="BE47" s="184"/>
      <c r="BF47" s="186"/>
      <c r="BG47" s="186"/>
      <c r="BH47" s="186"/>
      <c r="BI47" s="186"/>
      <c r="BJ47" s="184"/>
      <c r="BK47" s="186"/>
      <c r="BL47" s="200">
        <f>BL48-0.002</f>
        <v>7.3038265306122438E-2</v>
      </c>
      <c r="BM47" s="200">
        <f>BM48-0.002</f>
        <v>6.771441803025624E-2</v>
      </c>
      <c r="BN47" s="200">
        <f>BN48-0.002</f>
        <v>6.9923076923076921E-2</v>
      </c>
      <c r="BO47" s="184"/>
      <c r="BP47" s="200">
        <f>BP48-0.0005</f>
        <v>5.9900271370420623E-2</v>
      </c>
      <c r="BQ47" s="200">
        <f>BQ48-0.0005</f>
        <v>6.9538265306122435E-2</v>
      </c>
      <c r="BR47" s="200">
        <f>BR48-0.0005</f>
        <v>6.4214418030256237E-2</v>
      </c>
      <c r="BS47" s="200">
        <f>BS48-0.0005</f>
        <v>6.6423076923076918E-2</v>
      </c>
      <c r="BT47" s="184"/>
      <c r="BU47" s="200">
        <f>BU48-0.0005</f>
        <v>5.4900271370420625E-2</v>
      </c>
      <c r="BV47" s="200">
        <f>BV48-0.0005</f>
        <v>6.453826530612243E-2</v>
      </c>
      <c r="BW47" s="200">
        <f>BW48-0.0005</f>
        <v>5.921441803025624E-2</v>
      </c>
      <c r="BX47" s="200">
        <f>BX48-0.0005</f>
        <v>6.1423076923076921E-2</v>
      </c>
      <c r="BY47" s="184"/>
      <c r="BZ47" s="200">
        <f>BZ48-0.0005</f>
        <v>4.9900271370420628E-2</v>
      </c>
      <c r="CA47" s="200">
        <f>CA48-0.0005</f>
        <v>5.9538265306122433E-2</v>
      </c>
      <c r="CB47" s="200">
        <f>CB48-0.0005</f>
        <v>5.4214418030256242E-2</v>
      </c>
      <c r="CC47" s="200">
        <f>CC48-0.0005</f>
        <v>5.6423076923076923E-2</v>
      </c>
      <c r="CD47" s="184"/>
      <c r="CE47" s="174"/>
      <c r="CL47" s="160"/>
      <c r="CM47" s="160"/>
    </row>
    <row r="48" spans="1:91" ht="12" customHeight="1" outlineLevel="1">
      <c r="A48" s="172"/>
      <c r="B48" s="185" t="s">
        <v>122</v>
      </c>
      <c r="C48" s="186"/>
      <c r="D48" s="186"/>
      <c r="E48" s="186"/>
      <c r="F48" s="186"/>
      <c r="G48" s="187"/>
      <c r="H48" s="186"/>
      <c r="I48" s="186"/>
      <c r="J48" s="186"/>
      <c r="K48" s="186"/>
      <c r="L48" s="187"/>
      <c r="M48" s="186"/>
      <c r="N48" s="186"/>
      <c r="O48" s="186"/>
      <c r="P48" s="186"/>
      <c r="Q48" s="187"/>
      <c r="R48" s="186"/>
      <c r="S48" s="186"/>
      <c r="T48" s="186"/>
      <c r="U48" s="186"/>
      <c r="V48" s="187"/>
      <c r="W48" s="186"/>
      <c r="X48" s="186"/>
      <c r="Y48" s="186"/>
      <c r="Z48" s="186"/>
      <c r="AA48" s="187"/>
      <c r="AB48" s="186"/>
      <c r="AC48" s="186"/>
      <c r="AD48" s="186"/>
      <c r="AE48" s="186"/>
      <c r="AF48" s="187"/>
      <c r="AG48" s="186"/>
      <c r="AH48" s="186"/>
      <c r="AI48" s="186"/>
      <c r="AJ48" s="186"/>
      <c r="AK48" s="188"/>
      <c r="AL48" s="186"/>
      <c r="AM48" s="186"/>
      <c r="AN48" s="186"/>
      <c r="AO48" s="186"/>
      <c r="AP48" s="184"/>
      <c r="AQ48" s="186"/>
      <c r="AR48" s="186"/>
      <c r="AS48" s="186"/>
      <c r="AT48" s="186"/>
      <c r="AU48" s="184"/>
      <c r="AV48" s="186"/>
      <c r="AW48" s="186"/>
      <c r="AX48" s="186"/>
      <c r="AY48" s="186"/>
      <c r="AZ48" s="184"/>
      <c r="BA48" s="186"/>
      <c r="BB48" s="186"/>
      <c r="BC48" s="186"/>
      <c r="BD48" s="186"/>
      <c r="BE48" s="184"/>
      <c r="BF48" s="186"/>
      <c r="BG48" s="186"/>
      <c r="BH48" s="186"/>
      <c r="BI48" s="186"/>
      <c r="BJ48" s="184"/>
      <c r="BK48" s="186"/>
      <c r="BL48" s="200">
        <f>+BG46-0.5%</f>
        <v>7.503826530612244E-2</v>
      </c>
      <c r="BM48" s="200">
        <f t="shared" ref="BM48:BN48" si="20">+BH46-0.5%</f>
        <v>6.9714418030256242E-2</v>
      </c>
      <c r="BN48" s="200">
        <f t="shared" si="20"/>
        <v>7.1923076923076923E-2</v>
      </c>
      <c r="BO48" s="184"/>
      <c r="BP48" s="200">
        <f>+BK46-0.5%</f>
        <v>6.0400271370420623E-2</v>
      </c>
      <c r="BQ48" s="200">
        <f t="shared" ref="BQ48:BS48" si="21">+BL48-0.5%</f>
        <v>7.0038265306122435E-2</v>
      </c>
      <c r="BR48" s="200">
        <f t="shared" si="21"/>
        <v>6.4714418030256238E-2</v>
      </c>
      <c r="BS48" s="200">
        <f t="shared" si="21"/>
        <v>6.6923076923076918E-2</v>
      </c>
      <c r="BT48" s="184"/>
      <c r="BU48" s="200">
        <f>+BP48-0.5%</f>
        <v>5.5400271370420626E-2</v>
      </c>
      <c r="BV48" s="200">
        <f t="shared" ref="BV48:BX48" si="22">+BQ48-0.5%</f>
        <v>6.5038265306122431E-2</v>
      </c>
      <c r="BW48" s="200">
        <f t="shared" si="22"/>
        <v>5.971441803025624E-2</v>
      </c>
      <c r="BX48" s="200">
        <f t="shared" si="22"/>
        <v>6.1923076923076921E-2</v>
      </c>
      <c r="BY48" s="184"/>
      <c r="BZ48" s="200">
        <f>+BU48-0.5%</f>
        <v>5.0400271370420628E-2</v>
      </c>
      <c r="CA48" s="200">
        <f>+BV48-0.5%</f>
        <v>6.0038265306122433E-2</v>
      </c>
      <c r="CB48" s="200">
        <f>+BW48-0.5%</f>
        <v>5.4714418030256243E-2</v>
      </c>
      <c r="CC48" s="200">
        <f>+BX48-0.5%</f>
        <v>5.6923076923076923E-2</v>
      </c>
      <c r="CD48" s="184"/>
      <c r="CE48" s="174"/>
      <c r="CL48" s="160"/>
      <c r="CM48" s="160"/>
    </row>
    <row r="49" spans="1:91" ht="12" customHeight="1" outlineLevel="1">
      <c r="A49" s="172"/>
      <c r="B49" s="185" t="s">
        <v>123</v>
      </c>
      <c r="C49" s="186"/>
      <c r="D49" s="186"/>
      <c r="E49" s="186"/>
      <c r="F49" s="186"/>
      <c r="G49" s="187"/>
      <c r="H49" s="186"/>
      <c r="I49" s="186"/>
      <c r="J49" s="186"/>
      <c r="K49" s="186"/>
      <c r="L49" s="187"/>
      <c r="M49" s="186"/>
      <c r="N49" s="186"/>
      <c r="O49" s="186"/>
      <c r="P49" s="186"/>
      <c r="Q49" s="187"/>
      <c r="R49" s="186"/>
      <c r="S49" s="186"/>
      <c r="T49" s="186"/>
      <c r="U49" s="186"/>
      <c r="V49" s="187"/>
      <c r="W49" s="186"/>
      <c r="X49" s="186"/>
      <c r="Y49" s="186"/>
      <c r="Z49" s="186"/>
      <c r="AA49" s="187"/>
      <c r="AB49" s="186"/>
      <c r="AC49" s="186"/>
      <c r="AD49" s="186"/>
      <c r="AE49" s="186"/>
      <c r="AF49" s="187"/>
      <c r="AG49" s="186"/>
      <c r="AH49" s="186"/>
      <c r="AI49" s="186"/>
      <c r="AJ49" s="186"/>
      <c r="AK49" s="188"/>
      <c r="AL49" s="186"/>
      <c r="AM49" s="186"/>
      <c r="AN49" s="186"/>
      <c r="AO49" s="186"/>
      <c r="AP49" s="184"/>
      <c r="AQ49" s="186"/>
      <c r="AR49" s="186"/>
      <c r="AS49" s="186"/>
      <c r="AT49" s="186"/>
      <c r="AU49" s="184"/>
      <c r="AV49" s="186"/>
      <c r="AW49" s="186"/>
      <c r="AX49" s="186"/>
      <c r="AY49" s="186"/>
      <c r="AZ49" s="184"/>
      <c r="BA49" s="186"/>
      <c r="BB49" s="186"/>
      <c r="BC49" s="186"/>
      <c r="BD49" s="186"/>
      <c r="BE49" s="184"/>
      <c r="BF49" s="186"/>
      <c r="BG49" s="186"/>
      <c r="BH49" s="186"/>
      <c r="BI49" s="186"/>
      <c r="BJ49" s="184"/>
      <c r="BK49" s="186"/>
      <c r="BL49" s="200">
        <f>BL48+0.003</f>
        <v>7.8038265306122442E-2</v>
      </c>
      <c r="BM49" s="200">
        <f>BM48+0.003</f>
        <v>7.2714418030256245E-2</v>
      </c>
      <c r="BN49" s="200">
        <f>BN48+0.003</f>
        <v>7.4923076923076926E-2</v>
      </c>
      <c r="BO49" s="184"/>
      <c r="BP49" s="200">
        <f>BP48+0.003</f>
        <v>6.3400271370420619E-2</v>
      </c>
      <c r="BQ49" s="200">
        <f>BQ48+0.003</f>
        <v>7.3038265306122438E-2</v>
      </c>
      <c r="BR49" s="200">
        <f>BR48+0.003</f>
        <v>6.771441803025624E-2</v>
      </c>
      <c r="BS49" s="200">
        <f>BS48+0.003</f>
        <v>6.9923076923076921E-2</v>
      </c>
      <c r="BT49" s="184"/>
      <c r="BU49" s="200">
        <f>BU48+0.003</f>
        <v>5.8400271370420628E-2</v>
      </c>
      <c r="BV49" s="200">
        <f>BV48+0.003</f>
        <v>6.8038265306122434E-2</v>
      </c>
      <c r="BW49" s="200">
        <f>BW48+0.003</f>
        <v>6.2714418030256236E-2</v>
      </c>
      <c r="BX49" s="200">
        <f>BX48+0.003</f>
        <v>6.4923076923076917E-2</v>
      </c>
      <c r="BY49" s="184"/>
      <c r="BZ49" s="200">
        <f>BZ48+0.003</f>
        <v>5.3400271370420631E-2</v>
      </c>
      <c r="CA49" s="200">
        <f>CA48+0.003</f>
        <v>6.3038265306122429E-2</v>
      </c>
      <c r="CB49" s="200">
        <f>CB48+0.003</f>
        <v>5.7714418030256245E-2</v>
      </c>
      <c r="CC49" s="200">
        <f>CC48+0.003</f>
        <v>5.9923076923076926E-2</v>
      </c>
      <c r="CD49" s="184"/>
      <c r="CE49" s="174"/>
      <c r="CL49" s="160"/>
      <c r="CM49" s="160"/>
    </row>
    <row r="50" spans="1:91" ht="12.75" customHeight="1">
      <c r="A50" s="172"/>
      <c r="B50" s="163"/>
      <c r="C50" s="202"/>
      <c r="D50" s="202"/>
      <c r="E50" s="202"/>
      <c r="F50" s="203"/>
      <c r="G50" s="143"/>
      <c r="H50" s="202"/>
      <c r="I50" s="202"/>
      <c r="J50" s="202"/>
      <c r="K50" s="203"/>
      <c r="L50" s="143"/>
      <c r="M50" s="202"/>
      <c r="N50" s="202"/>
      <c r="O50" s="202"/>
      <c r="P50" s="203"/>
      <c r="Q50" s="143"/>
      <c r="R50" s="202"/>
      <c r="S50" s="202"/>
      <c r="T50" s="202"/>
      <c r="U50" s="203"/>
      <c r="V50" s="143"/>
      <c r="W50" s="202"/>
      <c r="X50" s="202"/>
      <c r="Y50" s="202"/>
      <c r="Z50" s="203"/>
      <c r="AA50" s="143"/>
      <c r="AB50" s="202"/>
      <c r="AC50" s="202"/>
      <c r="AD50" s="202"/>
      <c r="AE50" s="203"/>
      <c r="AF50" s="143"/>
      <c r="AG50" s="202"/>
      <c r="AH50" s="202"/>
      <c r="AI50" s="202"/>
      <c r="AJ50" s="203"/>
      <c r="AK50" s="144"/>
      <c r="AL50" s="204"/>
      <c r="AM50" s="204"/>
      <c r="AN50" s="204"/>
      <c r="AO50" s="203"/>
      <c r="AP50" s="144"/>
      <c r="AQ50" s="203"/>
      <c r="AR50" s="203"/>
      <c r="AS50" s="203"/>
      <c r="AT50" s="203"/>
      <c r="AU50" s="144"/>
      <c r="AV50" s="203"/>
      <c r="AW50" s="203"/>
      <c r="AX50" s="203"/>
      <c r="AY50" s="203"/>
      <c r="AZ50" s="144"/>
      <c r="BA50" s="203"/>
      <c r="BB50" s="203"/>
      <c r="BC50" s="203"/>
      <c r="BD50" s="203"/>
      <c r="BE50" s="144"/>
      <c r="BF50" s="203"/>
      <c r="BG50" s="203"/>
      <c r="BH50" s="203"/>
      <c r="BI50" s="203"/>
      <c r="BJ50" s="144"/>
      <c r="BK50" s="203"/>
      <c r="BL50" s="203"/>
      <c r="BM50" s="193"/>
      <c r="BN50" s="193"/>
      <c r="BO50" s="194"/>
      <c r="BP50" s="193"/>
      <c r="BQ50" s="193"/>
      <c r="BR50" s="193"/>
      <c r="BS50" s="193"/>
      <c r="BT50" s="194"/>
      <c r="BU50" s="193"/>
      <c r="BV50" s="193"/>
      <c r="BW50" s="193"/>
      <c r="BX50" s="193"/>
      <c r="BY50" s="194"/>
      <c r="BZ50" s="203"/>
      <c r="CA50" s="203"/>
      <c r="CB50" s="203"/>
      <c r="CC50" s="203"/>
      <c r="CD50" s="144"/>
      <c r="CE50" s="174"/>
      <c r="CL50" s="160"/>
      <c r="CM50" s="160"/>
    </row>
    <row r="51" spans="1:91" ht="12.75" customHeight="1">
      <c r="A51" s="195"/>
      <c r="B51" s="131" t="s">
        <v>131</v>
      </c>
      <c r="C51" s="196"/>
      <c r="D51" s="196"/>
      <c r="E51" s="196"/>
      <c r="F51" s="196"/>
      <c r="G51" s="168"/>
      <c r="H51" s="196"/>
      <c r="I51" s="196"/>
      <c r="J51" s="196"/>
      <c r="K51" s="196"/>
      <c r="L51" s="168"/>
      <c r="M51" s="196"/>
      <c r="N51" s="196"/>
      <c r="O51" s="196"/>
      <c r="P51" s="196"/>
      <c r="Q51" s="168"/>
      <c r="R51" s="196"/>
      <c r="S51" s="196"/>
      <c r="T51" s="196"/>
      <c r="U51" s="196"/>
      <c r="V51" s="168"/>
      <c r="W51" s="196"/>
      <c r="X51" s="196"/>
      <c r="Y51" s="196"/>
      <c r="Z51" s="196"/>
      <c r="AA51" s="168"/>
      <c r="AB51" s="196"/>
      <c r="AC51" s="196"/>
      <c r="AD51" s="196"/>
      <c r="AE51" s="196"/>
      <c r="AF51" s="168"/>
      <c r="AG51" s="196"/>
      <c r="AH51" s="196"/>
      <c r="AI51" s="196"/>
      <c r="AJ51" s="196"/>
      <c r="AK51" s="169">
        <f>677-60</f>
        <v>617</v>
      </c>
      <c r="AL51" s="116"/>
      <c r="AM51" s="116"/>
      <c r="AN51" s="116"/>
      <c r="AO51" s="116"/>
      <c r="AP51" s="169">
        <f>727-87</f>
        <v>640</v>
      </c>
      <c r="AQ51" s="197">
        <f>165-24</f>
        <v>141</v>
      </c>
      <c r="AR51" s="116">
        <f>189-28</f>
        <v>161</v>
      </c>
      <c r="AS51" s="116">
        <f>192-28</f>
        <v>164</v>
      </c>
      <c r="AT51" s="116">
        <f>201-28</f>
        <v>173</v>
      </c>
      <c r="AU51" s="144">
        <f>SUM(AQ51:AT51)</f>
        <v>639</v>
      </c>
      <c r="AV51" s="197">
        <f>185-29</f>
        <v>156</v>
      </c>
      <c r="AW51" s="100">
        <f>202-35</f>
        <v>167</v>
      </c>
      <c r="AX51" s="100">
        <f>197-33</f>
        <v>164</v>
      </c>
      <c r="AY51" s="100">
        <f>208-35</f>
        <v>173</v>
      </c>
      <c r="AZ51" s="144">
        <f>SUM(AV51:AY51)</f>
        <v>660</v>
      </c>
      <c r="BA51" s="100">
        <f>195-33</f>
        <v>162</v>
      </c>
      <c r="BB51" s="100">
        <f>209-35</f>
        <v>174</v>
      </c>
      <c r="BC51" s="100">
        <f>215-34</f>
        <v>181</v>
      </c>
      <c r="BD51" s="100">
        <f>215-37</f>
        <v>178</v>
      </c>
      <c r="BE51" s="144">
        <f>SUM(BA51:BD51)</f>
        <v>695</v>
      </c>
      <c r="BF51" s="100">
        <f>214-45</f>
        <v>169</v>
      </c>
      <c r="BG51" s="100">
        <f>232-59</f>
        <v>173</v>
      </c>
      <c r="BH51" s="100">
        <f>240-64</f>
        <v>176</v>
      </c>
      <c r="BI51" s="100">
        <f>267-72</f>
        <v>195</v>
      </c>
      <c r="BJ51" s="144">
        <f>SUM(BF51:BI51)</f>
        <v>713</v>
      </c>
      <c r="BK51" s="100">
        <f>258-64</f>
        <v>194</v>
      </c>
      <c r="BL51" s="145">
        <f>BL53*BL$14</f>
        <v>195.49642024874058</v>
      </c>
      <c r="BM51" s="145">
        <f>BM53*BM$14</f>
        <v>180.66356761313452</v>
      </c>
      <c r="BN51" s="145">
        <f>BN53*BN$14</f>
        <v>202.03390925798493</v>
      </c>
      <c r="BO51" s="144">
        <f>SUM(BK51:BN51)</f>
        <v>772.19389711986014</v>
      </c>
      <c r="BP51" s="145">
        <f>BP53*BP$14</f>
        <v>195.00617837421188</v>
      </c>
      <c r="BQ51" s="145">
        <f>BQ53*BQ$14</f>
        <v>196.45136147435642</v>
      </c>
      <c r="BR51" s="145">
        <f>BR53*BR$14</f>
        <v>194.13605013231</v>
      </c>
      <c r="BS51" s="145">
        <f>BS53*BS$14</f>
        <v>216.37235686105549</v>
      </c>
      <c r="BT51" s="144">
        <f>SUM(BP51:BS51)</f>
        <v>801.96594684193383</v>
      </c>
      <c r="BU51" s="145">
        <f>BU53*BU$14</f>
        <v>208.88631969128105</v>
      </c>
      <c r="BV51" s="145">
        <f>BV53*BV$14</f>
        <v>210.56962516888396</v>
      </c>
      <c r="BW51" s="145">
        <f>BW53*BW$14</f>
        <v>203.70557546890129</v>
      </c>
      <c r="BX51" s="145">
        <f>BX53*BX$14</f>
        <v>226.94909150052754</v>
      </c>
      <c r="BY51" s="144">
        <f>SUM(BU51:BX51)</f>
        <v>850.11061182959384</v>
      </c>
      <c r="BZ51" s="145">
        <f>BZ53*BZ$14</f>
        <v>215.37863292515661</v>
      </c>
      <c r="CA51" s="145">
        <f>CA53*CA$14</f>
        <v>216.60906620207263</v>
      </c>
      <c r="CB51" s="145">
        <f>CB53*CB$14</f>
        <v>209.82489884911024</v>
      </c>
      <c r="CC51" s="145">
        <f>CC53*CC$14</f>
        <v>232.83603052608069</v>
      </c>
      <c r="CD51" s="144">
        <f>SUM(BZ51:CC51)</f>
        <v>874.64862850242014</v>
      </c>
      <c r="CE51" s="205"/>
      <c r="CL51" s="160"/>
      <c r="CM51" s="160"/>
    </row>
    <row r="52" spans="1:91" ht="12.75" customHeight="1">
      <c r="A52" s="172"/>
      <c r="B52" s="138" t="s">
        <v>21</v>
      </c>
      <c r="C52" s="139"/>
      <c r="D52" s="139"/>
      <c r="E52" s="139"/>
      <c r="F52" s="139"/>
      <c r="G52" s="140"/>
      <c r="H52" s="139"/>
      <c r="I52" s="139"/>
      <c r="J52" s="139"/>
      <c r="K52" s="139"/>
      <c r="L52" s="140"/>
      <c r="M52" s="139"/>
      <c r="N52" s="139"/>
      <c r="O52" s="139"/>
      <c r="P52" s="139"/>
      <c r="Q52" s="140"/>
      <c r="R52" s="139"/>
      <c r="S52" s="139"/>
      <c r="T52" s="139"/>
      <c r="U52" s="139"/>
      <c r="V52" s="140"/>
      <c r="W52" s="139"/>
      <c r="X52" s="139"/>
      <c r="Y52" s="139"/>
      <c r="Z52" s="139"/>
      <c r="AA52" s="140"/>
      <c r="AB52" s="139"/>
      <c r="AC52" s="139"/>
      <c r="AD52" s="139"/>
      <c r="AE52" s="139"/>
      <c r="AF52" s="140"/>
      <c r="AG52" s="139"/>
      <c r="AH52" s="139"/>
      <c r="AI52" s="139"/>
      <c r="AJ52" s="139"/>
      <c r="AK52" s="140"/>
      <c r="AL52" s="139"/>
      <c r="AM52" s="139"/>
      <c r="AN52" s="139"/>
      <c r="AO52" s="139"/>
      <c r="AP52" s="140">
        <f>IF(ISERROR(AP51/AK51-1), "NM", (AP51/AK51-1))</f>
        <v>3.7277147487844386E-2</v>
      </c>
      <c r="AQ52" s="139" t="str">
        <f>IF(ISERROR(AQ51/AL51-1), "NM", (AQ51/AL51-1))</f>
        <v>NM</v>
      </c>
      <c r="AR52" s="139" t="str">
        <f>IF(ISERROR(AR51/AM51-1), "NM", (AR51/AM51-1))</f>
        <v>NM</v>
      </c>
      <c r="AS52" s="139" t="str">
        <f>IF(ISERROR(AS51/AN51-1), "NM", (AS51/AN51-1))</f>
        <v>NM</v>
      </c>
      <c r="AT52" s="139" t="str">
        <f>IF(ISERROR(AT51/AO51-1), "NM", (AT51/AO51-1))</f>
        <v>NM</v>
      </c>
      <c r="AU52" s="140">
        <f t="shared" ref="AU52:CD52" si="23">IF(ISERROR(AU51/AP51-1), "NM", (AU51/AP51-1))</f>
        <v>-1.5625000000000222E-3</v>
      </c>
      <c r="AV52" s="139">
        <f t="shared" si="23"/>
        <v>0.1063829787234043</v>
      </c>
      <c r="AW52" s="139">
        <f t="shared" si="23"/>
        <v>3.7267080745341685E-2</v>
      </c>
      <c r="AX52" s="139">
        <f t="shared" si="23"/>
        <v>0</v>
      </c>
      <c r="AY52" s="139">
        <f t="shared" si="23"/>
        <v>0</v>
      </c>
      <c r="AZ52" s="140">
        <f t="shared" si="23"/>
        <v>3.2863849765258246E-2</v>
      </c>
      <c r="BA52" s="139">
        <f t="shared" si="23"/>
        <v>3.8461538461538547E-2</v>
      </c>
      <c r="BB52" s="139">
        <f t="shared" si="23"/>
        <v>4.1916167664670656E-2</v>
      </c>
      <c r="BC52" s="139">
        <f t="shared" si="23"/>
        <v>0.10365853658536595</v>
      </c>
      <c r="BD52" s="139">
        <f t="shared" si="23"/>
        <v>2.8901734104046284E-2</v>
      </c>
      <c r="BE52" s="140">
        <f t="shared" si="23"/>
        <v>5.3030303030302983E-2</v>
      </c>
      <c r="BF52" s="139">
        <f t="shared" si="23"/>
        <v>4.3209876543209846E-2</v>
      </c>
      <c r="BG52" s="139">
        <f t="shared" si="23"/>
        <v>-5.7471264367816577E-3</v>
      </c>
      <c r="BH52" s="139">
        <f t="shared" si="23"/>
        <v>-2.7624309392265234E-2</v>
      </c>
      <c r="BI52" s="139">
        <f t="shared" si="23"/>
        <v>9.550561797752799E-2</v>
      </c>
      <c r="BJ52" s="140">
        <f t="shared" si="23"/>
        <v>2.5899280575539585E-2</v>
      </c>
      <c r="BK52" s="139">
        <f t="shared" si="23"/>
        <v>0.14792899408284033</v>
      </c>
      <c r="BL52" s="139">
        <f t="shared" si="23"/>
        <v>0.13003711126439632</v>
      </c>
      <c r="BM52" s="139">
        <f t="shared" si="23"/>
        <v>2.6497543256446043E-2</v>
      </c>
      <c r="BN52" s="139">
        <f t="shared" si="23"/>
        <v>3.607132952812786E-2</v>
      </c>
      <c r="BO52" s="140">
        <f t="shared" si="23"/>
        <v>8.3020893576241539E-2</v>
      </c>
      <c r="BP52" s="139">
        <f t="shared" si="23"/>
        <v>5.1864864650097431E-3</v>
      </c>
      <c r="BQ52" s="139">
        <f t="shared" si="23"/>
        <v>4.8846992921958154E-3</v>
      </c>
      <c r="BR52" s="139">
        <f t="shared" si="23"/>
        <v>7.4572215622492832E-2</v>
      </c>
      <c r="BS52" s="139">
        <f t="shared" si="23"/>
        <v>7.0970500228064504E-2</v>
      </c>
      <c r="BT52" s="140">
        <f t="shared" si="23"/>
        <v>3.8555147655424227E-2</v>
      </c>
      <c r="BU52" s="139">
        <f t="shared" si="23"/>
        <v>7.117795668213911E-2</v>
      </c>
      <c r="BV52" s="139">
        <f t="shared" si="23"/>
        <v>7.1866458896343355E-2</v>
      </c>
      <c r="BW52" s="139">
        <f t="shared" si="23"/>
        <v>4.9292881616110673E-2</v>
      </c>
      <c r="BX52" s="139">
        <f t="shared" si="23"/>
        <v>4.8882097477285225E-2</v>
      </c>
      <c r="BY52" s="140">
        <f t="shared" si="23"/>
        <v>6.0033303380585101E-2</v>
      </c>
      <c r="BZ52" s="139">
        <f t="shared" si="23"/>
        <v>3.1080605199377054E-2</v>
      </c>
      <c r="CA52" s="139">
        <f t="shared" si="23"/>
        <v>2.8681444573712023E-2</v>
      </c>
      <c r="CB52" s="139">
        <f t="shared" si="23"/>
        <v>3.0040038747703113E-2</v>
      </c>
      <c r="CC52" s="139">
        <f t="shared" si="23"/>
        <v>2.5939469449427044E-2</v>
      </c>
      <c r="CD52" s="140">
        <f t="shared" si="23"/>
        <v>2.8864498726837384E-2</v>
      </c>
      <c r="CE52" s="174"/>
      <c r="CL52" s="160"/>
      <c r="CM52" s="160"/>
    </row>
    <row r="53" spans="1:91" ht="12.75" customHeight="1">
      <c r="A53" s="172"/>
      <c r="B53" s="199" t="s">
        <v>129</v>
      </c>
      <c r="C53" s="139"/>
      <c r="D53" s="139"/>
      <c r="E53" s="139"/>
      <c r="F53" s="139"/>
      <c r="G53" s="140"/>
      <c r="H53" s="139"/>
      <c r="I53" s="139"/>
      <c r="J53" s="139"/>
      <c r="K53" s="139"/>
      <c r="L53" s="140"/>
      <c r="M53" s="139"/>
      <c r="N53" s="139"/>
      <c r="O53" s="139"/>
      <c r="P53" s="139"/>
      <c r="Q53" s="140"/>
      <c r="R53" s="139"/>
      <c r="S53" s="139"/>
      <c r="T53" s="139"/>
      <c r="U53" s="139"/>
      <c r="V53" s="140"/>
      <c r="W53" s="139"/>
      <c r="X53" s="139"/>
      <c r="Y53" s="139"/>
      <c r="Z53" s="139"/>
      <c r="AA53" s="140"/>
      <c r="AB53" s="139"/>
      <c r="AC53" s="139"/>
      <c r="AD53" s="139"/>
      <c r="AE53" s="139"/>
      <c r="AF53" s="140"/>
      <c r="AG53" s="139"/>
      <c r="AH53" s="139"/>
      <c r="AI53" s="139"/>
      <c r="AJ53" s="139"/>
      <c r="AK53" s="140">
        <f>AK51/AK$14</f>
        <v>0.10897209466619569</v>
      </c>
      <c r="AL53" s="139"/>
      <c r="AM53" s="139"/>
      <c r="AN53" s="139"/>
      <c r="AO53" s="139"/>
      <c r="AP53" s="140">
        <f t="shared" ref="AP53:BH53" si="24">AP51/AP$14</f>
        <v>9.513899212130221E-2</v>
      </c>
      <c r="AQ53" s="173">
        <f t="shared" si="24"/>
        <v>7.536076964190272E-2</v>
      </c>
      <c r="AR53" s="139">
        <f t="shared" si="24"/>
        <v>8.1272084805653705E-2</v>
      </c>
      <c r="AS53" s="139">
        <f t="shared" si="24"/>
        <v>8.320649416539827E-2</v>
      </c>
      <c r="AT53" s="139">
        <f t="shared" si="24"/>
        <v>7.9031521242576522E-2</v>
      </c>
      <c r="AU53" s="140">
        <f t="shared" si="24"/>
        <v>7.9755366949575635E-2</v>
      </c>
      <c r="AV53" s="173">
        <f t="shared" si="24"/>
        <v>7.3102155576382374E-2</v>
      </c>
      <c r="AW53" s="173">
        <f t="shared" si="24"/>
        <v>7.2830353249018751E-2</v>
      </c>
      <c r="AX53" s="173">
        <f t="shared" si="24"/>
        <v>7.2630646589902564E-2</v>
      </c>
      <c r="AY53" s="173">
        <f t="shared" si="24"/>
        <v>6.768388106416276E-2</v>
      </c>
      <c r="AZ53" s="140">
        <f t="shared" si="24"/>
        <v>7.1366782006920412E-2</v>
      </c>
      <c r="BA53" s="173">
        <f t="shared" si="24"/>
        <v>6.3679245283018868E-2</v>
      </c>
      <c r="BB53" s="173">
        <f t="shared" si="24"/>
        <v>6.5660377358490563E-2</v>
      </c>
      <c r="BC53" s="173">
        <f t="shared" si="24"/>
        <v>6.7866516685414324E-2</v>
      </c>
      <c r="BD53" s="173">
        <f t="shared" si="24"/>
        <v>5.9711506205971147E-2</v>
      </c>
      <c r="BE53" s="140">
        <f t="shared" si="24"/>
        <v>6.4102564102564097E-2</v>
      </c>
      <c r="BF53" s="173">
        <f t="shared" si="24"/>
        <v>5.6806722689075627E-2</v>
      </c>
      <c r="BG53" s="173">
        <f t="shared" si="24"/>
        <v>5.5165816326530615E-2</v>
      </c>
      <c r="BH53" s="173">
        <f t="shared" si="24"/>
        <v>5.4337758567459093E-2</v>
      </c>
      <c r="BI53" s="173">
        <f t="shared" ref="BI53" si="25">BI51/BI$14</f>
        <v>5.2631578947368418E-2</v>
      </c>
      <c r="BJ53" s="140">
        <f>BJ51/BJ$14</f>
        <v>5.4615090003829948E-2</v>
      </c>
      <c r="BK53" s="173">
        <f t="shared" ref="BK53" si="26">BK51/BK$14</f>
        <v>5.2645861601085482E-2</v>
      </c>
      <c r="BL53" s="173">
        <f>CHOOSE(_Switch,BL54,BL55,BL56)</f>
        <v>5.1165816326530611E-2</v>
      </c>
      <c r="BM53" s="173">
        <f>CHOOSE(_Switch,BM54,BM55,BM56)</f>
        <v>4.9337758567459096E-2</v>
      </c>
      <c r="BN53" s="173">
        <f>CHOOSE(_Switch,BN54,BN55,BN56)</f>
        <v>4.7631578947368421E-2</v>
      </c>
      <c r="BO53" s="140">
        <f>BO51/BO$14</f>
        <v>5.011250006315237E-2</v>
      </c>
      <c r="BP53" s="173">
        <f>CHOOSE(_Switch,BP54,BP55,BP56)</f>
        <v>4.7765861601085487E-2</v>
      </c>
      <c r="BQ53" s="173">
        <f>CHOOSE(_Switch,BQ54,BQ55,BQ56)</f>
        <v>4.6285816326530616E-2</v>
      </c>
      <c r="BR53" s="173">
        <f>CHOOSE(_Switch,BR54,BR55,BR56)</f>
        <v>4.4457758567459101E-2</v>
      </c>
      <c r="BS53" s="173">
        <f>CHOOSE(_Switch,BS54,BS55,BS56)</f>
        <v>4.2751578947368425E-2</v>
      </c>
      <c r="BT53" s="140">
        <f>BT51/BT$14</f>
        <v>4.5169065112674302E-2</v>
      </c>
      <c r="BU53" s="173">
        <f>CHOOSE(_Switch,BU54,BU55,BU56)</f>
        <v>4.376586160108549E-2</v>
      </c>
      <c r="BV53" s="173">
        <f>CHOOSE(_Switch,BV54,BV55,BV56)</f>
        <v>4.2285816326530612E-2</v>
      </c>
      <c r="BW53" s="173">
        <f>CHOOSE(_Switch,BW54,BW55,BW56)</f>
        <v>4.0457758567459104E-2</v>
      </c>
      <c r="BX53" s="173">
        <f>CHOOSE(_Switch,BX54,BX55,BX56)</f>
        <v>3.8751578947368429E-2</v>
      </c>
      <c r="BY53" s="140">
        <f>BY51/BY$14</f>
        <v>4.1179509111632706E-2</v>
      </c>
      <c r="BZ53" s="173">
        <f>CHOOSE(_Switch,BZ54,BZ55,BZ56)</f>
        <v>3.9265861601085486E-2</v>
      </c>
      <c r="CA53" s="173">
        <f>CHOOSE(_Switch,CA54,CA55,CA56)</f>
        <v>3.7785816326530608E-2</v>
      </c>
      <c r="CB53" s="173">
        <f>CHOOSE(_Switch,CB54,CB55,CB56)</f>
        <v>3.59577585674591E-2</v>
      </c>
      <c r="CC53" s="173">
        <f>CHOOSE(_Switch,CC54,CC55,CC56)</f>
        <v>3.4251578947368425E-2</v>
      </c>
      <c r="CD53" s="140">
        <f>CD51/CD$14</f>
        <v>3.6671634605020723E-2</v>
      </c>
      <c r="CE53" s="174"/>
      <c r="CL53" s="160"/>
      <c r="CM53" s="160"/>
    </row>
    <row r="54" spans="1:91" ht="12.75" customHeight="1" outlineLevel="1">
      <c r="A54" s="172"/>
      <c r="B54" s="185" t="s">
        <v>121</v>
      </c>
      <c r="C54" s="186"/>
      <c r="D54" s="186"/>
      <c r="E54" s="186"/>
      <c r="F54" s="186"/>
      <c r="G54" s="187"/>
      <c r="H54" s="186"/>
      <c r="I54" s="186"/>
      <c r="J54" s="186"/>
      <c r="K54" s="186"/>
      <c r="L54" s="187"/>
      <c r="M54" s="186"/>
      <c r="N54" s="186"/>
      <c r="O54" s="186"/>
      <c r="P54" s="186"/>
      <c r="Q54" s="187"/>
      <c r="R54" s="186"/>
      <c r="S54" s="186"/>
      <c r="T54" s="186"/>
      <c r="U54" s="186"/>
      <c r="V54" s="187"/>
      <c r="W54" s="186"/>
      <c r="X54" s="186"/>
      <c r="Y54" s="186"/>
      <c r="Z54" s="186"/>
      <c r="AA54" s="187"/>
      <c r="AB54" s="186"/>
      <c r="AC54" s="186"/>
      <c r="AD54" s="186"/>
      <c r="AE54" s="186"/>
      <c r="AF54" s="187"/>
      <c r="AG54" s="186"/>
      <c r="AH54" s="186"/>
      <c r="AI54" s="186"/>
      <c r="AJ54" s="186"/>
      <c r="AK54" s="188"/>
      <c r="AL54" s="186"/>
      <c r="AM54" s="186"/>
      <c r="AN54" s="186"/>
      <c r="AO54" s="186"/>
      <c r="AP54" s="184"/>
      <c r="AQ54" s="186"/>
      <c r="AR54" s="186"/>
      <c r="AS54" s="186"/>
      <c r="AT54" s="186"/>
      <c r="AU54" s="184"/>
      <c r="AV54" s="186"/>
      <c r="AW54" s="186"/>
      <c r="AX54" s="186"/>
      <c r="AY54" s="186"/>
      <c r="AZ54" s="184"/>
      <c r="BA54" s="186"/>
      <c r="BB54" s="186"/>
      <c r="BC54" s="186"/>
      <c r="BD54" s="186"/>
      <c r="BE54" s="184"/>
      <c r="BF54" s="186"/>
      <c r="BG54" s="186"/>
      <c r="BH54" s="186"/>
      <c r="BI54" s="186"/>
      <c r="BJ54" s="184"/>
      <c r="BK54" s="186"/>
      <c r="BL54" s="200">
        <f>+BL55-0.5%</f>
        <v>4.6165816326530613E-2</v>
      </c>
      <c r="BM54" s="200">
        <f>+BM55-0.5%</f>
        <v>4.4337758567459098E-2</v>
      </c>
      <c r="BN54" s="200">
        <f>+BN55-0.5%</f>
        <v>4.2631578947368423E-2</v>
      </c>
      <c r="BO54" s="184"/>
      <c r="BP54" s="200">
        <f>+BP55-0.5%</f>
        <v>4.2765861601085489E-2</v>
      </c>
      <c r="BQ54" s="200">
        <f>+BQ55-0.5%</f>
        <v>4.1285816326530618E-2</v>
      </c>
      <c r="BR54" s="200">
        <f>+BR55-0.5%</f>
        <v>3.9457758567459103E-2</v>
      </c>
      <c r="BS54" s="200">
        <f>+BS55-0.5%</f>
        <v>3.7751578947368428E-2</v>
      </c>
      <c r="BT54" s="184"/>
      <c r="BU54" s="200">
        <f>+BU55-0.5%</f>
        <v>3.8765861601085493E-2</v>
      </c>
      <c r="BV54" s="200">
        <f>+BV55-0.5%</f>
        <v>3.7285816326530614E-2</v>
      </c>
      <c r="BW54" s="200">
        <f>+BW55-0.5%</f>
        <v>3.5457758567459106E-2</v>
      </c>
      <c r="BX54" s="200">
        <f>+BX55-0.5%</f>
        <v>3.3751578947368431E-2</v>
      </c>
      <c r="BY54" s="184"/>
      <c r="BZ54" s="200">
        <f>+BZ55-0.5%</f>
        <v>3.4265861601085489E-2</v>
      </c>
      <c r="CA54" s="200">
        <f>+CA55-0.5%</f>
        <v>3.278581632653061E-2</v>
      </c>
      <c r="CB54" s="200">
        <f>+CB55-0.5%</f>
        <v>3.0957758567459099E-2</v>
      </c>
      <c r="CC54" s="200">
        <f>+CC55-0.5%</f>
        <v>2.9251578947368424E-2</v>
      </c>
      <c r="CD54" s="184"/>
      <c r="CE54" s="174"/>
      <c r="CL54" s="160"/>
      <c r="CM54" s="160"/>
    </row>
    <row r="55" spans="1:91" ht="12.75" customHeight="1" outlineLevel="1">
      <c r="A55" s="172"/>
      <c r="B55" s="185" t="s">
        <v>122</v>
      </c>
      <c r="C55" s="186"/>
      <c r="D55" s="186"/>
      <c r="E55" s="186"/>
      <c r="F55" s="186"/>
      <c r="G55" s="187"/>
      <c r="H55" s="186"/>
      <c r="I55" s="186"/>
      <c r="J55" s="186"/>
      <c r="K55" s="186"/>
      <c r="L55" s="187"/>
      <c r="M55" s="186"/>
      <c r="N55" s="186"/>
      <c r="O55" s="186"/>
      <c r="P55" s="186"/>
      <c r="Q55" s="187"/>
      <c r="R55" s="186"/>
      <c r="S55" s="186"/>
      <c r="T55" s="186"/>
      <c r="U55" s="186"/>
      <c r="V55" s="187"/>
      <c r="W55" s="186"/>
      <c r="X55" s="186"/>
      <c r="Y55" s="186"/>
      <c r="Z55" s="186"/>
      <c r="AA55" s="187"/>
      <c r="AB55" s="186"/>
      <c r="AC55" s="186"/>
      <c r="AD55" s="186"/>
      <c r="AE55" s="186"/>
      <c r="AF55" s="187"/>
      <c r="AG55" s="186"/>
      <c r="AH55" s="186"/>
      <c r="AI55" s="186"/>
      <c r="AJ55" s="186"/>
      <c r="AK55" s="188"/>
      <c r="AL55" s="186"/>
      <c r="AM55" s="186"/>
      <c r="AN55" s="186"/>
      <c r="AO55" s="186"/>
      <c r="AP55" s="184"/>
      <c r="AQ55" s="186"/>
      <c r="AR55" s="186"/>
      <c r="AS55" s="186"/>
      <c r="AT55" s="186"/>
      <c r="AU55" s="184"/>
      <c r="AV55" s="186"/>
      <c r="AW55" s="186"/>
      <c r="AX55" s="186"/>
      <c r="AY55" s="186"/>
      <c r="AZ55" s="184"/>
      <c r="BA55" s="186"/>
      <c r="BB55" s="186"/>
      <c r="BC55" s="186"/>
      <c r="BD55" s="186"/>
      <c r="BE55" s="184"/>
      <c r="BF55" s="186"/>
      <c r="BG55" s="186"/>
      <c r="BH55" s="186"/>
      <c r="BI55" s="186"/>
      <c r="BJ55" s="184"/>
      <c r="BK55" s="186"/>
      <c r="BL55" s="200">
        <f t="shared" ref="BL55" si="27">+BG53-0.4%</f>
        <v>5.1165816326530611E-2</v>
      </c>
      <c r="BM55" s="200">
        <f>+BH53-0.5%</f>
        <v>4.9337758567459096E-2</v>
      </c>
      <c r="BN55" s="200">
        <f>+BI53-0.5%</f>
        <v>4.7631578947368421E-2</v>
      </c>
      <c r="BO55" s="184"/>
      <c r="BP55" s="200">
        <f>+BK53-0.5%+0.00012</f>
        <v>4.7765861601085487E-2</v>
      </c>
      <c r="BQ55" s="200">
        <f>+BL55-0.5%+0.00012</f>
        <v>4.6285816326530616E-2</v>
      </c>
      <c r="BR55" s="200">
        <f>+BM55-0.5%+0.00012</f>
        <v>4.4457758567459101E-2</v>
      </c>
      <c r="BS55" s="200">
        <f>+BN55-0.5%+0.00012</f>
        <v>4.2751578947368425E-2</v>
      </c>
      <c r="BT55" s="184"/>
      <c r="BU55" s="200">
        <f>+BP55-0.4%</f>
        <v>4.376586160108549E-2</v>
      </c>
      <c r="BV55" s="200">
        <f t="shared" ref="BV55:BX55" si="28">+BQ55-0.4%</f>
        <v>4.2285816326530612E-2</v>
      </c>
      <c r="BW55" s="200">
        <f t="shared" si="28"/>
        <v>4.0457758567459104E-2</v>
      </c>
      <c r="BX55" s="200">
        <f t="shared" si="28"/>
        <v>3.8751578947368429E-2</v>
      </c>
      <c r="BY55" s="184"/>
      <c r="BZ55" s="200">
        <f>+BU55-0.45%</f>
        <v>3.9265861601085486E-2</v>
      </c>
      <c r="CA55" s="200">
        <f t="shared" ref="CA55:CC55" si="29">+BV55-0.45%</f>
        <v>3.7785816326530608E-2</v>
      </c>
      <c r="CB55" s="200">
        <f t="shared" si="29"/>
        <v>3.59577585674591E-2</v>
      </c>
      <c r="CC55" s="200">
        <f t="shared" si="29"/>
        <v>3.4251578947368425E-2</v>
      </c>
      <c r="CD55" s="184"/>
      <c r="CE55" s="174"/>
      <c r="CL55" s="160"/>
      <c r="CM55" s="160"/>
    </row>
    <row r="56" spans="1:91" ht="12.75" customHeight="1" outlineLevel="1">
      <c r="A56" s="172"/>
      <c r="B56" s="185" t="s">
        <v>123</v>
      </c>
      <c r="C56" s="186"/>
      <c r="D56" s="186"/>
      <c r="E56" s="186"/>
      <c r="F56" s="186"/>
      <c r="G56" s="187"/>
      <c r="H56" s="186"/>
      <c r="I56" s="186"/>
      <c r="J56" s="186"/>
      <c r="K56" s="186"/>
      <c r="L56" s="187"/>
      <c r="M56" s="186"/>
      <c r="N56" s="186"/>
      <c r="O56" s="186"/>
      <c r="P56" s="186"/>
      <c r="Q56" s="187"/>
      <c r="R56" s="186"/>
      <c r="S56" s="186"/>
      <c r="T56" s="186"/>
      <c r="U56" s="186"/>
      <c r="V56" s="187"/>
      <c r="W56" s="186"/>
      <c r="X56" s="186"/>
      <c r="Y56" s="186"/>
      <c r="Z56" s="186"/>
      <c r="AA56" s="187"/>
      <c r="AB56" s="186"/>
      <c r="AC56" s="186"/>
      <c r="AD56" s="186"/>
      <c r="AE56" s="186"/>
      <c r="AF56" s="187"/>
      <c r="AG56" s="186"/>
      <c r="AH56" s="186"/>
      <c r="AI56" s="186"/>
      <c r="AJ56" s="186"/>
      <c r="AK56" s="188"/>
      <c r="AL56" s="186"/>
      <c r="AM56" s="186"/>
      <c r="AN56" s="186"/>
      <c r="AO56" s="186"/>
      <c r="AP56" s="184"/>
      <c r="AQ56" s="186"/>
      <c r="AR56" s="186"/>
      <c r="AS56" s="186"/>
      <c r="AT56" s="186"/>
      <c r="AU56" s="184"/>
      <c r="AV56" s="186"/>
      <c r="AW56" s="186"/>
      <c r="AX56" s="186"/>
      <c r="AY56" s="186"/>
      <c r="AZ56" s="184"/>
      <c r="BA56" s="186"/>
      <c r="BB56" s="186"/>
      <c r="BC56" s="186"/>
      <c r="BD56" s="186"/>
      <c r="BE56" s="184"/>
      <c r="BF56" s="186"/>
      <c r="BG56" s="186"/>
      <c r="BH56" s="186"/>
      <c r="BI56" s="186"/>
      <c r="BJ56" s="184"/>
      <c r="BK56" s="186"/>
      <c r="BL56" s="200">
        <f>BL55+0.001</f>
        <v>5.2165816326530612E-2</v>
      </c>
      <c r="BM56" s="200">
        <f>BM55+0.001</f>
        <v>5.0337758567459097E-2</v>
      </c>
      <c r="BN56" s="200">
        <f>BN55+0.001</f>
        <v>4.8631578947368422E-2</v>
      </c>
      <c r="BO56" s="184"/>
      <c r="BP56" s="200">
        <f>BP55+0.001</f>
        <v>4.8765861601085488E-2</v>
      </c>
      <c r="BQ56" s="200">
        <f>BQ55+0.001</f>
        <v>4.7285816326530616E-2</v>
      </c>
      <c r="BR56" s="200">
        <f>BR55+0.001</f>
        <v>4.5457758567459101E-2</v>
      </c>
      <c r="BS56" s="200">
        <f>BS55+0.001</f>
        <v>4.3751578947368426E-2</v>
      </c>
      <c r="BT56" s="184"/>
      <c r="BU56" s="200">
        <f>BU55+0.001</f>
        <v>4.4765861601085491E-2</v>
      </c>
      <c r="BV56" s="200">
        <f>BV55+0.001</f>
        <v>4.3285816326530613E-2</v>
      </c>
      <c r="BW56" s="200">
        <f>BW55+0.001</f>
        <v>4.1457758567459105E-2</v>
      </c>
      <c r="BX56" s="200">
        <f>BX55+0.001</f>
        <v>3.9751578947368429E-2</v>
      </c>
      <c r="BY56" s="184"/>
      <c r="BZ56" s="200">
        <f>BZ55+0.001</f>
        <v>4.0265861601085487E-2</v>
      </c>
      <c r="CA56" s="200">
        <f>CA55+0.001</f>
        <v>3.8785816326530609E-2</v>
      </c>
      <c r="CB56" s="200">
        <f>CB55+0.001</f>
        <v>3.6957758567459101E-2</v>
      </c>
      <c r="CC56" s="200">
        <f>CC55+0.001</f>
        <v>3.5251578947368425E-2</v>
      </c>
      <c r="CD56" s="184"/>
      <c r="CE56" s="174"/>
      <c r="CL56" s="160"/>
      <c r="CM56" s="160"/>
    </row>
    <row r="57" spans="1:91" ht="12.75" customHeight="1">
      <c r="A57" s="172"/>
      <c r="B57" s="163"/>
      <c r="C57" s="202"/>
      <c r="D57" s="202"/>
      <c r="E57" s="202"/>
      <c r="F57" s="203"/>
      <c r="G57" s="143"/>
      <c r="H57" s="202"/>
      <c r="I57" s="202"/>
      <c r="J57" s="202"/>
      <c r="K57" s="203"/>
      <c r="L57" s="143"/>
      <c r="M57" s="202"/>
      <c r="N57" s="202"/>
      <c r="O57" s="202"/>
      <c r="P57" s="203"/>
      <c r="Q57" s="143"/>
      <c r="R57" s="202"/>
      <c r="S57" s="202"/>
      <c r="T57" s="202"/>
      <c r="U57" s="203"/>
      <c r="V57" s="143"/>
      <c r="W57" s="202"/>
      <c r="X57" s="202"/>
      <c r="Y57" s="202"/>
      <c r="Z57" s="203"/>
      <c r="AA57" s="143"/>
      <c r="AB57" s="202"/>
      <c r="AC57" s="202"/>
      <c r="AD57" s="202"/>
      <c r="AE57" s="203"/>
      <c r="AF57" s="143"/>
      <c r="AG57" s="202"/>
      <c r="AH57" s="202"/>
      <c r="AI57" s="202"/>
      <c r="AJ57" s="203"/>
      <c r="AK57" s="144"/>
      <c r="AL57" s="204"/>
      <c r="AM57" s="204"/>
      <c r="AN57" s="204"/>
      <c r="AO57" s="203"/>
      <c r="AP57" s="144"/>
      <c r="AQ57" s="203"/>
      <c r="AR57" s="203"/>
      <c r="AS57" s="203"/>
      <c r="AT57" s="203"/>
      <c r="AU57" s="144"/>
      <c r="AV57" s="203"/>
      <c r="AW57" s="203"/>
      <c r="AX57" s="203"/>
      <c r="AY57" s="203"/>
      <c r="AZ57" s="144"/>
      <c r="BA57" s="203"/>
      <c r="BB57" s="203"/>
      <c r="BC57" s="203"/>
      <c r="BD57" s="203"/>
      <c r="BE57" s="144"/>
      <c r="BF57" s="203"/>
      <c r="BG57" s="203"/>
      <c r="BH57" s="203"/>
      <c r="BI57" s="203"/>
      <c r="BJ57" s="144"/>
      <c r="BK57" s="203"/>
      <c r="BL57" s="203"/>
      <c r="BM57" s="193"/>
      <c r="BN57" s="193"/>
      <c r="BO57" s="194"/>
      <c r="BP57" s="193"/>
      <c r="BQ57" s="193"/>
      <c r="BR57" s="193"/>
      <c r="BS57" s="193"/>
      <c r="BT57" s="194"/>
      <c r="BU57" s="193"/>
      <c r="BV57" s="193"/>
      <c r="BW57" s="193"/>
      <c r="BX57" s="193"/>
      <c r="BY57" s="194"/>
      <c r="BZ57" s="203"/>
      <c r="CA57" s="203"/>
      <c r="CB57" s="203"/>
      <c r="CC57" s="203"/>
      <c r="CD57" s="144"/>
      <c r="CE57" s="174"/>
      <c r="CL57" s="160"/>
      <c r="CM57" s="160"/>
    </row>
    <row r="58" spans="1:91" ht="12" customHeight="1">
      <c r="A58" s="195"/>
      <c r="B58" s="131" t="s">
        <v>132</v>
      </c>
      <c r="C58" s="196"/>
      <c r="D58" s="196"/>
      <c r="E58" s="196"/>
      <c r="F58" s="196"/>
      <c r="G58" s="168"/>
      <c r="H58" s="196"/>
      <c r="I58" s="196"/>
      <c r="J58" s="196"/>
      <c r="K58" s="196"/>
      <c r="L58" s="168"/>
      <c r="M58" s="196"/>
      <c r="N58" s="196"/>
      <c r="O58" s="196"/>
      <c r="P58" s="196"/>
      <c r="Q58" s="168"/>
      <c r="R58" s="196"/>
      <c r="S58" s="196"/>
      <c r="T58" s="196"/>
      <c r="U58" s="196"/>
      <c r="V58" s="168"/>
      <c r="W58" s="196"/>
      <c r="X58" s="196"/>
      <c r="Y58" s="196"/>
      <c r="Z58" s="196"/>
      <c r="AA58" s="168"/>
      <c r="AB58" s="196"/>
      <c r="AC58" s="196"/>
      <c r="AD58" s="196"/>
      <c r="AE58" s="196"/>
      <c r="AF58" s="168"/>
      <c r="AG58" s="196"/>
      <c r="AH58" s="196"/>
      <c r="AI58" s="196"/>
      <c r="AJ58" s="196"/>
      <c r="AK58" s="169">
        <f>345-38-(210-190)</f>
        <v>287</v>
      </c>
      <c r="AL58" s="116"/>
      <c r="AM58" s="116"/>
      <c r="AN58" s="116"/>
      <c r="AO58" s="116"/>
      <c r="AP58" s="169">
        <f>378-27+4-(269-234)</f>
        <v>320</v>
      </c>
      <c r="AQ58" s="197">
        <f>179-16-5+1</f>
        <v>159</v>
      </c>
      <c r="AR58" s="116">
        <f>185-20-4+1</f>
        <v>162</v>
      </c>
      <c r="AS58" s="116">
        <f>166-20-1+2</f>
        <v>147</v>
      </c>
      <c r="AT58" s="116">
        <f>203-19-2+2</f>
        <v>184</v>
      </c>
      <c r="AU58" s="144">
        <f>SUM(AQ58:AT58)</f>
        <v>652</v>
      </c>
      <c r="AV58" s="197">
        <f>217-22-3-4+1</f>
        <v>189</v>
      </c>
      <c r="AW58" s="100">
        <f>215-21-5-7-3+2</f>
        <v>181</v>
      </c>
      <c r="AX58" s="100">
        <f>216-25-1-3-2</f>
        <v>185</v>
      </c>
      <c r="AY58" s="100">
        <f>225-26-5+2-1+1</f>
        <v>196</v>
      </c>
      <c r="AZ58" s="144">
        <f>SUM(AV58:AY58)</f>
        <v>751</v>
      </c>
      <c r="BA58" s="100">
        <f>231-27-1</f>
        <v>203</v>
      </c>
      <c r="BB58" s="100">
        <f>261-33-(122-113)</f>
        <v>219</v>
      </c>
      <c r="BC58" s="100">
        <f>261-31-(110-109)</f>
        <v>229</v>
      </c>
      <c r="BD58" s="100">
        <f>275-39</f>
        <v>236</v>
      </c>
      <c r="BE58" s="144">
        <f>SUM(BA58:BD58)</f>
        <v>887</v>
      </c>
      <c r="BF58" s="100">
        <f>265-42+40-40-2</f>
        <v>221</v>
      </c>
      <c r="BG58" s="100">
        <f>282-51-15-(192-180)</f>
        <v>204</v>
      </c>
      <c r="BH58" s="100">
        <f>293-54-2</f>
        <v>237</v>
      </c>
      <c r="BI58" s="100">
        <f>315-63</f>
        <v>252</v>
      </c>
      <c r="BJ58" s="144">
        <f>SUM(BF58:BI58)</f>
        <v>914</v>
      </c>
      <c r="BK58" s="100">
        <f>339-59</f>
        <v>280</v>
      </c>
      <c r="BL58" s="145">
        <f>BL60*BL$14</f>
        <v>227.53494711505212</v>
      </c>
      <c r="BM58" s="145">
        <f>BM60*BM$14</f>
        <v>245.96382936278101</v>
      </c>
      <c r="BN58" s="145">
        <f>BN60*BN$14</f>
        <v>263.04763468030711</v>
      </c>
      <c r="BO58" s="144">
        <f>SUM(BK58:BN58)</f>
        <v>1016.5464111581402</v>
      </c>
      <c r="BP58" s="145">
        <f>BP60*BP$14</f>
        <v>289.79407187612611</v>
      </c>
      <c r="BQ58" s="145">
        <f>BQ60*BQ$14</f>
        <v>231.53145130674525</v>
      </c>
      <c r="BR58" s="145">
        <f>BR60*BR$14</f>
        <v>271.48422854427128</v>
      </c>
      <c r="BS58" s="145">
        <f>BS60*BS$14</f>
        <v>288.56778277235253</v>
      </c>
      <c r="BT58" s="144">
        <f>SUM(BP58:BS58)</f>
        <v>1081.3775344994951</v>
      </c>
      <c r="BU58" s="145">
        <f>BU60*BU$14</f>
        <v>314.92801606758411</v>
      </c>
      <c r="BV58" s="145">
        <f>BV60*BV$14</f>
        <v>246.74798077709772</v>
      </c>
      <c r="BW58" s="145">
        <f>BW60*BW$14</f>
        <v>287.85570962856718</v>
      </c>
      <c r="BX58" s="145">
        <f>BX60*BX$14</f>
        <v>304.63347217391981</v>
      </c>
      <c r="BY58" s="144">
        <f>SUM(BU58:BX58)</f>
        <v>1154.1651786471689</v>
      </c>
      <c r="BZ58" s="145">
        <f>BZ60*BZ$14</f>
        <v>331.76148229991293</v>
      </c>
      <c r="CA58" s="145">
        <f>CA60*CA$14</f>
        <v>252.52465934316888</v>
      </c>
      <c r="CB58" s="145">
        <f>CB60*CB$14</f>
        <v>301.51506895535164</v>
      </c>
      <c r="CC58" s="145">
        <f>CC60*CC$14</f>
        <v>316.20866471824394</v>
      </c>
      <c r="CD58" s="144">
        <f>SUM(BZ58:CC58)</f>
        <v>1202.0098753166774</v>
      </c>
      <c r="CE58" s="205"/>
      <c r="CL58" s="160"/>
      <c r="CM58" s="160"/>
    </row>
    <row r="59" spans="1:91" ht="12" customHeight="1">
      <c r="A59" s="172"/>
      <c r="B59" s="138" t="s">
        <v>21</v>
      </c>
      <c r="C59" s="139"/>
      <c r="D59" s="139"/>
      <c r="E59" s="139"/>
      <c r="F59" s="139"/>
      <c r="G59" s="140"/>
      <c r="H59" s="139"/>
      <c r="I59" s="139"/>
      <c r="J59" s="139"/>
      <c r="K59" s="139"/>
      <c r="L59" s="140"/>
      <c r="M59" s="139"/>
      <c r="N59" s="139"/>
      <c r="O59" s="139"/>
      <c r="P59" s="139"/>
      <c r="Q59" s="140"/>
      <c r="R59" s="139"/>
      <c r="S59" s="139"/>
      <c r="T59" s="139"/>
      <c r="U59" s="139"/>
      <c r="V59" s="140"/>
      <c r="W59" s="139"/>
      <c r="X59" s="139"/>
      <c r="Y59" s="139"/>
      <c r="Z59" s="139"/>
      <c r="AA59" s="140"/>
      <c r="AB59" s="139"/>
      <c r="AC59" s="139"/>
      <c r="AD59" s="139"/>
      <c r="AE59" s="139"/>
      <c r="AF59" s="140"/>
      <c r="AG59" s="139"/>
      <c r="AH59" s="139"/>
      <c r="AI59" s="139"/>
      <c r="AJ59" s="139"/>
      <c r="AK59" s="140"/>
      <c r="AL59" s="139"/>
      <c r="AM59" s="139"/>
      <c r="AN59" s="139"/>
      <c r="AO59" s="139"/>
      <c r="AP59" s="140">
        <f>IF(ISERROR(AP58/AK58-1), "NM", (AP58/AK58-1))</f>
        <v>0.11498257839721249</v>
      </c>
      <c r="AQ59" s="139" t="str">
        <f>IF(ISERROR(AQ58/AL58-1), "NM", (AQ58/AL58-1))</f>
        <v>NM</v>
      </c>
      <c r="AR59" s="139" t="str">
        <f>IF(ISERROR(AR58/AM58-1), "NM", (AR58/AM58-1))</f>
        <v>NM</v>
      </c>
      <c r="AS59" s="139" t="str">
        <f>IF(ISERROR(AS58/AN58-1), "NM", (AS58/AN58-1))</f>
        <v>NM</v>
      </c>
      <c r="AT59" s="139" t="str">
        <f>IF(ISERROR(AT58/AO58-1), "NM", (AT58/AO58-1))</f>
        <v>NM</v>
      </c>
      <c r="AU59" s="140">
        <f t="shared" ref="AU59:CD59" si="30">IF(ISERROR(AU58/AP58-1), "NM", (AU58/AP58-1))</f>
        <v>1.0375000000000001</v>
      </c>
      <c r="AV59" s="139">
        <f t="shared" si="30"/>
        <v>0.18867924528301883</v>
      </c>
      <c r="AW59" s="139">
        <f t="shared" si="30"/>
        <v>0.11728395061728403</v>
      </c>
      <c r="AX59" s="139">
        <f t="shared" si="30"/>
        <v>0.25850340136054428</v>
      </c>
      <c r="AY59" s="139">
        <f t="shared" si="30"/>
        <v>6.5217391304347894E-2</v>
      </c>
      <c r="AZ59" s="140">
        <f t="shared" si="30"/>
        <v>0.15184049079754591</v>
      </c>
      <c r="BA59" s="139">
        <f t="shared" si="30"/>
        <v>7.4074074074074181E-2</v>
      </c>
      <c r="BB59" s="139">
        <f t="shared" si="30"/>
        <v>0.20994475138121538</v>
      </c>
      <c r="BC59" s="139">
        <f t="shared" si="30"/>
        <v>0.23783783783783785</v>
      </c>
      <c r="BD59" s="139">
        <f t="shared" si="30"/>
        <v>0.20408163265306123</v>
      </c>
      <c r="BE59" s="140">
        <f t="shared" si="30"/>
        <v>0.18109187749667099</v>
      </c>
      <c r="BF59" s="139">
        <f t="shared" si="30"/>
        <v>8.8669950738916148E-2</v>
      </c>
      <c r="BG59" s="139">
        <f t="shared" si="30"/>
        <v>-6.8493150684931559E-2</v>
      </c>
      <c r="BH59" s="139">
        <f t="shared" si="30"/>
        <v>3.4934497816593968E-2</v>
      </c>
      <c r="BI59" s="139">
        <f t="shared" si="30"/>
        <v>6.7796610169491567E-2</v>
      </c>
      <c r="BJ59" s="140">
        <f t="shared" si="30"/>
        <v>3.0439684329199634E-2</v>
      </c>
      <c r="BK59" s="139">
        <f t="shared" si="30"/>
        <v>0.26696832579185514</v>
      </c>
      <c r="BL59" s="139">
        <f t="shared" si="30"/>
        <v>0.115367387818883</v>
      </c>
      <c r="BM59" s="139">
        <f t="shared" si="30"/>
        <v>3.782206482186079E-2</v>
      </c>
      <c r="BN59" s="139">
        <f t="shared" si="30"/>
        <v>4.3839820159948806E-2</v>
      </c>
      <c r="BO59" s="140">
        <f t="shared" si="30"/>
        <v>0.11219519820365464</v>
      </c>
      <c r="BP59" s="139">
        <f t="shared" si="30"/>
        <v>3.4978828129021755E-2</v>
      </c>
      <c r="BQ59" s="139">
        <f t="shared" si="30"/>
        <v>1.7564353266895427E-2</v>
      </c>
      <c r="BR59" s="139">
        <f t="shared" si="30"/>
        <v>0.10375671596757141</v>
      </c>
      <c r="BS59" s="139">
        <f t="shared" si="30"/>
        <v>9.7017211818160254E-2</v>
      </c>
      <c r="BT59" s="140">
        <f t="shared" si="30"/>
        <v>6.3775861711511617E-2</v>
      </c>
      <c r="BU59" s="139">
        <f t="shared" si="30"/>
        <v>8.6730360040634835E-2</v>
      </c>
      <c r="BV59" s="139">
        <f t="shared" si="30"/>
        <v>6.572122009546244E-2</v>
      </c>
      <c r="BW59" s="139">
        <f t="shared" si="30"/>
        <v>6.0303617532707632E-2</v>
      </c>
      <c r="BX59" s="139">
        <f t="shared" si="30"/>
        <v>5.5673884476013402E-2</v>
      </c>
      <c r="BY59" s="140">
        <f t="shared" si="30"/>
        <v>6.7310113096960889E-2</v>
      </c>
      <c r="BZ59" s="139">
        <f t="shared" si="30"/>
        <v>5.3451790166284541E-2</v>
      </c>
      <c r="CA59" s="139">
        <f t="shared" si="30"/>
        <v>2.3411249599199602E-2</v>
      </c>
      <c r="CB59" s="139">
        <f t="shared" si="30"/>
        <v>4.7452104891057223E-2</v>
      </c>
      <c r="CC59" s="139">
        <f t="shared" si="30"/>
        <v>3.7997113257848714E-2</v>
      </c>
      <c r="CD59" s="140">
        <f t="shared" si="30"/>
        <v>4.1453942255985199E-2</v>
      </c>
      <c r="CE59" s="174"/>
      <c r="CL59" s="160"/>
      <c r="CM59" s="160"/>
    </row>
    <row r="60" spans="1:91" ht="12" customHeight="1">
      <c r="A60" s="172"/>
      <c r="B60" s="199" t="s">
        <v>129</v>
      </c>
      <c r="C60" s="139"/>
      <c r="D60" s="139"/>
      <c r="E60" s="139"/>
      <c r="F60" s="139"/>
      <c r="G60" s="140"/>
      <c r="H60" s="139"/>
      <c r="I60" s="139"/>
      <c r="J60" s="139"/>
      <c r="K60" s="139"/>
      <c r="L60" s="140"/>
      <c r="M60" s="139"/>
      <c r="N60" s="139"/>
      <c r="O60" s="139"/>
      <c r="P60" s="139"/>
      <c r="Q60" s="140"/>
      <c r="R60" s="139"/>
      <c r="S60" s="139"/>
      <c r="T60" s="139"/>
      <c r="U60" s="139"/>
      <c r="V60" s="140"/>
      <c r="W60" s="139"/>
      <c r="X60" s="139"/>
      <c r="Y60" s="139"/>
      <c r="Z60" s="139"/>
      <c r="AA60" s="140"/>
      <c r="AB60" s="139"/>
      <c r="AC60" s="139"/>
      <c r="AD60" s="139"/>
      <c r="AE60" s="139"/>
      <c r="AF60" s="140"/>
      <c r="AG60" s="139"/>
      <c r="AH60" s="139"/>
      <c r="AI60" s="139"/>
      <c r="AJ60" s="139"/>
      <c r="AK60" s="140">
        <f>AK58/AK$14</f>
        <v>5.0688802543270926E-2</v>
      </c>
      <c r="AL60" s="139"/>
      <c r="AM60" s="139"/>
      <c r="AN60" s="139"/>
      <c r="AO60" s="139"/>
      <c r="AP60" s="140">
        <f t="shared" ref="AP60:BH60" si="31">AP58/AP$14</f>
        <v>4.7569496060651105E-2</v>
      </c>
      <c r="AQ60" s="173">
        <f t="shared" si="31"/>
        <v>8.4981293425975421E-2</v>
      </c>
      <c r="AR60" s="139">
        <f t="shared" si="31"/>
        <v>8.1776880363452806E-2</v>
      </c>
      <c r="AS60" s="139">
        <f t="shared" si="31"/>
        <v>7.4581430745814303E-2</v>
      </c>
      <c r="AT60" s="139">
        <f t="shared" si="31"/>
        <v>8.4056646870717219E-2</v>
      </c>
      <c r="AU60" s="140">
        <f t="shared" si="31"/>
        <v>8.1377933100349478E-2</v>
      </c>
      <c r="AV60" s="173">
        <f t="shared" si="31"/>
        <v>8.8566073102155571E-2</v>
      </c>
      <c r="AW60" s="173">
        <f t="shared" si="31"/>
        <v>7.8935891844744879E-2</v>
      </c>
      <c r="AX60" s="173">
        <f t="shared" si="31"/>
        <v>8.1930912311780332E-2</v>
      </c>
      <c r="AY60" s="173">
        <f t="shared" si="31"/>
        <v>7.6682316118935834E-2</v>
      </c>
      <c r="AZ60" s="140">
        <f t="shared" si="31"/>
        <v>8.1206747404844293E-2</v>
      </c>
      <c r="BA60" s="173">
        <f t="shared" si="31"/>
        <v>7.9795597484276726E-2</v>
      </c>
      <c r="BB60" s="173">
        <f t="shared" si="31"/>
        <v>8.2641509433962271E-2</v>
      </c>
      <c r="BC60" s="173">
        <f t="shared" si="31"/>
        <v>8.5864266966629174E-2</v>
      </c>
      <c r="BD60" s="173">
        <f t="shared" si="31"/>
        <v>7.9168064407916808E-2</v>
      </c>
      <c r="BE60" s="140">
        <f t="shared" si="31"/>
        <v>8.1811473897804826E-2</v>
      </c>
      <c r="BF60" s="173">
        <f t="shared" si="31"/>
        <v>7.4285714285714288E-2</v>
      </c>
      <c r="BG60" s="173">
        <f t="shared" si="31"/>
        <v>6.5051020408163268E-2</v>
      </c>
      <c r="BH60" s="173">
        <f t="shared" si="31"/>
        <v>7.3170731707317069E-2</v>
      </c>
      <c r="BI60" s="173">
        <f t="shared" ref="BI60" si="32">BI58/BI$14</f>
        <v>6.8016194331983804E-2</v>
      </c>
      <c r="BJ60" s="140">
        <f>BJ58/BJ$14</f>
        <v>7.0011489850631936E-2</v>
      </c>
      <c r="BK60" s="173">
        <f t="shared" ref="BK60" si="33">BK58/BK$14</f>
        <v>7.5983717774762552E-2</v>
      </c>
      <c r="BL60" s="173">
        <f>CHOOSE(_Switch,BL61,BL62,BL63)</f>
        <v>5.955102040816327E-2</v>
      </c>
      <c r="BM60" s="173">
        <f>CHOOSE(_Switch,BM61,BM62,BM63)</f>
        <v>6.7170731707317063E-2</v>
      </c>
      <c r="BN60" s="173">
        <f>CHOOSE(_Switch,BN61,BN62,BN63)</f>
        <v>6.2016194331983805E-2</v>
      </c>
      <c r="BO60" s="140">
        <f>BO58/BO$14</f>
        <v>6.5970065657553922E-2</v>
      </c>
      <c r="BP60" s="173">
        <f>CHOOSE(_Switch,BP61,BP62,BP63)</f>
        <v>7.0983717774762548E-2</v>
      </c>
      <c r="BQ60" s="173">
        <f>CHOOSE(_Switch,BQ61,BQ62,BQ63)</f>
        <v>5.4551020408163273E-2</v>
      </c>
      <c r="BR60" s="173">
        <f>CHOOSE(_Switch,BR61,BR62,BR63)</f>
        <v>6.2170731707317066E-2</v>
      </c>
      <c r="BS60" s="173">
        <f>CHOOSE(_Switch,BS61,BS62,BS63)</f>
        <v>5.7016194331983808E-2</v>
      </c>
      <c r="BT60" s="140">
        <f>BT58/BT$14</f>
        <v>6.0906342045491023E-2</v>
      </c>
      <c r="BU60" s="173">
        <f>CHOOSE(_Switch,BU61,BU62,BU63)</f>
        <v>6.5983717774762543E-2</v>
      </c>
      <c r="BV60" s="173">
        <f>CHOOSE(_Switch,BV61,BV62,BV63)</f>
        <v>4.9551020408163275E-2</v>
      </c>
      <c r="BW60" s="173">
        <f>CHOOSE(_Switch,BW61,BW62,BW63)</f>
        <v>5.7170731707317068E-2</v>
      </c>
      <c r="BX60" s="173">
        <f>CHOOSE(_Switch,BX61,BX62,BX63)</f>
        <v>5.201619433198381E-2</v>
      </c>
      <c r="BY60" s="140">
        <f>BY58/BY$14</f>
        <v>5.5907966362331848E-2</v>
      </c>
      <c r="BZ60" s="173">
        <f>CHOOSE(_Switch,BZ61,BZ62,BZ63)</f>
        <v>6.0483717774762545E-2</v>
      </c>
      <c r="CA60" s="173">
        <f>CHOOSE(_Switch,CA61,CA62,CA63)</f>
        <v>4.4051020408163277E-2</v>
      </c>
      <c r="CB60" s="173">
        <f>CHOOSE(_Switch,CB61,CB62,CB63)</f>
        <v>5.167073170731707E-2</v>
      </c>
      <c r="CC60" s="173">
        <f>CHOOSE(_Switch,CC61,CC62,CC63)</f>
        <v>4.6516194331983812E-2</v>
      </c>
      <c r="CD60" s="140">
        <f>CD58/CD$14</f>
        <v>5.0397000009836226E-2</v>
      </c>
      <c r="CE60" s="174"/>
      <c r="CL60" s="160"/>
      <c r="CM60" s="160"/>
    </row>
    <row r="61" spans="1:91" ht="12" customHeight="1" outlineLevel="1">
      <c r="A61" s="172"/>
      <c r="B61" s="185" t="s">
        <v>121</v>
      </c>
      <c r="C61" s="186"/>
      <c r="D61" s="186"/>
      <c r="E61" s="186"/>
      <c r="F61" s="186"/>
      <c r="G61" s="187"/>
      <c r="H61" s="186"/>
      <c r="I61" s="186"/>
      <c r="J61" s="186"/>
      <c r="K61" s="186"/>
      <c r="L61" s="187"/>
      <c r="M61" s="186"/>
      <c r="N61" s="186"/>
      <c r="O61" s="186"/>
      <c r="P61" s="186"/>
      <c r="Q61" s="187"/>
      <c r="R61" s="186"/>
      <c r="S61" s="186"/>
      <c r="T61" s="186"/>
      <c r="U61" s="186"/>
      <c r="V61" s="187"/>
      <c r="W61" s="186"/>
      <c r="X61" s="186"/>
      <c r="Y61" s="186"/>
      <c r="Z61" s="186"/>
      <c r="AA61" s="187"/>
      <c r="AB61" s="186"/>
      <c r="AC61" s="186"/>
      <c r="AD61" s="186"/>
      <c r="AE61" s="186"/>
      <c r="AF61" s="187"/>
      <c r="AG61" s="186"/>
      <c r="AH61" s="186"/>
      <c r="AI61" s="186"/>
      <c r="AJ61" s="186"/>
      <c r="AK61" s="188"/>
      <c r="AL61" s="186"/>
      <c r="AM61" s="186"/>
      <c r="AN61" s="186"/>
      <c r="AO61" s="186"/>
      <c r="AP61" s="184"/>
      <c r="AQ61" s="186"/>
      <c r="AR61" s="186"/>
      <c r="AS61" s="186"/>
      <c r="AT61" s="186"/>
      <c r="AU61" s="184"/>
      <c r="AV61" s="186"/>
      <c r="AW61" s="186"/>
      <c r="AX61" s="186"/>
      <c r="AY61" s="186"/>
      <c r="AZ61" s="184"/>
      <c r="BA61" s="186"/>
      <c r="BB61" s="186"/>
      <c r="BC61" s="186"/>
      <c r="BD61" s="186"/>
      <c r="BE61" s="184"/>
      <c r="BF61" s="186"/>
      <c r="BG61" s="186"/>
      <c r="BH61" s="186"/>
      <c r="BI61" s="186"/>
      <c r="BJ61" s="184"/>
      <c r="BK61" s="186"/>
      <c r="BL61" s="200">
        <f>BL62-0.0025</f>
        <v>5.7051020408163268E-2</v>
      </c>
      <c r="BM61" s="200">
        <f>BM62-0.0025</f>
        <v>6.4670731707317061E-2</v>
      </c>
      <c r="BN61" s="200">
        <f>BN62-0.0025</f>
        <v>5.9516194331983803E-2</v>
      </c>
      <c r="BO61" s="184"/>
      <c r="BP61" s="200">
        <f>BP62-0.0025</f>
        <v>6.8483717774762545E-2</v>
      </c>
      <c r="BQ61" s="200">
        <f>BQ62-0.0025</f>
        <v>5.205102040816327E-2</v>
      </c>
      <c r="BR61" s="200">
        <f>BR62-0.0025</f>
        <v>5.9670731707317064E-2</v>
      </c>
      <c r="BS61" s="200">
        <f>BS62-0.0025</f>
        <v>5.4516194331983805E-2</v>
      </c>
      <c r="BT61" s="184"/>
      <c r="BU61" s="200">
        <f>BU62-0.0025</f>
        <v>6.3483717774762541E-2</v>
      </c>
      <c r="BV61" s="200">
        <f>BV62-0.0025</f>
        <v>4.7051020408163273E-2</v>
      </c>
      <c r="BW61" s="200">
        <f>BW62-0.0025</f>
        <v>5.4670731707317066E-2</v>
      </c>
      <c r="BX61" s="200">
        <f>BX62-0.0025</f>
        <v>4.9516194331983808E-2</v>
      </c>
      <c r="BY61" s="184"/>
      <c r="BZ61" s="200">
        <f>BZ62-0.0025</f>
        <v>5.7983717774762543E-2</v>
      </c>
      <c r="CA61" s="200">
        <f>CA62-0.0025</f>
        <v>4.1551020408163275E-2</v>
      </c>
      <c r="CB61" s="200">
        <f>CB62-0.0025</f>
        <v>4.9170731707317068E-2</v>
      </c>
      <c r="CC61" s="200">
        <f>CC62-0.0025</f>
        <v>4.401619433198381E-2</v>
      </c>
      <c r="CD61" s="184"/>
      <c r="CE61" s="174"/>
      <c r="CL61" s="160"/>
      <c r="CM61" s="160"/>
    </row>
    <row r="62" spans="1:91" ht="12" customHeight="1" outlineLevel="1">
      <c r="A62" s="172"/>
      <c r="B62" s="185" t="s">
        <v>122</v>
      </c>
      <c r="C62" s="186"/>
      <c r="D62" s="186"/>
      <c r="E62" s="186"/>
      <c r="F62" s="186"/>
      <c r="G62" s="187"/>
      <c r="H62" s="186"/>
      <c r="I62" s="186"/>
      <c r="J62" s="186"/>
      <c r="K62" s="186"/>
      <c r="L62" s="187"/>
      <c r="M62" s="186"/>
      <c r="N62" s="186"/>
      <c r="O62" s="186"/>
      <c r="P62" s="186"/>
      <c r="Q62" s="187"/>
      <c r="R62" s="186"/>
      <c r="S62" s="186"/>
      <c r="T62" s="186"/>
      <c r="U62" s="186"/>
      <c r="V62" s="187"/>
      <c r="W62" s="186"/>
      <c r="X62" s="186"/>
      <c r="Y62" s="186"/>
      <c r="Z62" s="186"/>
      <c r="AA62" s="187"/>
      <c r="AB62" s="186"/>
      <c r="AC62" s="186"/>
      <c r="AD62" s="186"/>
      <c r="AE62" s="186"/>
      <c r="AF62" s="187"/>
      <c r="AG62" s="186"/>
      <c r="AH62" s="186"/>
      <c r="AI62" s="186"/>
      <c r="AJ62" s="186"/>
      <c r="AK62" s="188"/>
      <c r="AL62" s="186"/>
      <c r="AM62" s="186"/>
      <c r="AN62" s="186"/>
      <c r="AO62" s="186"/>
      <c r="AP62" s="184"/>
      <c r="AQ62" s="186"/>
      <c r="AR62" s="186"/>
      <c r="AS62" s="186"/>
      <c r="AT62" s="186"/>
      <c r="AU62" s="184"/>
      <c r="AV62" s="186"/>
      <c r="AW62" s="186"/>
      <c r="AX62" s="186"/>
      <c r="AY62" s="186"/>
      <c r="AZ62" s="184"/>
      <c r="BA62" s="186"/>
      <c r="BB62" s="186"/>
      <c r="BC62" s="186"/>
      <c r="BD62" s="186"/>
      <c r="BE62" s="184"/>
      <c r="BF62" s="186"/>
      <c r="BG62" s="186"/>
      <c r="BH62" s="186"/>
      <c r="BI62" s="186"/>
      <c r="BJ62" s="184"/>
      <c r="BK62" s="186"/>
      <c r="BL62" s="200">
        <f t="shared" ref="BL62" si="34">+BG60-0.55%</f>
        <v>5.955102040816327E-2</v>
      </c>
      <c r="BM62" s="200">
        <f>+BH60-0.6%</f>
        <v>6.7170731707317063E-2</v>
      </c>
      <c r="BN62" s="200">
        <f>+BI60-0.6%</f>
        <v>6.2016194331983805E-2</v>
      </c>
      <c r="BO62" s="184"/>
      <c r="BP62" s="200">
        <f>+BK60-0.5%</f>
        <v>7.0983717774762548E-2</v>
      </c>
      <c r="BQ62" s="200">
        <f t="shared" ref="BQ62:BS62" si="35">+BL62-0.5%</f>
        <v>5.4551020408163273E-2</v>
      </c>
      <c r="BR62" s="200">
        <f t="shared" si="35"/>
        <v>6.2170731707317066E-2</v>
      </c>
      <c r="BS62" s="200">
        <f t="shared" si="35"/>
        <v>5.7016194331983808E-2</v>
      </c>
      <c r="BT62" s="184"/>
      <c r="BU62" s="200">
        <f>+BP62-0.5%</f>
        <v>6.5983717774762543E-2</v>
      </c>
      <c r="BV62" s="200">
        <f t="shared" ref="BV62:BX62" si="36">+BQ62-0.5%</f>
        <v>4.9551020408163275E-2</v>
      </c>
      <c r="BW62" s="200">
        <f t="shared" si="36"/>
        <v>5.7170731707317068E-2</v>
      </c>
      <c r="BX62" s="200">
        <f t="shared" si="36"/>
        <v>5.201619433198381E-2</v>
      </c>
      <c r="BY62" s="184"/>
      <c r="BZ62" s="200">
        <f>+BU62-0.55%</f>
        <v>6.0483717774762545E-2</v>
      </c>
      <c r="CA62" s="200">
        <f t="shared" ref="CA62:CC62" si="37">+BV62-0.55%</f>
        <v>4.4051020408163277E-2</v>
      </c>
      <c r="CB62" s="200">
        <f t="shared" si="37"/>
        <v>5.167073170731707E-2</v>
      </c>
      <c r="CC62" s="200">
        <f t="shared" si="37"/>
        <v>4.6516194331983812E-2</v>
      </c>
      <c r="CD62" s="184"/>
      <c r="CE62" s="174"/>
      <c r="CL62" s="160"/>
      <c r="CM62" s="160"/>
    </row>
    <row r="63" spans="1:91" ht="12" customHeight="1" outlineLevel="1">
      <c r="A63" s="172"/>
      <c r="B63" s="185" t="s">
        <v>123</v>
      </c>
      <c r="C63" s="186"/>
      <c r="D63" s="186"/>
      <c r="E63" s="186"/>
      <c r="F63" s="186"/>
      <c r="G63" s="187"/>
      <c r="H63" s="186"/>
      <c r="I63" s="186"/>
      <c r="J63" s="186"/>
      <c r="K63" s="186"/>
      <c r="L63" s="187"/>
      <c r="M63" s="186"/>
      <c r="N63" s="186"/>
      <c r="O63" s="186"/>
      <c r="P63" s="186"/>
      <c r="Q63" s="187"/>
      <c r="R63" s="186"/>
      <c r="S63" s="186"/>
      <c r="T63" s="186"/>
      <c r="U63" s="186"/>
      <c r="V63" s="187"/>
      <c r="W63" s="186"/>
      <c r="X63" s="186"/>
      <c r="Y63" s="186"/>
      <c r="Z63" s="186"/>
      <c r="AA63" s="187"/>
      <c r="AB63" s="186"/>
      <c r="AC63" s="186"/>
      <c r="AD63" s="186"/>
      <c r="AE63" s="186"/>
      <c r="AF63" s="187"/>
      <c r="AG63" s="186"/>
      <c r="AH63" s="186"/>
      <c r="AI63" s="186"/>
      <c r="AJ63" s="186"/>
      <c r="AK63" s="188"/>
      <c r="AL63" s="186"/>
      <c r="AM63" s="186"/>
      <c r="AN63" s="186"/>
      <c r="AO63" s="186"/>
      <c r="AP63" s="184"/>
      <c r="AQ63" s="186"/>
      <c r="AR63" s="186"/>
      <c r="AS63" s="186"/>
      <c r="AT63" s="186"/>
      <c r="AU63" s="184"/>
      <c r="AV63" s="186"/>
      <c r="AW63" s="186"/>
      <c r="AX63" s="186"/>
      <c r="AY63" s="186"/>
      <c r="AZ63" s="184"/>
      <c r="BA63" s="186"/>
      <c r="BB63" s="186"/>
      <c r="BC63" s="186"/>
      <c r="BD63" s="186"/>
      <c r="BE63" s="184"/>
      <c r="BF63" s="186"/>
      <c r="BG63" s="186"/>
      <c r="BH63" s="186"/>
      <c r="BI63" s="186"/>
      <c r="BJ63" s="184"/>
      <c r="BK63" s="186"/>
      <c r="BL63" s="200">
        <f>+BL62</f>
        <v>5.955102040816327E-2</v>
      </c>
      <c r="BM63" s="200">
        <f>+BM62</f>
        <v>6.7170731707317063E-2</v>
      </c>
      <c r="BN63" s="200">
        <f>+BN62</f>
        <v>6.2016194331983805E-2</v>
      </c>
      <c r="BO63" s="184"/>
      <c r="BP63" s="200">
        <f>+BP62</f>
        <v>7.0983717774762548E-2</v>
      </c>
      <c r="BQ63" s="200">
        <f>+BQ62</f>
        <v>5.4551020408163273E-2</v>
      </c>
      <c r="BR63" s="200">
        <f>+BR62</f>
        <v>6.2170731707317066E-2</v>
      </c>
      <c r="BS63" s="200">
        <f>+BS62</f>
        <v>5.7016194331983808E-2</v>
      </c>
      <c r="BT63" s="184"/>
      <c r="BU63" s="200">
        <f>+BU62</f>
        <v>6.5983717774762543E-2</v>
      </c>
      <c r="BV63" s="200">
        <f>+BV62</f>
        <v>4.9551020408163275E-2</v>
      </c>
      <c r="BW63" s="200">
        <f>+BW62</f>
        <v>5.7170731707317068E-2</v>
      </c>
      <c r="BX63" s="200">
        <f>+BX62</f>
        <v>5.201619433198381E-2</v>
      </c>
      <c r="BY63" s="184"/>
      <c r="BZ63" s="200">
        <f>+BZ62</f>
        <v>6.0483717774762545E-2</v>
      </c>
      <c r="CA63" s="200">
        <f>+CA62</f>
        <v>4.4051020408163277E-2</v>
      </c>
      <c r="CB63" s="200">
        <f>+CB62</f>
        <v>5.167073170731707E-2</v>
      </c>
      <c r="CC63" s="200">
        <f>+CC62</f>
        <v>4.6516194331983812E-2</v>
      </c>
      <c r="CD63" s="184"/>
      <c r="CE63" s="174"/>
      <c r="CL63" s="160"/>
      <c r="CM63" s="160"/>
    </row>
    <row r="64" spans="1:91" ht="12.75" customHeight="1">
      <c r="A64" s="172"/>
      <c r="B64" s="163"/>
      <c r="C64" s="202"/>
      <c r="D64" s="202"/>
      <c r="E64" s="202"/>
      <c r="F64" s="203"/>
      <c r="G64" s="143"/>
      <c r="H64" s="202"/>
      <c r="I64" s="202"/>
      <c r="J64" s="202"/>
      <c r="K64" s="203"/>
      <c r="L64" s="143"/>
      <c r="M64" s="202"/>
      <c r="N64" s="202"/>
      <c r="O64" s="202"/>
      <c r="P64" s="203"/>
      <c r="Q64" s="143"/>
      <c r="R64" s="202"/>
      <c r="S64" s="202"/>
      <c r="T64" s="202"/>
      <c r="U64" s="203"/>
      <c r="V64" s="143"/>
      <c r="W64" s="202"/>
      <c r="X64" s="202"/>
      <c r="Y64" s="202"/>
      <c r="Z64" s="203"/>
      <c r="AA64" s="143"/>
      <c r="AB64" s="202"/>
      <c r="AC64" s="202"/>
      <c r="AD64" s="202"/>
      <c r="AE64" s="203"/>
      <c r="AF64" s="143"/>
      <c r="AG64" s="202"/>
      <c r="AH64" s="202"/>
      <c r="AI64" s="202"/>
      <c r="AJ64" s="203"/>
      <c r="AK64" s="144"/>
      <c r="AL64" s="204"/>
      <c r="AM64" s="204"/>
      <c r="AN64" s="204"/>
      <c r="AO64" s="203"/>
      <c r="AP64" s="144"/>
      <c r="AQ64" s="203"/>
      <c r="AR64" s="203"/>
      <c r="AS64" s="203"/>
      <c r="AT64" s="203"/>
      <c r="AU64" s="144"/>
      <c r="AV64" s="203"/>
      <c r="AW64" s="203"/>
      <c r="AX64" s="203"/>
      <c r="AY64" s="203"/>
      <c r="AZ64" s="144"/>
      <c r="BA64" s="203"/>
      <c r="BB64" s="203"/>
      <c r="BC64" s="203"/>
      <c r="BD64" s="203"/>
      <c r="BE64" s="144"/>
      <c r="BF64" s="203"/>
      <c r="BG64" s="203"/>
      <c r="BH64" s="203"/>
      <c r="BI64" s="203"/>
      <c r="BJ64" s="144"/>
      <c r="BK64" s="203"/>
      <c r="BL64" s="203"/>
      <c r="BM64" s="203"/>
      <c r="BN64" s="203"/>
      <c r="BO64" s="144"/>
      <c r="BP64" s="203"/>
      <c r="BQ64" s="203"/>
      <c r="BR64" s="203"/>
      <c r="BS64" s="203"/>
      <c r="BT64" s="144"/>
      <c r="BU64" s="203"/>
      <c r="BV64" s="203"/>
      <c r="BW64" s="203"/>
      <c r="BX64" s="203"/>
      <c r="BY64" s="144"/>
      <c r="BZ64" s="203"/>
      <c r="CA64" s="203"/>
      <c r="CB64" s="203"/>
      <c r="CC64" s="203"/>
      <c r="CD64" s="144"/>
      <c r="CE64" s="174"/>
      <c r="CL64" s="160"/>
      <c r="CM64" s="160"/>
    </row>
    <row r="65" spans="1:91" ht="12" customHeight="1">
      <c r="A65" s="195"/>
      <c r="B65" s="1257" t="s">
        <v>589</v>
      </c>
      <c r="C65" s="196"/>
      <c r="D65" s="196"/>
      <c r="E65" s="196"/>
      <c r="F65" s="196"/>
      <c r="G65" s="168"/>
      <c r="H65" s="196"/>
      <c r="I65" s="196"/>
      <c r="J65" s="196"/>
      <c r="K65" s="196"/>
      <c r="L65" s="168"/>
      <c r="M65" s="196"/>
      <c r="N65" s="196"/>
      <c r="O65" s="196"/>
      <c r="P65" s="196"/>
      <c r="Q65" s="168"/>
      <c r="R65" s="196"/>
      <c r="S65" s="196"/>
      <c r="T65" s="196"/>
      <c r="U65" s="196"/>
      <c r="V65" s="168"/>
      <c r="W65" s="196"/>
      <c r="X65" s="196"/>
      <c r="Y65" s="196"/>
      <c r="Z65" s="196"/>
      <c r="AA65" s="168"/>
      <c r="AB65" s="196"/>
      <c r="AC65" s="196"/>
      <c r="AD65" s="196"/>
      <c r="AE65" s="196"/>
      <c r="AF65" s="168"/>
      <c r="AG65" s="196"/>
      <c r="AH65" s="196"/>
      <c r="AI65" s="196"/>
      <c r="AJ65" s="196"/>
      <c r="AK65" s="169"/>
      <c r="AL65" s="116"/>
      <c r="AM65" s="116"/>
      <c r="AN65" s="116"/>
      <c r="AO65" s="116"/>
      <c r="AP65" s="169"/>
      <c r="AQ65" s="197"/>
      <c r="AR65" s="116"/>
      <c r="AS65" s="116"/>
      <c r="AT65" s="116"/>
      <c r="AU65" s="144"/>
      <c r="AV65" s="197"/>
      <c r="AW65" s="100"/>
      <c r="AX65" s="100"/>
      <c r="AY65" s="100"/>
      <c r="AZ65" s="144"/>
      <c r="BA65" s="100"/>
      <c r="BB65" s="100"/>
      <c r="BC65" s="100"/>
      <c r="BD65" s="100"/>
      <c r="BE65" s="144"/>
      <c r="BF65" s="100"/>
      <c r="BG65" s="100"/>
      <c r="BH65" s="100"/>
      <c r="BI65" s="100">
        <f>317+92-39</f>
        <v>370</v>
      </c>
      <c r="BJ65" s="144">
        <f>SUM(BF65:BI65)</f>
        <v>370</v>
      </c>
      <c r="BK65" s="100">
        <f>153-BK122</f>
        <v>128</v>
      </c>
      <c r="BL65" s="145">
        <f>BL67*'Segment Detail'!BL6</f>
        <v>140.56133787169338</v>
      </c>
      <c r="BM65" s="145"/>
      <c r="BN65" s="145"/>
      <c r="BO65" s="144">
        <f>SUM(BK65:BN65)</f>
        <v>268.56133787169335</v>
      </c>
      <c r="BP65" s="145"/>
      <c r="BQ65" s="145"/>
      <c r="BR65" s="145"/>
      <c r="BS65" s="145"/>
      <c r="BT65" s="144"/>
      <c r="BU65" s="145"/>
      <c r="BV65" s="145"/>
      <c r="BW65" s="145"/>
      <c r="BX65" s="145"/>
      <c r="BY65" s="144"/>
      <c r="BZ65" s="145"/>
      <c r="CA65" s="145"/>
      <c r="CB65" s="145"/>
      <c r="CC65" s="145"/>
      <c r="CD65" s="144"/>
      <c r="CE65" s="205"/>
      <c r="CL65" s="160"/>
      <c r="CM65" s="160"/>
    </row>
    <row r="66" spans="1:91" ht="12" customHeight="1">
      <c r="A66" s="172"/>
      <c r="B66" s="138" t="s">
        <v>21</v>
      </c>
      <c r="C66" s="139"/>
      <c r="D66" s="139"/>
      <c r="E66" s="139"/>
      <c r="F66" s="139"/>
      <c r="G66" s="140"/>
      <c r="H66" s="139"/>
      <c r="I66" s="139"/>
      <c r="J66" s="139"/>
      <c r="K66" s="139"/>
      <c r="L66" s="140"/>
      <c r="M66" s="139"/>
      <c r="N66" s="139"/>
      <c r="O66" s="139"/>
      <c r="P66" s="139"/>
      <c r="Q66" s="140"/>
      <c r="R66" s="139"/>
      <c r="S66" s="139"/>
      <c r="T66" s="139"/>
      <c r="U66" s="139"/>
      <c r="V66" s="140"/>
      <c r="W66" s="139"/>
      <c r="X66" s="139"/>
      <c r="Y66" s="139"/>
      <c r="Z66" s="139"/>
      <c r="AA66" s="140"/>
      <c r="AB66" s="139"/>
      <c r="AC66" s="139"/>
      <c r="AD66" s="139"/>
      <c r="AE66" s="139"/>
      <c r="AF66" s="140"/>
      <c r="AG66" s="139"/>
      <c r="AH66" s="139"/>
      <c r="AI66" s="139"/>
      <c r="AJ66" s="139"/>
      <c r="AK66" s="140"/>
      <c r="AL66" s="139"/>
      <c r="AM66" s="139"/>
      <c r="AN66" s="139"/>
      <c r="AO66" s="139"/>
      <c r="AP66" s="140"/>
      <c r="AQ66" s="139"/>
      <c r="AR66" s="139"/>
      <c r="AS66" s="139"/>
      <c r="AT66" s="139"/>
      <c r="AU66" s="140"/>
      <c r="AV66" s="139"/>
      <c r="AW66" s="139"/>
      <c r="AX66" s="139"/>
      <c r="AY66" s="139"/>
      <c r="AZ66" s="140"/>
      <c r="BA66" s="139"/>
      <c r="BB66" s="139"/>
      <c r="BC66" s="139"/>
      <c r="BD66" s="139"/>
      <c r="BE66" s="140"/>
      <c r="BF66" s="139"/>
      <c r="BG66" s="139"/>
      <c r="BH66" s="139"/>
      <c r="BI66" s="139"/>
      <c r="BJ66" s="140" t="str">
        <f t="shared" ref="BJ66" si="38">IF(ISERROR(BJ65/BE65-1), "NM", (BJ65/BE65-1))</f>
        <v>NM</v>
      </c>
      <c r="BK66" s="139" t="str">
        <f t="shared" ref="BK66" si="39">IF(ISERROR(BK65/BF65-1), "NM", (BK65/BF65-1))</f>
        <v>NM</v>
      </c>
      <c r="BL66" s="139" t="str">
        <f t="shared" ref="BL66" si="40">IF(ISERROR(BL65/BG65-1), "NM", (BL65/BG65-1))</f>
        <v>NM</v>
      </c>
      <c r="BM66" s="145"/>
      <c r="BN66" s="145"/>
      <c r="BO66" s="140">
        <f t="shared" ref="BO66" si="41">IF(ISERROR(BO65/BJ65-1), "NM", (BO65/BJ65-1))</f>
        <v>-0.27415854629272063</v>
      </c>
      <c r="BP66" s="145"/>
      <c r="BQ66" s="145"/>
      <c r="BR66" s="145"/>
      <c r="BS66" s="145"/>
      <c r="BT66" s="144"/>
      <c r="BU66" s="145"/>
      <c r="BV66" s="145"/>
      <c r="BW66" s="145"/>
      <c r="BX66" s="145"/>
      <c r="BY66" s="144"/>
      <c r="BZ66" s="145"/>
      <c r="CA66" s="145"/>
      <c r="CB66" s="145"/>
      <c r="CC66" s="145"/>
      <c r="CD66" s="144"/>
      <c r="CE66" s="174"/>
      <c r="CL66" s="160"/>
      <c r="CM66" s="160"/>
    </row>
    <row r="67" spans="1:91" ht="12" customHeight="1">
      <c r="A67" s="172"/>
      <c r="B67" s="199" t="s">
        <v>590</v>
      </c>
      <c r="C67" s="139"/>
      <c r="D67" s="139"/>
      <c r="E67" s="139"/>
      <c r="F67" s="139"/>
      <c r="G67" s="140"/>
      <c r="H67" s="139"/>
      <c r="I67" s="139"/>
      <c r="J67" s="139"/>
      <c r="K67" s="139"/>
      <c r="L67" s="140"/>
      <c r="M67" s="139"/>
      <c r="N67" s="139"/>
      <c r="O67" s="139"/>
      <c r="P67" s="139"/>
      <c r="Q67" s="140"/>
      <c r="R67" s="139"/>
      <c r="S67" s="139"/>
      <c r="T67" s="139"/>
      <c r="U67" s="139"/>
      <c r="V67" s="140"/>
      <c r="W67" s="139"/>
      <c r="X67" s="139"/>
      <c r="Y67" s="139"/>
      <c r="Z67" s="139"/>
      <c r="AA67" s="140"/>
      <c r="AB67" s="139"/>
      <c r="AC67" s="139"/>
      <c r="AD67" s="139"/>
      <c r="AE67" s="139"/>
      <c r="AF67" s="140"/>
      <c r="AG67" s="139"/>
      <c r="AH67" s="139"/>
      <c r="AI67" s="139"/>
      <c r="AJ67" s="139"/>
      <c r="AK67" s="140"/>
      <c r="AL67" s="139"/>
      <c r="AM67" s="139"/>
      <c r="AN67" s="139"/>
      <c r="AO67" s="139"/>
      <c r="AP67" s="140"/>
      <c r="AQ67" s="173"/>
      <c r="AR67" s="139"/>
      <c r="AS67" s="139"/>
      <c r="AT67" s="139"/>
      <c r="AU67" s="140"/>
      <c r="AV67" s="173"/>
      <c r="AW67" s="173"/>
      <c r="AX67" s="173"/>
      <c r="AY67" s="173"/>
      <c r="AZ67" s="140"/>
      <c r="BA67" s="173"/>
      <c r="BB67" s="173"/>
      <c r="BC67" s="173"/>
      <c r="BD67" s="173"/>
      <c r="BE67" s="140"/>
      <c r="BF67" s="173"/>
      <c r="BG67" s="173"/>
      <c r="BH67" s="173"/>
      <c r="BI67" s="173"/>
      <c r="BJ67" s="140"/>
      <c r="BK67" s="173">
        <f>+BK65/'Segment Detail'!BK6</f>
        <v>9.6703031035629027E-4</v>
      </c>
      <c r="BL67" s="173">
        <f>CHOOSE(_Switch,BL68,BL69,BL70)</f>
        <v>1E-3</v>
      </c>
      <c r="BM67" s="145"/>
      <c r="BN67" s="145"/>
      <c r="BO67" s="140"/>
      <c r="BP67" s="145"/>
      <c r="BQ67" s="145"/>
      <c r="BR67" s="145"/>
      <c r="BS67" s="145"/>
      <c r="BT67" s="144"/>
      <c r="BU67" s="145"/>
      <c r="BV67" s="145"/>
      <c r="BW67" s="145"/>
      <c r="BX67" s="145"/>
      <c r="BY67" s="144"/>
      <c r="BZ67" s="145"/>
      <c r="CA67" s="145"/>
      <c r="CB67" s="145"/>
      <c r="CC67" s="145"/>
      <c r="CD67" s="144"/>
      <c r="CE67" s="174"/>
      <c r="CL67" s="160"/>
      <c r="CM67" s="160"/>
    </row>
    <row r="68" spans="1:91" ht="12" customHeight="1" outlineLevel="1">
      <c r="A68" s="172"/>
      <c r="B68" s="185" t="s">
        <v>121</v>
      </c>
      <c r="C68" s="186"/>
      <c r="D68" s="186"/>
      <c r="E68" s="186"/>
      <c r="F68" s="186"/>
      <c r="G68" s="187"/>
      <c r="H68" s="186"/>
      <c r="I68" s="186"/>
      <c r="J68" s="186"/>
      <c r="K68" s="186"/>
      <c r="L68" s="187"/>
      <c r="M68" s="186"/>
      <c r="N68" s="186"/>
      <c r="O68" s="186"/>
      <c r="P68" s="186"/>
      <c r="Q68" s="187"/>
      <c r="R68" s="186"/>
      <c r="S68" s="186"/>
      <c r="T68" s="186"/>
      <c r="U68" s="186"/>
      <c r="V68" s="187"/>
      <c r="W68" s="186"/>
      <c r="X68" s="186"/>
      <c r="Y68" s="186"/>
      <c r="Z68" s="186"/>
      <c r="AA68" s="187"/>
      <c r="AB68" s="186"/>
      <c r="AC68" s="186"/>
      <c r="AD68" s="186"/>
      <c r="AE68" s="186"/>
      <c r="AF68" s="187"/>
      <c r="AG68" s="186"/>
      <c r="AH68" s="186"/>
      <c r="AI68" s="186"/>
      <c r="AJ68" s="186"/>
      <c r="AK68" s="188"/>
      <c r="AL68" s="186"/>
      <c r="AM68" s="186"/>
      <c r="AN68" s="186"/>
      <c r="AO68" s="186"/>
      <c r="AP68" s="184"/>
      <c r="AQ68" s="186"/>
      <c r="AR68" s="186"/>
      <c r="AS68" s="186"/>
      <c r="AT68" s="186"/>
      <c r="AU68" s="184"/>
      <c r="AV68" s="186"/>
      <c r="AW68" s="186"/>
      <c r="AX68" s="186"/>
      <c r="AY68" s="186"/>
      <c r="AZ68" s="184"/>
      <c r="BA68" s="186"/>
      <c r="BB68" s="186"/>
      <c r="BC68" s="186"/>
      <c r="BD68" s="186"/>
      <c r="BE68" s="184"/>
      <c r="BF68" s="186"/>
      <c r="BG68" s="186"/>
      <c r="BH68" s="186"/>
      <c r="BI68" s="186"/>
      <c r="BJ68" s="184"/>
      <c r="BK68" s="186"/>
      <c r="BL68" s="183">
        <v>1.2999999999999999E-3</v>
      </c>
      <c r="BM68" s="145"/>
      <c r="BN68" s="145"/>
      <c r="BO68" s="144"/>
      <c r="BP68" s="145"/>
      <c r="BQ68" s="145"/>
      <c r="BR68" s="145"/>
      <c r="BS68" s="145"/>
      <c r="BT68" s="144"/>
      <c r="BU68" s="145"/>
      <c r="BV68" s="145"/>
      <c r="BW68" s="145"/>
      <c r="BX68" s="145"/>
      <c r="BY68" s="144"/>
      <c r="BZ68" s="145"/>
      <c r="CA68" s="145"/>
      <c r="CB68" s="145"/>
      <c r="CC68" s="145"/>
      <c r="CD68" s="144"/>
      <c r="CE68" s="174"/>
      <c r="CL68" s="160"/>
      <c r="CM68" s="160"/>
    </row>
    <row r="69" spans="1:91" ht="12" customHeight="1" outlineLevel="1">
      <c r="A69" s="172"/>
      <c r="B69" s="185" t="s">
        <v>122</v>
      </c>
      <c r="C69" s="186"/>
      <c r="D69" s="186"/>
      <c r="E69" s="186"/>
      <c r="F69" s="186"/>
      <c r="G69" s="187"/>
      <c r="H69" s="186"/>
      <c r="I69" s="186"/>
      <c r="J69" s="186"/>
      <c r="K69" s="186"/>
      <c r="L69" s="187"/>
      <c r="M69" s="186"/>
      <c r="N69" s="186"/>
      <c r="O69" s="186"/>
      <c r="P69" s="186"/>
      <c r="Q69" s="187"/>
      <c r="R69" s="186"/>
      <c r="S69" s="186"/>
      <c r="T69" s="186"/>
      <c r="U69" s="186"/>
      <c r="V69" s="187"/>
      <c r="W69" s="186"/>
      <c r="X69" s="186"/>
      <c r="Y69" s="186"/>
      <c r="Z69" s="186"/>
      <c r="AA69" s="187"/>
      <c r="AB69" s="186"/>
      <c r="AC69" s="186"/>
      <c r="AD69" s="186"/>
      <c r="AE69" s="186"/>
      <c r="AF69" s="187"/>
      <c r="AG69" s="186"/>
      <c r="AH69" s="186"/>
      <c r="AI69" s="186"/>
      <c r="AJ69" s="186"/>
      <c r="AK69" s="188"/>
      <c r="AL69" s="186"/>
      <c r="AM69" s="186"/>
      <c r="AN69" s="186"/>
      <c r="AO69" s="186"/>
      <c r="AP69" s="184"/>
      <c r="AQ69" s="186"/>
      <c r="AR69" s="186"/>
      <c r="AS69" s="186"/>
      <c r="AT69" s="186"/>
      <c r="AU69" s="184"/>
      <c r="AV69" s="186"/>
      <c r="AW69" s="186"/>
      <c r="AX69" s="186"/>
      <c r="AY69" s="186"/>
      <c r="AZ69" s="184"/>
      <c r="BA69" s="186"/>
      <c r="BB69" s="186"/>
      <c r="BC69" s="186"/>
      <c r="BD69" s="186"/>
      <c r="BE69" s="184"/>
      <c r="BF69" s="186"/>
      <c r="BG69" s="186"/>
      <c r="BH69" s="186"/>
      <c r="BI69" s="186"/>
      <c r="BJ69" s="184"/>
      <c r="BK69" s="186"/>
      <c r="BL69" s="183">
        <v>1E-3</v>
      </c>
      <c r="BM69" s="145"/>
      <c r="BN69" s="145"/>
      <c r="BO69" s="144"/>
      <c r="BP69" s="145"/>
      <c r="BQ69" s="145"/>
      <c r="BR69" s="145"/>
      <c r="BS69" s="145"/>
      <c r="BT69" s="144"/>
      <c r="BU69" s="145"/>
      <c r="BV69" s="145"/>
      <c r="BW69" s="145"/>
      <c r="BX69" s="145"/>
      <c r="BY69" s="144"/>
      <c r="BZ69" s="145"/>
      <c r="CA69" s="145"/>
      <c r="CB69" s="145"/>
      <c r="CC69" s="145"/>
      <c r="CD69" s="144"/>
      <c r="CE69" s="174"/>
      <c r="CL69" s="160"/>
      <c r="CM69" s="160"/>
    </row>
    <row r="70" spans="1:91" ht="12" customHeight="1" outlineLevel="1">
      <c r="A70" s="172"/>
      <c r="B70" s="185" t="s">
        <v>123</v>
      </c>
      <c r="C70" s="186"/>
      <c r="D70" s="186"/>
      <c r="E70" s="186"/>
      <c r="F70" s="186"/>
      <c r="G70" s="187"/>
      <c r="H70" s="186"/>
      <c r="I70" s="186"/>
      <c r="J70" s="186"/>
      <c r="K70" s="186"/>
      <c r="L70" s="187"/>
      <c r="M70" s="186"/>
      <c r="N70" s="186"/>
      <c r="O70" s="186"/>
      <c r="P70" s="186"/>
      <c r="Q70" s="187"/>
      <c r="R70" s="186"/>
      <c r="S70" s="186"/>
      <c r="T70" s="186"/>
      <c r="U70" s="186"/>
      <c r="V70" s="187"/>
      <c r="W70" s="186"/>
      <c r="X70" s="186"/>
      <c r="Y70" s="186"/>
      <c r="Z70" s="186"/>
      <c r="AA70" s="187"/>
      <c r="AB70" s="186"/>
      <c r="AC70" s="186"/>
      <c r="AD70" s="186"/>
      <c r="AE70" s="186"/>
      <c r="AF70" s="187"/>
      <c r="AG70" s="186"/>
      <c r="AH70" s="186"/>
      <c r="AI70" s="186"/>
      <c r="AJ70" s="186"/>
      <c r="AK70" s="188"/>
      <c r="AL70" s="186"/>
      <c r="AM70" s="186"/>
      <c r="AN70" s="186"/>
      <c r="AO70" s="186"/>
      <c r="AP70" s="184"/>
      <c r="AQ70" s="186"/>
      <c r="AR70" s="186"/>
      <c r="AS70" s="186"/>
      <c r="AT70" s="186"/>
      <c r="AU70" s="184"/>
      <c r="AV70" s="186"/>
      <c r="AW70" s="186"/>
      <c r="AX70" s="186"/>
      <c r="AY70" s="186"/>
      <c r="AZ70" s="184"/>
      <c r="BA70" s="186"/>
      <c r="BB70" s="186"/>
      <c r="BC70" s="186"/>
      <c r="BD70" s="186"/>
      <c r="BE70" s="184"/>
      <c r="BF70" s="186"/>
      <c r="BG70" s="186"/>
      <c r="BH70" s="186"/>
      <c r="BI70" s="186"/>
      <c r="BJ70" s="184"/>
      <c r="BK70" s="186"/>
      <c r="BL70" s="183">
        <v>8.9999999999999998E-4</v>
      </c>
      <c r="BM70" s="145"/>
      <c r="BN70" s="145"/>
      <c r="BO70" s="144"/>
      <c r="BP70" s="145"/>
      <c r="BQ70" s="145"/>
      <c r="BR70" s="145"/>
      <c r="BS70" s="145"/>
      <c r="BT70" s="144"/>
      <c r="BU70" s="145"/>
      <c r="BV70" s="145"/>
      <c r="BW70" s="145"/>
      <c r="BX70" s="145"/>
      <c r="BY70" s="144"/>
      <c r="BZ70" s="145"/>
      <c r="CA70" s="145"/>
      <c r="CB70" s="145"/>
      <c r="CC70" s="145"/>
      <c r="CD70" s="144"/>
      <c r="CE70" s="174"/>
      <c r="CL70" s="160"/>
      <c r="CM70" s="160"/>
    </row>
    <row r="71" spans="1:91" ht="12" customHeight="1" outlineLevel="1">
      <c r="A71" s="172"/>
      <c r="B71" s="163"/>
      <c r="C71" s="202"/>
      <c r="D71" s="202"/>
      <c r="E71" s="202"/>
      <c r="F71" s="203"/>
      <c r="G71" s="143"/>
      <c r="H71" s="202"/>
      <c r="I71" s="202"/>
      <c r="J71" s="202"/>
      <c r="K71" s="203"/>
      <c r="L71" s="143"/>
      <c r="M71" s="202"/>
      <c r="N71" s="202"/>
      <c r="O71" s="202"/>
      <c r="P71" s="203"/>
      <c r="Q71" s="143"/>
      <c r="R71" s="202"/>
      <c r="S71" s="202"/>
      <c r="T71" s="202"/>
      <c r="U71" s="203"/>
      <c r="V71" s="143"/>
      <c r="W71" s="202"/>
      <c r="X71" s="202"/>
      <c r="Y71" s="202"/>
      <c r="Z71" s="203"/>
      <c r="AA71" s="143"/>
      <c r="AB71" s="202"/>
      <c r="AC71" s="202"/>
      <c r="AD71" s="202"/>
      <c r="AE71" s="203"/>
      <c r="AF71" s="143"/>
      <c r="AG71" s="202"/>
      <c r="AH71" s="202"/>
      <c r="AI71" s="202"/>
      <c r="AJ71" s="203"/>
      <c r="AK71" s="144"/>
      <c r="AL71" s="204"/>
      <c r="AM71" s="204"/>
      <c r="AN71" s="204"/>
      <c r="AO71" s="203"/>
      <c r="AP71" s="144"/>
      <c r="AQ71" s="203"/>
      <c r="AR71" s="203"/>
      <c r="AS71" s="203"/>
      <c r="AT71" s="203"/>
      <c r="AU71" s="144"/>
      <c r="AV71" s="203"/>
      <c r="AW71" s="203"/>
      <c r="AX71" s="203"/>
      <c r="AY71" s="203"/>
      <c r="AZ71" s="144"/>
      <c r="BA71" s="203"/>
      <c r="BB71" s="203"/>
      <c r="BC71" s="203"/>
      <c r="BD71" s="203"/>
      <c r="BE71" s="144"/>
      <c r="BF71" s="203"/>
      <c r="BG71" s="203"/>
      <c r="BH71" s="203"/>
      <c r="BI71" s="203"/>
      <c r="BJ71" s="144"/>
      <c r="BK71" s="203"/>
      <c r="BL71" s="203"/>
      <c r="BM71" s="203"/>
      <c r="BN71" s="203"/>
      <c r="BO71" s="144"/>
      <c r="BP71" s="203"/>
      <c r="BQ71" s="203"/>
      <c r="BR71" s="203"/>
      <c r="BS71" s="203"/>
      <c r="BT71" s="144"/>
      <c r="BU71" s="203"/>
      <c r="BV71" s="203"/>
      <c r="BW71" s="203"/>
      <c r="BX71" s="203"/>
      <c r="BY71" s="144"/>
      <c r="BZ71" s="203"/>
      <c r="CA71" s="203"/>
      <c r="CB71" s="203"/>
      <c r="CC71" s="203"/>
      <c r="CD71" s="144"/>
      <c r="CE71" s="174"/>
      <c r="CL71" s="160"/>
      <c r="CM71" s="160"/>
    </row>
    <row r="72" spans="1:91" ht="12.75" customHeight="1">
      <c r="A72" s="195"/>
      <c r="B72" s="131" t="s">
        <v>133</v>
      </c>
      <c r="C72" s="196"/>
      <c r="D72" s="196"/>
      <c r="E72" s="196"/>
      <c r="F72" s="196"/>
      <c r="G72" s="168"/>
      <c r="H72" s="196"/>
      <c r="I72" s="196"/>
      <c r="J72" s="196"/>
      <c r="K72" s="196"/>
      <c r="L72" s="168"/>
      <c r="M72" s="196"/>
      <c r="N72" s="196"/>
      <c r="O72" s="196"/>
      <c r="P72" s="196"/>
      <c r="Q72" s="168"/>
      <c r="R72" s="196"/>
      <c r="S72" s="196"/>
      <c r="T72" s="196"/>
      <c r="U72" s="196"/>
      <c r="V72" s="168"/>
      <c r="W72" s="196"/>
      <c r="X72" s="196"/>
      <c r="Y72" s="196"/>
      <c r="Z72" s="196"/>
      <c r="AA72" s="168"/>
      <c r="AB72" s="196"/>
      <c r="AC72" s="196"/>
      <c r="AD72" s="196"/>
      <c r="AE72" s="196"/>
      <c r="AF72" s="168"/>
      <c r="AG72" s="196"/>
      <c r="AH72" s="196"/>
      <c r="AI72" s="196"/>
      <c r="AJ72" s="196"/>
      <c r="AK72" s="169">
        <f>382-58</f>
        <v>324</v>
      </c>
      <c r="AL72" s="116"/>
      <c r="AM72" s="116"/>
      <c r="AN72" s="116"/>
      <c r="AO72" s="116"/>
      <c r="AP72" s="169">
        <f>453-55</f>
        <v>398</v>
      </c>
      <c r="AQ72" s="197">
        <v>112</v>
      </c>
      <c r="AR72" s="116">
        <f>125-1-16+4</f>
        <v>112</v>
      </c>
      <c r="AS72" s="116">
        <f>129-1-16+4</f>
        <v>116</v>
      </c>
      <c r="AT72" s="116">
        <f>132-1-17+4</f>
        <v>118</v>
      </c>
      <c r="AU72" s="144">
        <f>SUM(AQ72:AT72)</f>
        <v>458</v>
      </c>
      <c r="AV72" s="197">
        <f>141-2-16+4</f>
        <v>127</v>
      </c>
      <c r="AW72" s="100">
        <f>150-20-2+4</f>
        <v>132</v>
      </c>
      <c r="AX72" s="100">
        <f>153-2-20</f>
        <v>131</v>
      </c>
      <c r="AY72" s="100">
        <f>164-1-29</f>
        <v>134</v>
      </c>
      <c r="AZ72" s="144">
        <f>SUM(AV72:AY72)</f>
        <v>524</v>
      </c>
      <c r="BA72" s="100">
        <f>175-1-34</f>
        <v>140</v>
      </c>
      <c r="BB72" s="100">
        <f>176-35-1</f>
        <v>140</v>
      </c>
      <c r="BC72" s="100">
        <f>184-32-2</f>
        <v>150</v>
      </c>
      <c r="BD72" s="100">
        <f>189-2-32</f>
        <v>155</v>
      </c>
      <c r="BE72" s="144">
        <f>SUM(BA72:BD72)</f>
        <v>585</v>
      </c>
      <c r="BF72" s="100">
        <f>183-2-23</f>
        <v>158</v>
      </c>
      <c r="BG72" s="100">
        <f>201-3-22</f>
        <v>176</v>
      </c>
      <c r="BH72" s="100">
        <f>194-BH123-3</f>
        <v>165</v>
      </c>
      <c r="BI72" s="100">
        <f>227-4-BI123-(223-222)</f>
        <v>164</v>
      </c>
      <c r="BJ72" s="144">
        <f>SUM(BF72:BI72)</f>
        <v>663</v>
      </c>
      <c r="BK72" s="100">
        <f>185-4-BK123-(241-209)</f>
        <v>120</v>
      </c>
      <c r="BL72" s="206">
        <f>+BK72+1.5</f>
        <v>121.5</v>
      </c>
      <c r="BM72" s="206">
        <f>+BL72+1.5</f>
        <v>123</v>
      </c>
      <c r="BN72" s="206">
        <f>+BM72+1.5</f>
        <v>124.5</v>
      </c>
      <c r="BO72" s="144">
        <f>SUM(BK72:BN72)</f>
        <v>489</v>
      </c>
      <c r="BP72" s="206">
        <f>+BN72+3</f>
        <v>127.5</v>
      </c>
      <c r="BQ72" s="206">
        <f>+BP72+1.5</f>
        <v>129</v>
      </c>
      <c r="BR72" s="206">
        <f>+BQ72+1.5</f>
        <v>130.5</v>
      </c>
      <c r="BS72" s="206">
        <f>+BR72+1.5</f>
        <v>132</v>
      </c>
      <c r="BT72" s="144">
        <f>SUM(BP72:BS72)</f>
        <v>519</v>
      </c>
      <c r="BU72" s="206">
        <f>+BS72+5</f>
        <v>137</v>
      </c>
      <c r="BV72" s="206">
        <f>+BU72+1.5</f>
        <v>138.5</v>
      </c>
      <c r="BW72" s="206">
        <f>+BV72+1.5</f>
        <v>140</v>
      </c>
      <c r="BX72" s="206">
        <f>+BW72+1.5</f>
        <v>141.5</v>
      </c>
      <c r="BY72" s="144">
        <f>SUM(BU72:BX72)</f>
        <v>557</v>
      </c>
      <c r="BZ72" s="206">
        <f>+BX72+5</f>
        <v>146.5</v>
      </c>
      <c r="CA72" s="206">
        <f>+BZ72+1.5</f>
        <v>148</v>
      </c>
      <c r="CB72" s="206">
        <f>+CA72+1.5</f>
        <v>149.5</v>
      </c>
      <c r="CC72" s="206">
        <f>+CB72+1.5</f>
        <v>151</v>
      </c>
      <c r="CD72" s="144">
        <f>SUM(BZ72:CC72)</f>
        <v>595</v>
      </c>
      <c r="CE72" s="205"/>
      <c r="CL72" s="160"/>
      <c r="CM72" s="160"/>
    </row>
    <row r="73" spans="1:91" ht="12.75" customHeight="1">
      <c r="A73" s="172"/>
      <c r="B73" s="138" t="s">
        <v>21</v>
      </c>
      <c r="C73" s="139"/>
      <c r="D73" s="139"/>
      <c r="E73" s="139"/>
      <c r="F73" s="139"/>
      <c r="G73" s="140"/>
      <c r="H73" s="139"/>
      <c r="I73" s="139"/>
      <c r="J73" s="139"/>
      <c r="K73" s="139"/>
      <c r="L73" s="140"/>
      <c r="M73" s="139"/>
      <c r="N73" s="139"/>
      <c r="O73" s="139"/>
      <c r="P73" s="139"/>
      <c r="Q73" s="140"/>
      <c r="R73" s="139"/>
      <c r="S73" s="139"/>
      <c r="T73" s="139"/>
      <c r="U73" s="139"/>
      <c r="V73" s="140"/>
      <c r="W73" s="139"/>
      <c r="X73" s="139"/>
      <c r="Y73" s="139"/>
      <c r="Z73" s="139"/>
      <c r="AA73" s="140"/>
      <c r="AB73" s="139"/>
      <c r="AC73" s="139"/>
      <c r="AD73" s="139"/>
      <c r="AE73" s="139"/>
      <c r="AF73" s="140"/>
      <c r="AG73" s="139"/>
      <c r="AH73" s="139"/>
      <c r="AI73" s="139"/>
      <c r="AJ73" s="139"/>
      <c r="AK73" s="140"/>
      <c r="AL73" s="139"/>
      <c r="AM73" s="139"/>
      <c r="AN73" s="139"/>
      <c r="AO73" s="139"/>
      <c r="AP73" s="140">
        <f>IF(ISERROR(AP72/AK72-1), "NM", (AP72/AK72-1))</f>
        <v>0.22839506172839497</v>
      </c>
      <c r="AQ73" s="139" t="str">
        <f>IF(ISERROR(AQ72/AL72-1), "NM", (AQ72/AL72-1))</f>
        <v>NM</v>
      </c>
      <c r="AR73" s="139" t="str">
        <f>IF(ISERROR(AR72/AM72-1), "NM", (AR72/AM72-1))</f>
        <v>NM</v>
      </c>
      <c r="AS73" s="139" t="str">
        <f>IF(ISERROR(AS72/AN72-1), "NM", (AS72/AN72-1))</f>
        <v>NM</v>
      </c>
      <c r="AT73" s="139" t="str">
        <f>IF(ISERROR(AT72/AO72-1), "NM", (AT72/AO72-1))</f>
        <v>NM</v>
      </c>
      <c r="AU73" s="140">
        <f t="shared" ref="AU73:CD73" si="42">IF(ISERROR(AU72/AP72-1), "NM", (AU72/AP72-1))</f>
        <v>0.15075376884422109</v>
      </c>
      <c r="AV73" s="139">
        <f t="shared" si="42"/>
        <v>0.1339285714285714</v>
      </c>
      <c r="AW73" s="139">
        <f t="shared" si="42"/>
        <v>0.1785714285714286</v>
      </c>
      <c r="AX73" s="139">
        <f t="shared" si="42"/>
        <v>0.1293103448275863</v>
      </c>
      <c r="AY73" s="139">
        <f t="shared" si="42"/>
        <v>0.13559322033898313</v>
      </c>
      <c r="AZ73" s="140">
        <f t="shared" si="42"/>
        <v>0.14410480349344978</v>
      </c>
      <c r="BA73" s="139">
        <f t="shared" si="42"/>
        <v>0.10236220472440949</v>
      </c>
      <c r="BB73" s="139">
        <f t="shared" si="42"/>
        <v>6.0606060606060552E-2</v>
      </c>
      <c r="BC73" s="139">
        <f t="shared" si="42"/>
        <v>0.14503816793893121</v>
      </c>
      <c r="BD73" s="139">
        <f t="shared" si="42"/>
        <v>0.15671641791044766</v>
      </c>
      <c r="BE73" s="140">
        <f t="shared" si="42"/>
        <v>0.11641221374045796</v>
      </c>
      <c r="BF73" s="139">
        <f t="shared" si="42"/>
        <v>0.12857142857142856</v>
      </c>
      <c r="BG73" s="139">
        <f t="shared" si="42"/>
        <v>0.25714285714285712</v>
      </c>
      <c r="BH73" s="139">
        <f t="shared" si="42"/>
        <v>0.10000000000000009</v>
      </c>
      <c r="BI73" s="139">
        <f t="shared" si="42"/>
        <v>5.8064516129032295E-2</v>
      </c>
      <c r="BJ73" s="140">
        <f t="shared" si="42"/>
        <v>0.1333333333333333</v>
      </c>
      <c r="BK73" s="139">
        <f t="shared" si="42"/>
        <v>-0.240506329113924</v>
      </c>
      <c r="BL73" s="139">
        <f t="shared" si="42"/>
        <v>-0.30965909090909094</v>
      </c>
      <c r="BM73" s="139">
        <f t="shared" si="42"/>
        <v>-0.25454545454545452</v>
      </c>
      <c r="BN73" s="139">
        <f t="shared" si="42"/>
        <v>-0.24085365853658536</v>
      </c>
      <c r="BO73" s="140">
        <f t="shared" si="42"/>
        <v>-0.26244343891402711</v>
      </c>
      <c r="BP73" s="139">
        <f t="shared" si="42"/>
        <v>6.25E-2</v>
      </c>
      <c r="BQ73" s="139">
        <f t="shared" si="42"/>
        <v>6.1728395061728447E-2</v>
      </c>
      <c r="BR73" s="139">
        <f t="shared" si="42"/>
        <v>6.0975609756097615E-2</v>
      </c>
      <c r="BS73" s="139">
        <f t="shared" si="42"/>
        <v>6.024096385542177E-2</v>
      </c>
      <c r="BT73" s="140">
        <f t="shared" si="42"/>
        <v>6.1349693251533832E-2</v>
      </c>
      <c r="BU73" s="139">
        <f t="shared" si="42"/>
        <v>7.4509803921568585E-2</v>
      </c>
      <c r="BV73" s="139">
        <f t="shared" si="42"/>
        <v>7.3643410852713087E-2</v>
      </c>
      <c r="BW73" s="139">
        <f t="shared" si="42"/>
        <v>7.2796934865900331E-2</v>
      </c>
      <c r="BX73" s="139">
        <f t="shared" si="42"/>
        <v>7.1969696969697017E-2</v>
      </c>
      <c r="BY73" s="140">
        <f t="shared" si="42"/>
        <v>7.3217726396917149E-2</v>
      </c>
      <c r="BZ73" s="139">
        <f t="shared" si="42"/>
        <v>6.9343065693430628E-2</v>
      </c>
      <c r="CA73" s="139">
        <f t="shared" si="42"/>
        <v>6.8592057761732939E-2</v>
      </c>
      <c r="CB73" s="139">
        <f t="shared" si="42"/>
        <v>6.7857142857142838E-2</v>
      </c>
      <c r="CC73" s="139">
        <f t="shared" si="42"/>
        <v>6.7137809187279185E-2</v>
      </c>
      <c r="CD73" s="140">
        <f t="shared" si="42"/>
        <v>6.8222621184919285E-2</v>
      </c>
      <c r="CE73" s="174"/>
      <c r="CL73" s="160"/>
      <c r="CM73" s="160"/>
    </row>
    <row r="74" spans="1:91" ht="12.75" customHeight="1">
      <c r="A74" s="172"/>
      <c r="B74" s="199" t="s">
        <v>129</v>
      </c>
      <c r="C74" s="139"/>
      <c r="D74" s="139"/>
      <c r="E74" s="139"/>
      <c r="F74" s="139"/>
      <c r="G74" s="140"/>
      <c r="H74" s="139"/>
      <c r="I74" s="139"/>
      <c r="J74" s="139"/>
      <c r="K74" s="139"/>
      <c r="L74" s="140"/>
      <c r="M74" s="139"/>
      <c r="N74" s="139"/>
      <c r="O74" s="139"/>
      <c r="P74" s="139"/>
      <c r="Q74" s="140"/>
      <c r="R74" s="139"/>
      <c r="S74" s="139"/>
      <c r="T74" s="139"/>
      <c r="U74" s="139"/>
      <c r="V74" s="140"/>
      <c r="W74" s="139"/>
      <c r="X74" s="139"/>
      <c r="Y74" s="139"/>
      <c r="Z74" s="139"/>
      <c r="AA74" s="140"/>
      <c r="AB74" s="139"/>
      <c r="AC74" s="139"/>
      <c r="AD74" s="139"/>
      <c r="AE74" s="139"/>
      <c r="AF74" s="140"/>
      <c r="AG74" s="139"/>
      <c r="AH74" s="139"/>
      <c r="AI74" s="139"/>
      <c r="AJ74" s="139"/>
      <c r="AK74" s="140">
        <f>AK72/AK$14</f>
        <v>5.7223595902507945E-2</v>
      </c>
      <c r="AL74" s="139"/>
      <c r="AM74" s="139"/>
      <c r="AN74" s="139"/>
      <c r="AO74" s="139"/>
      <c r="AP74" s="140">
        <f t="shared" ref="AP74:CD74" si="43">AP72/AP$14</f>
        <v>5.9164560725434814E-2</v>
      </c>
      <c r="AQ74" s="173">
        <f t="shared" si="43"/>
        <v>5.9861036878674508E-2</v>
      </c>
      <c r="AR74" s="139">
        <f t="shared" si="43"/>
        <v>5.6537102473498232E-2</v>
      </c>
      <c r="AS74" s="139">
        <f t="shared" si="43"/>
        <v>5.8853373921867069E-2</v>
      </c>
      <c r="AT74" s="139">
        <f t="shared" si="43"/>
        <v>5.3905893101872999E-2</v>
      </c>
      <c r="AU74" s="140">
        <f t="shared" si="43"/>
        <v>5.7164253619570643E-2</v>
      </c>
      <c r="AV74" s="173">
        <f t="shared" si="43"/>
        <v>5.9512652296157452E-2</v>
      </c>
      <c r="AW74" s="173">
        <f t="shared" si="43"/>
        <v>5.7566506759703442E-2</v>
      </c>
      <c r="AX74" s="173">
        <f t="shared" si="43"/>
        <v>5.8015943312666074E-2</v>
      </c>
      <c r="AY74" s="173">
        <f t="shared" si="43"/>
        <v>5.242566510172144E-2</v>
      </c>
      <c r="AZ74" s="140">
        <f t="shared" si="43"/>
        <v>5.6660899653979239E-2</v>
      </c>
      <c r="BA74" s="173">
        <f t="shared" si="43"/>
        <v>5.5031446540880505E-2</v>
      </c>
      <c r="BB74" s="173">
        <f t="shared" si="43"/>
        <v>5.2830188679245285E-2</v>
      </c>
      <c r="BC74" s="173">
        <f>BC72/BC$14</f>
        <v>5.6242969628796401E-2</v>
      </c>
      <c r="BD74" s="173">
        <f>BD72/BD$14</f>
        <v>5.1995974505199598E-2</v>
      </c>
      <c r="BE74" s="140">
        <f t="shared" si="43"/>
        <v>5.3956834532374098E-2</v>
      </c>
      <c r="BF74" s="173">
        <f>BF72/BF$14</f>
        <v>5.3109243697478992E-2</v>
      </c>
      <c r="BG74" s="173">
        <f t="shared" si="43"/>
        <v>5.6122448979591837E-2</v>
      </c>
      <c r="BH74" s="173">
        <f t="shared" si="43"/>
        <v>5.0941648656992897E-2</v>
      </c>
      <c r="BI74" s="173">
        <f t="shared" si="43"/>
        <v>4.4264507422402156E-2</v>
      </c>
      <c r="BJ74" s="140">
        <f t="shared" si="43"/>
        <v>5.0785139793182686E-2</v>
      </c>
      <c r="BK74" s="173">
        <f>BK72/BK$14</f>
        <v>3.2564450474898234E-2</v>
      </c>
      <c r="BL74" s="173">
        <f t="shared" si="43"/>
        <v>3.1799286533040844E-2</v>
      </c>
      <c r="BM74" s="173">
        <f t="shared" si="43"/>
        <v>3.35903048078426E-2</v>
      </c>
      <c r="BN74" s="173">
        <f t="shared" si="43"/>
        <v>2.9352159747475626E-2</v>
      </c>
      <c r="BO74" s="140">
        <f t="shared" si="43"/>
        <v>3.1734273765022816E-2</v>
      </c>
      <c r="BP74" s="173">
        <f t="shared" si="43"/>
        <v>3.1230535385661281E-2</v>
      </c>
      <c r="BQ74" s="173">
        <f t="shared" si="43"/>
        <v>3.0393631590595268E-2</v>
      </c>
      <c r="BR74" s="173">
        <f t="shared" si="43"/>
        <v>2.9884905400616425E-2</v>
      </c>
      <c r="BS74" s="173">
        <f t="shared" si="43"/>
        <v>2.6081004537360768E-2</v>
      </c>
      <c r="BT74" s="140">
        <f t="shared" si="43"/>
        <v>2.9231596286342677E-2</v>
      </c>
      <c r="BU74" s="173">
        <f t="shared" si="43"/>
        <v>2.8704239933999769E-2</v>
      </c>
      <c r="BV74" s="173">
        <f t="shared" si="43"/>
        <v>2.7813059725624291E-2</v>
      </c>
      <c r="BW74" s="173">
        <f t="shared" si="43"/>
        <v>2.7805258576778534E-2</v>
      </c>
      <c r="BX74" s="173">
        <f t="shared" si="43"/>
        <v>2.4161138450910637E-2</v>
      </c>
      <c r="BY74" s="140">
        <f t="shared" si="43"/>
        <v>2.6981178985420282E-2</v>
      </c>
      <c r="BZ74" s="173">
        <f t="shared" si="43"/>
        <v>2.6708539498242527E-2</v>
      </c>
      <c r="CA74" s="173">
        <f t="shared" si="43"/>
        <v>2.5817482686110303E-2</v>
      </c>
      <c r="CB74" s="173">
        <f t="shared" si="43"/>
        <v>2.5619861776751816E-2</v>
      </c>
      <c r="CC74" s="173">
        <f t="shared" si="43"/>
        <v>2.2213007193804146E-2</v>
      </c>
      <c r="CD74" s="140">
        <f t="shared" si="43"/>
        <v>2.4946729325291517E-2</v>
      </c>
      <c r="CE74" s="174"/>
      <c r="CL74" s="160"/>
      <c r="CM74" s="160"/>
    </row>
    <row r="75" spans="1:91" ht="12.75" customHeight="1">
      <c r="A75" s="172"/>
      <c r="B75" s="199"/>
      <c r="C75" s="139"/>
      <c r="D75" s="139"/>
      <c r="E75" s="139"/>
      <c r="F75" s="139"/>
      <c r="G75" s="140"/>
      <c r="H75" s="139"/>
      <c r="I75" s="139"/>
      <c r="J75" s="139"/>
      <c r="K75" s="139"/>
      <c r="L75" s="140"/>
      <c r="M75" s="139"/>
      <c r="N75" s="139"/>
      <c r="O75" s="139"/>
      <c r="P75" s="139"/>
      <c r="Q75" s="140"/>
      <c r="R75" s="139"/>
      <c r="S75" s="139"/>
      <c r="T75" s="139"/>
      <c r="U75" s="139"/>
      <c r="V75" s="140"/>
      <c r="W75" s="139"/>
      <c r="X75" s="139"/>
      <c r="Y75" s="139"/>
      <c r="Z75" s="139"/>
      <c r="AA75" s="140"/>
      <c r="AB75" s="139"/>
      <c r="AC75" s="139"/>
      <c r="AD75" s="139"/>
      <c r="AE75" s="139"/>
      <c r="AF75" s="140"/>
      <c r="AG75" s="139"/>
      <c r="AH75" s="139"/>
      <c r="AI75" s="139"/>
      <c r="AJ75" s="139"/>
      <c r="AK75" s="140"/>
      <c r="AL75" s="139"/>
      <c r="AM75" s="139"/>
      <c r="AN75" s="139"/>
      <c r="AO75" s="139"/>
      <c r="AP75" s="140"/>
      <c r="AQ75" s="173"/>
      <c r="AR75" s="139"/>
      <c r="AS75" s="139"/>
      <c r="AT75" s="139"/>
      <c r="AU75" s="140"/>
      <c r="AV75" s="173"/>
      <c r="AW75" s="173"/>
      <c r="AX75" s="173"/>
      <c r="AY75" s="173"/>
      <c r="AZ75" s="140"/>
      <c r="BA75" s="173"/>
      <c r="BB75" s="173"/>
      <c r="BC75" s="173"/>
      <c r="BD75" s="173"/>
      <c r="BE75" s="140"/>
      <c r="BF75" s="173"/>
      <c r="BG75" s="173"/>
      <c r="BH75" s="173"/>
      <c r="BI75" s="173"/>
      <c r="BJ75" s="140"/>
      <c r="BK75" s="173"/>
      <c r="BL75" s="173"/>
      <c r="BM75" s="173"/>
      <c r="BN75" s="173"/>
      <c r="BO75" s="140"/>
      <c r="BP75" s="173"/>
      <c r="BQ75" s="173"/>
      <c r="BR75" s="173"/>
      <c r="BS75" s="173"/>
      <c r="BT75" s="140"/>
      <c r="BU75" s="173"/>
      <c r="BV75" s="173"/>
      <c r="BW75" s="173"/>
      <c r="BX75" s="173"/>
      <c r="BY75" s="140"/>
      <c r="BZ75" s="173"/>
      <c r="CA75" s="173"/>
      <c r="CB75" s="173"/>
      <c r="CC75" s="173"/>
      <c r="CD75" s="140"/>
      <c r="CE75" s="174"/>
      <c r="CL75" s="160"/>
      <c r="CM75" s="160"/>
    </row>
    <row r="76" spans="1:91" ht="12.75" customHeight="1">
      <c r="A76" s="207"/>
      <c r="B76" s="208" t="s">
        <v>134</v>
      </c>
      <c r="C76" s="209"/>
      <c r="D76" s="209"/>
      <c r="E76" s="209"/>
      <c r="F76" s="209"/>
      <c r="G76" s="210"/>
      <c r="H76" s="209"/>
      <c r="I76" s="209"/>
      <c r="J76" s="209"/>
      <c r="K76" s="209"/>
      <c r="L76" s="210"/>
      <c r="M76" s="209"/>
      <c r="N76" s="209"/>
      <c r="O76" s="209"/>
      <c r="P76" s="209"/>
      <c r="Q76" s="210"/>
      <c r="R76" s="209"/>
      <c r="S76" s="209"/>
      <c r="T76" s="209"/>
      <c r="U76" s="209"/>
      <c r="V76" s="210"/>
      <c r="W76" s="209"/>
      <c r="X76" s="209"/>
      <c r="Y76" s="209"/>
      <c r="Z76" s="209"/>
      <c r="AA76" s="210"/>
      <c r="AB76" s="209"/>
      <c r="AC76" s="209"/>
      <c r="AD76" s="209"/>
      <c r="AE76" s="209"/>
      <c r="AF76" s="210"/>
      <c r="AG76" s="209"/>
      <c r="AH76" s="209"/>
      <c r="AI76" s="209"/>
      <c r="AJ76" s="209"/>
      <c r="AK76" s="210">
        <f t="shared" ref="AK76:CD76" si="44">AK33-AK37-AK44-AK51-AK58-AK72</f>
        <v>1167</v>
      </c>
      <c r="AL76" s="211">
        <f t="shared" si="44"/>
        <v>0</v>
      </c>
      <c r="AM76" s="211">
        <f t="shared" si="44"/>
        <v>0</v>
      </c>
      <c r="AN76" s="211">
        <f t="shared" si="44"/>
        <v>0</v>
      </c>
      <c r="AO76" s="211">
        <f t="shared" si="44"/>
        <v>0</v>
      </c>
      <c r="AP76" s="210">
        <f t="shared" si="44"/>
        <v>1411</v>
      </c>
      <c r="AQ76" s="211">
        <f t="shared" si="44"/>
        <v>407</v>
      </c>
      <c r="AR76" s="211">
        <f t="shared" si="44"/>
        <v>421</v>
      </c>
      <c r="AS76" s="211">
        <f t="shared" si="44"/>
        <v>353</v>
      </c>
      <c r="AT76" s="211">
        <f t="shared" si="44"/>
        <v>436</v>
      </c>
      <c r="AU76" s="210">
        <f t="shared" si="44"/>
        <v>1617</v>
      </c>
      <c r="AV76" s="211">
        <f t="shared" si="44"/>
        <v>465</v>
      </c>
      <c r="AW76" s="211">
        <f t="shared" si="44"/>
        <v>505</v>
      </c>
      <c r="AX76" s="211">
        <f t="shared" si="44"/>
        <v>450</v>
      </c>
      <c r="AY76" s="211">
        <f t="shared" si="44"/>
        <v>532</v>
      </c>
      <c r="AZ76" s="210">
        <f t="shared" si="44"/>
        <v>1959</v>
      </c>
      <c r="BA76" s="211">
        <f t="shared" si="44"/>
        <v>537</v>
      </c>
      <c r="BB76" s="211">
        <f t="shared" si="44"/>
        <v>528</v>
      </c>
      <c r="BC76" s="211">
        <f t="shared" si="44"/>
        <v>490</v>
      </c>
      <c r="BD76" s="211">
        <f t="shared" si="44"/>
        <v>619</v>
      </c>
      <c r="BE76" s="210">
        <f t="shared" si="44"/>
        <v>2174</v>
      </c>
      <c r="BF76" s="211">
        <f t="shared" si="44"/>
        <v>643</v>
      </c>
      <c r="BG76" s="211">
        <f t="shared" si="44"/>
        <v>659</v>
      </c>
      <c r="BH76" s="211">
        <f t="shared" si="44"/>
        <v>646</v>
      </c>
      <c r="BI76" s="211">
        <f>BI33-BI37-BI44-BI51-BI58-BI72-BI65</f>
        <v>807</v>
      </c>
      <c r="BJ76" s="210">
        <f t="shared" ref="BJ76:BO76" si="45">BJ33-BJ37-BJ44-BJ51-BJ58-BJ72-BJ65</f>
        <v>2755</v>
      </c>
      <c r="BK76" s="211">
        <f>BK33-BK37-BK44-BK51-BK58-BK72-BK65</f>
        <v>829</v>
      </c>
      <c r="BL76" s="211">
        <f t="shared" si="45"/>
        <v>833.62213442753125</v>
      </c>
      <c r="BM76" s="211">
        <f t="shared" si="45"/>
        <v>785.87621700729949</v>
      </c>
      <c r="BN76" s="211">
        <f t="shared" si="45"/>
        <v>985.91834362568329</v>
      </c>
      <c r="BO76" s="210">
        <f t="shared" si="45"/>
        <v>3434.416695060514</v>
      </c>
      <c r="BP76" s="211">
        <f t="shared" si="44"/>
        <v>924.47106573046426</v>
      </c>
      <c r="BQ76" s="211">
        <f t="shared" si="44"/>
        <v>970.38907129811173</v>
      </c>
      <c r="BR76" s="211">
        <f t="shared" si="44"/>
        <v>972.61805745539914</v>
      </c>
      <c r="BS76" s="211">
        <f t="shared" si="44"/>
        <v>1218.0323261460205</v>
      </c>
      <c r="BT76" s="210">
        <f t="shared" si="44"/>
        <v>4085.5105206299977</v>
      </c>
      <c r="BU76" s="211">
        <f t="shared" si="44"/>
        <v>1112.0539439251374</v>
      </c>
      <c r="BV76" s="211">
        <f t="shared" si="44"/>
        <v>1177.4165648601625</v>
      </c>
      <c r="BW76" s="211">
        <f t="shared" si="44"/>
        <v>1154.2353816302907</v>
      </c>
      <c r="BX76" s="211">
        <f t="shared" si="44"/>
        <v>1457.5102995525758</v>
      </c>
      <c r="BY76" s="210">
        <f t="shared" si="44"/>
        <v>4901.2161899681669</v>
      </c>
      <c r="BZ76" s="211">
        <f t="shared" si="44"/>
        <v>1341.3117682993325</v>
      </c>
      <c r="CA76" s="211">
        <f t="shared" si="44"/>
        <v>1425.022960086761</v>
      </c>
      <c r="CB76" s="211">
        <f t="shared" si="44"/>
        <v>1428.8855843891063</v>
      </c>
      <c r="CC76" s="211">
        <f t="shared" si="44"/>
        <v>1803.0970271137032</v>
      </c>
      <c r="CD76" s="210">
        <f t="shared" si="44"/>
        <v>5998.3173398889057</v>
      </c>
      <c r="CE76" s="156"/>
    </row>
    <row r="77" spans="1:91" ht="12.75" customHeight="1">
      <c r="A77" s="207"/>
      <c r="B77" s="213" t="s">
        <v>135</v>
      </c>
      <c r="C77" s="214"/>
      <c r="D77" s="214"/>
      <c r="E77" s="214"/>
      <c r="F77" s="214"/>
      <c r="G77" s="215"/>
      <c r="H77" s="214"/>
      <c r="I77" s="214"/>
      <c r="J77" s="214"/>
      <c r="K77" s="214"/>
      <c r="L77" s="215"/>
      <c r="M77" s="214"/>
      <c r="N77" s="214"/>
      <c r="O77" s="214"/>
      <c r="P77" s="214"/>
      <c r="Q77" s="215"/>
      <c r="R77" s="214"/>
      <c r="S77" s="214"/>
      <c r="T77" s="214"/>
      <c r="U77" s="214"/>
      <c r="V77" s="215"/>
      <c r="W77" s="214"/>
      <c r="X77" s="214"/>
      <c r="Y77" s="214"/>
      <c r="Z77" s="214"/>
      <c r="AA77" s="215"/>
      <c r="AB77" s="214"/>
      <c r="AC77" s="214"/>
      <c r="AD77" s="214"/>
      <c r="AE77" s="214"/>
      <c r="AF77" s="215"/>
      <c r="AG77" s="214"/>
      <c r="AH77" s="214"/>
      <c r="AI77" s="214"/>
      <c r="AJ77" s="214"/>
      <c r="AK77" s="215"/>
      <c r="AL77" s="216"/>
      <c r="AM77" s="216"/>
      <c r="AN77" s="216"/>
      <c r="AO77" s="216"/>
      <c r="AP77" s="140">
        <f t="shared" ref="AP77:AU77" si="46">IF(ISERROR(AP76/AK76-1), "NM", (AP76/AK76-1))</f>
        <v>0.20908311910882604</v>
      </c>
      <c r="AQ77" s="217" t="str">
        <f t="shared" si="46"/>
        <v>NM</v>
      </c>
      <c r="AR77" s="217" t="str">
        <f t="shared" si="46"/>
        <v>NM</v>
      </c>
      <c r="AS77" s="217" t="str">
        <f t="shared" si="46"/>
        <v>NM</v>
      </c>
      <c r="AT77" s="217" t="str">
        <f t="shared" si="46"/>
        <v>NM</v>
      </c>
      <c r="AU77" s="140">
        <f t="shared" si="46"/>
        <v>0.14599574769666912</v>
      </c>
      <c r="AV77" s="217">
        <f>+AV76/AQ76-1</f>
        <v>0.14250614250614246</v>
      </c>
      <c r="AW77" s="217">
        <f t="shared" ref="AW77:CD77" si="47">+AW76/AR76-1</f>
        <v>0.1995249406175772</v>
      </c>
      <c r="AX77" s="217">
        <f t="shared" si="47"/>
        <v>0.27478753541076495</v>
      </c>
      <c r="AY77" s="217">
        <f t="shared" si="47"/>
        <v>0.22018348623853212</v>
      </c>
      <c r="AZ77" s="140">
        <f t="shared" si="47"/>
        <v>0.21150278293135427</v>
      </c>
      <c r="BA77" s="217">
        <f t="shared" si="47"/>
        <v>0.15483870967741931</v>
      </c>
      <c r="BB77" s="217">
        <f t="shared" si="47"/>
        <v>4.5544554455445585E-2</v>
      </c>
      <c r="BC77" s="217">
        <f t="shared" si="47"/>
        <v>8.8888888888888795E-2</v>
      </c>
      <c r="BD77" s="217">
        <f t="shared" si="47"/>
        <v>0.16353383458646609</v>
      </c>
      <c r="BE77" s="140">
        <f t="shared" si="47"/>
        <v>0.10974987238386924</v>
      </c>
      <c r="BF77" s="217">
        <f t="shared" si="47"/>
        <v>0.19739292364990679</v>
      </c>
      <c r="BG77" s="217">
        <f t="shared" si="47"/>
        <v>0.24810606060606055</v>
      </c>
      <c r="BH77" s="217">
        <f t="shared" si="47"/>
        <v>0.31836734693877555</v>
      </c>
      <c r="BI77" s="217">
        <f t="shared" si="47"/>
        <v>0.30371567043618741</v>
      </c>
      <c r="BJ77" s="140">
        <f t="shared" si="47"/>
        <v>0.267249310027599</v>
      </c>
      <c r="BK77" s="217">
        <f t="shared" si="47"/>
        <v>0.28926905132192848</v>
      </c>
      <c r="BL77" s="217">
        <f t="shared" si="47"/>
        <v>0.264980477128272</v>
      </c>
      <c r="BM77" s="217">
        <f t="shared" si="47"/>
        <v>0.2165266517140858</v>
      </c>
      <c r="BN77" s="217">
        <f t="shared" si="47"/>
        <v>0.22170798466627417</v>
      </c>
      <c r="BO77" s="140">
        <f t="shared" si="47"/>
        <v>0.24661223051198333</v>
      </c>
      <c r="BP77" s="217">
        <f t="shared" si="47"/>
        <v>0.11516413236485445</v>
      </c>
      <c r="BQ77" s="217">
        <f t="shared" si="47"/>
        <v>0.16406346619443068</v>
      </c>
      <c r="BR77" s="217">
        <f t="shared" si="47"/>
        <v>0.23762246064556125</v>
      </c>
      <c r="BS77" s="217">
        <f t="shared" si="47"/>
        <v>0.23542921583824628</v>
      </c>
      <c r="BT77" s="140">
        <f t="shared" si="47"/>
        <v>0.18957915808699255</v>
      </c>
      <c r="BU77" s="217">
        <f t="shared" si="47"/>
        <v>0.20290832795989777</v>
      </c>
      <c r="BV77" s="217">
        <f t="shared" si="47"/>
        <v>0.21334483217654676</v>
      </c>
      <c r="BW77" s="217">
        <f t="shared" si="47"/>
        <v>0.18673036428096546</v>
      </c>
      <c r="BX77" s="217">
        <f t="shared" si="47"/>
        <v>0.1966105236010347</v>
      </c>
      <c r="BY77" s="140">
        <f t="shared" si="47"/>
        <v>0.19965819821518527</v>
      </c>
      <c r="BZ77" s="217">
        <f t="shared" si="47"/>
        <v>0.20615710741962756</v>
      </c>
      <c r="CA77" s="217">
        <f t="shared" si="47"/>
        <v>0.21029634083329363</v>
      </c>
      <c r="CB77" s="217">
        <f t="shared" si="47"/>
        <v>0.23794990790430282</v>
      </c>
      <c r="CC77" s="217">
        <f t="shared" si="47"/>
        <v>0.23710757149861306</v>
      </c>
      <c r="CD77" s="140">
        <f t="shared" si="47"/>
        <v>0.22384263566383611</v>
      </c>
      <c r="CE77" s="212"/>
    </row>
    <row r="78" spans="1:91" ht="12.75" customHeight="1">
      <c r="A78" s="218"/>
      <c r="B78" s="219" t="s">
        <v>28</v>
      </c>
      <c r="C78" s="220"/>
      <c r="D78" s="220"/>
      <c r="E78" s="220"/>
      <c r="F78" s="220"/>
      <c r="G78" s="221"/>
      <c r="H78" s="220"/>
      <c r="I78" s="220"/>
      <c r="J78" s="220"/>
      <c r="K78" s="220"/>
      <c r="L78" s="221"/>
      <c r="M78" s="220"/>
      <c r="N78" s="220"/>
      <c r="O78" s="220"/>
      <c r="P78" s="220"/>
      <c r="Q78" s="221"/>
      <c r="R78" s="220"/>
      <c r="S78" s="220"/>
      <c r="T78" s="220"/>
      <c r="U78" s="220"/>
      <c r="V78" s="221"/>
      <c r="W78" s="220"/>
      <c r="X78" s="220"/>
      <c r="Y78" s="220"/>
      <c r="Z78" s="220"/>
      <c r="AA78" s="221"/>
      <c r="AB78" s="220"/>
      <c r="AC78" s="220"/>
      <c r="AD78" s="220"/>
      <c r="AE78" s="220"/>
      <c r="AF78" s="221"/>
      <c r="AG78" s="220"/>
      <c r="AH78" s="220"/>
      <c r="AI78" s="220"/>
      <c r="AJ78" s="220"/>
      <c r="AK78" s="221">
        <f>AK76/AK14</f>
        <v>0.20611091487107031</v>
      </c>
      <c r="AL78" s="220"/>
      <c r="AM78" s="220"/>
      <c r="AN78" s="220"/>
      <c r="AO78" s="220"/>
      <c r="AP78" s="221">
        <f t="shared" ref="AP78:CD78" si="48">AP76/AP14</f>
        <v>0.20975174669243349</v>
      </c>
      <c r="AQ78" s="220">
        <f t="shared" si="48"/>
        <v>0.21753073222875469</v>
      </c>
      <c r="AR78" s="220">
        <f t="shared" si="48"/>
        <v>0.21251892983341747</v>
      </c>
      <c r="AS78" s="220">
        <f t="shared" si="48"/>
        <v>0.17909690512430237</v>
      </c>
      <c r="AT78" s="220">
        <f t="shared" si="48"/>
        <v>0.19917770671539517</v>
      </c>
      <c r="AU78" s="221">
        <f t="shared" si="48"/>
        <v>0.20182226660009986</v>
      </c>
      <c r="AV78" s="220">
        <f t="shared" si="48"/>
        <v>0.21790065604498593</v>
      </c>
      <c r="AW78" s="220">
        <f t="shared" si="48"/>
        <v>0.22023549934583514</v>
      </c>
      <c r="AX78" s="220">
        <f t="shared" si="48"/>
        <v>0.19929140832595216</v>
      </c>
      <c r="AY78" s="220">
        <f t="shared" si="48"/>
        <v>0.20813771517996871</v>
      </c>
      <c r="AZ78" s="221">
        <f t="shared" si="48"/>
        <v>0.21182958477508651</v>
      </c>
      <c r="BA78" s="220">
        <f t="shared" si="48"/>
        <v>0.21108490566037735</v>
      </c>
      <c r="BB78" s="220">
        <f t="shared" si="48"/>
        <v>0.19924528301886793</v>
      </c>
      <c r="BC78" s="220">
        <f t="shared" si="48"/>
        <v>0.18372703412073491</v>
      </c>
      <c r="BD78" s="220">
        <f t="shared" si="48"/>
        <v>0.20764844012076483</v>
      </c>
      <c r="BE78" s="221">
        <f t="shared" si="48"/>
        <v>0.20051650986902786</v>
      </c>
      <c r="BF78" s="220">
        <f t="shared" si="48"/>
        <v>0.21613445378151261</v>
      </c>
      <c r="BG78" s="220">
        <f t="shared" si="48"/>
        <v>0.21014030612244897</v>
      </c>
      <c r="BH78" s="220">
        <f t="shared" si="48"/>
        <v>0.19944427292374189</v>
      </c>
      <c r="BI78" s="220">
        <f t="shared" si="48"/>
        <v>0.21781376518218623</v>
      </c>
      <c r="BJ78" s="221">
        <f t="shared" si="48"/>
        <v>0.21103025660666411</v>
      </c>
      <c r="BK78" s="220">
        <f t="shared" si="48"/>
        <v>0.22496607869742197</v>
      </c>
      <c r="BL78" s="220">
        <f t="shared" si="48"/>
        <v>0.21817768817239636</v>
      </c>
      <c r="BM78" s="220">
        <f t="shared" si="48"/>
        <v>0.21461643634560523</v>
      </c>
      <c r="BN78" s="220">
        <f t="shared" si="48"/>
        <v>0.23244042345435842</v>
      </c>
      <c r="BO78" s="221">
        <f t="shared" si="48"/>
        <v>0.22288081722743402</v>
      </c>
      <c r="BP78" s="220">
        <f t="shared" si="48"/>
        <v>0.22644491240247264</v>
      </c>
      <c r="BQ78" s="220">
        <f t="shared" si="48"/>
        <v>0.22863292970988133</v>
      </c>
      <c r="BR78" s="220">
        <f t="shared" si="48"/>
        <v>0.22273255661291891</v>
      </c>
      <c r="BS78" s="220">
        <f t="shared" si="48"/>
        <v>0.24066292897626101</v>
      </c>
      <c r="BT78" s="221">
        <f t="shared" si="48"/>
        <v>0.23010788856004197</v>
      </c>
      <c r="BU78" s="220">
        <f t="shared" si="48"/>
        <v>0.23299754179545892</v>
      </c>
      <c r="BV78" s="220">
        <f t="shared" si="48"/>
        <v>0.23644445660935082</v>
      </c>
      <c r="BW78" s="220">
        <f t="shared" si="48"/>
        <v>0.22924152317640634</v>
      </c>
      <c r="BX78" s="220">
        <f t="shared" si="48"/>
        <v>0.24887002219871393</v>
      </c>
      <c r="BY78" s="221">
        <f t="shared" si="48"/>
        <v>0.23741578324554896</v>
      </c>
      <c r="BZ78" s="220">
        <f t="shared" si="48"/>
        <v>0.24453568834867065</v>
      </c>
      <c r="CA78" s="220">
        <f t="shared" si="48"/>
        <v>0.24858449729290275</v>
      </c>
      <c r="CB78" s="220">
        <f t="shared" si="48"/>
        <v>0.24486856967787388</v>
      </c>
      <c r="CC78" s="220">
        <f t="shared" si="48"/>
        <v>0.26524640552585138</v>
      </c>
      <c r="CD78" s="221">
        <f t="shared" si="48"/>
        <v>0.2514931077065734</v>
      </c>
      <c r="CE78" s="222"/>
      <c r="CL78" s="160"/>
      <c r="CM78" s="160"/>
    </row>
    <row r="79" spans="1:91" ht="12.75" customHeight="1">
      <c r="A79" s="172"/>
      <c r="B79" s="199"/>
      <c r="C79" s="139"/>
      <c r="D79" s="139"/>
      <c r="E79" s="139"/>
      <c r="F79" s="139"/>
      <c r="G79" s="140"/>
      <c r="H79" s="139"/>
      <c r="I79" s="139"/>
      <c r="J79" s="139"/>
      <c r="K79" s="139"/>
      <c r="L79" s="140"/>
      <c r="M79" s="139"/>
      <c r="N79" s="139"/>
      <c r="O79" s="139"/>
      <c r="P79" s="139"/>
      <c r="Q79" s="140"/>
      <c r="R79" s="139"/>
      <c r="S79" s="139"/>
      <c r="T79" s="139"/>
      <c r="U79" s="139"/>
      <c r="V79" s="140"/>
      <c r="W79" s="139"/>
      <c r="X79" s="139"/>
      <c r="Y79" s="139"/>
      <c r="Z79" s="139"/>
      <c r="AA79" s="140"/>
      <c r="AB79" s="139"/>
      <c r="AC79" s="139"/>
      <c r="AD79" s="139"/>
      <c r="AE79" s="139"/>
      <c r="AF79" s="140"/>
      <c r="AG79" s="139"/>
      <c r="AH79" s="139"/>
      <c r="AI79" s="139"/>
      <c r="AJ79" s="139"/>
      <c r="AK79" s="140"/>
      <c r="AL79" s="139"/>
      <c r="AM79" s="139"/>
      <c r="AN79" s="139"/>
      <c r="AO79" s="139"/>
      <c r="AP79" s="140"/>
      <c r="AQ79" s="173"/>
      <c r="AR79" s="139"/>
      <c r="AS79" s="139"/>
      <c r="AT79" s="139"/>
      <c r="AU79" s="140"/>
      <c r="AV79" s="173"/>
      <c r="AW79" s="173"/>
      <c r="AX79" s="173"/>
      <c r="AY79" s="173"/>
      <c r="AZ79" s="140"/>
      <c r="BA79" s="173"/>
      <c r="BB79" s="173"/>
      <c r="BC79" s="173"/>
      <c r="BD79" s="173"/>
      <c r="BE79" s="140"/>
      <c r="BF79" s="173"/>
      <c r="BG79" s="173"/>
      <c r="BH79" s="173"/>
      <c r="BI79" s="173"/>
      <c r="BJ79" s="140"/>
      <c r="BK79" s="173"/>
      <c r="BL79" s="173"/>
      <c r="BM79" s="173"/>
      <c r="BN79" s="173"/>
      <c r="BO79" s="140"/>
      <c r="BP79" s="173"/>
      <c r="BQ79" s="173"/>
      <c r="BR79" s="173"/>
      <c r="BS79" s="173"/>
      <c r="BT79" s="140"/>
      <c r="BU79" s="173"/>
      <c r="BV79" s="173"/>
      <c r="BW79" s="173"/>
      <c r="BX79" s="173"/>
      <c r="BY79" s="140"/>
      <c r="BZ79" s="173"/>
      <c r="CA79" s="173"/>
      <c r="CB79" s="173"/>
      <c r="CC79" s="173"/>
      <c r="CD79" s="140"/>
      <c r="CE79" s="222"/>
      <c r="CL79" s="160"/>
      <c r="CM79" s="160"/>
    </row>
    <row r="80" spans="1:91" ht="12.75" customHeight="1">
      <c r="A80" s="218"/>
      <c r="B80" s="131" t="s">
        <v>136</v>
      </c>
      <c r="C80" s="139"/>
      <c r="D80" s="139"/>
      <c r="E80" s="139"/>
      <c r="F80" s="139"/>
      <c r="G80" s="140"/>
      <c r="H80" s="139"/>
      <c r="I80" s="139"/>
      <c r="J80" s="139"/>
      <c r="K80" s="139"/>
      <c r="L80" s="140"/>
      <c r="M80" s="139"/>
      <c r="N80" s="139"/>
      <c r="O80" s="139"/>
      <c r="P80" s="139"/>
      <c r="Q80" s="140"/>
      <c r="R80" s="139"/>
      <c r="S80" s="139"/>
      <c r="T80" s="139"/>
      <c r="U80" s="139"/>
      <c r="V80" s="140"/>
      <c r="W80" s="139"/>
      <c r="X80" s="139"/>
      <c r="Y80" s="139"/>
      <c r="Z80" s="139"/>
      <c r="AA80" s="140"/>
      <c r="AB80" s="139"/>
      <c r="AC80" s="139"/>
      <c r="AD80" s="139"/>
      <c r="AE80" s="139"/>
      <c r="AF80" s="140"/>
      <c r="AG80" s="139"/>
      <c r="AH80" s="139"/>
      <c r="AI80" s="139"/>
      <c r="AJ80" s="139"/>
      <c r="AK80" s="169">
        <v>210</v>
      </c>
      <c r="AL80" s="116"/>
      <c r="AM80" s="116"/>
      <c r="AN80" s="116"/>
      <c r="AO80" s="116"/>
      <c r="AP80" s="169">
        <v>269</v>
      </c>
      <c r="AQ80" s="223">
        <f>15+12+24+16+1+5</f>
        <v>73</v>
      </c>
      <c r="AR80" s="196">
        <f>12+14+28+20+1+4</f>
        <v>79</v>
      </c>
      <c r="AS80" s="196">
        <f>12+14+28+20+1+1</f>
        <v>76</v>
      </c>
      <c r="AT80" s="196">
        <f>13+19+28+19+1+1</f>
        <v>81</v>
      </c>
      <c r="AU80" s="224">
        <f>+SUM(AQ80:AT80)</f>
        <v>309</v>
      </c>
      <c r="AV80" s="197">
        <f>13+13+29+22+2+3</f>
        <v>82</v>
      </c>
      <c r="AW80" s="100">
        <v>89</v>
      </c>
      <c r="AX80" s="100">
        <f>16+18+33+25+2</f>
        <v>94</v>
      </c>
      <c r="AY80" s="100">
        <v>90</v>
      </c>
      <c r="AZ80" s="144">
        <f>+SUM(AV80:AY80)</f>
        <v>355</v>
      </c>
      <c r="BA80" s="100">
        <v>95</v>
      </c>
      <c r="BB80" s="100">
        <v>122</v>
      </c>
      <c r="BC80" s="100">
        <v>109</v>
      </c>
      <c r="BD80" s="100">
        <v>127</v>
      </c>
      <c r="BE80" s="144">
        <f>+SUM(BA80:BD80)</f>
        <v>453</v>
      </c>
      <c r="BF80" s="100">
        <v>147</v>
      </c>
      <c r="BG80" s="100">
        <v>192</v>
      </c>
      <c r="BH80" s="100">
        <v>197</v>
      </c>
      <c r="BI80" s="100">
        <v>223</v>
      </c>
      <c r="BJ80" s="144">
        <f>+SUM(BF80:BI80)</f>
        <v>759</v>
      </c>
      <c r="BK80" s="100">
        <v>241</v>
      </c>
      <c r="BL80" s="145">
        <f>+BL82*BL14</f>
        <v>249.88400174481046</v>
      </c>
      <c r="BM80" s="145">
        <f>+BM82*BM14</f>
        <v>239.48080925671104</v>
      </c>
      <c r="BN80" s="145">
        <f>+BN82*BN14</f>
        <v>277.40152192097662</v>
      </c>
      <c r="BO80" s="144">
        <f>+SUM(BK80:BN80)</f>
        <v>1007.7663329224981</v>
      </c>
      <c r="BP80" s="145">
        <f>+BP82*BP14</f>
        <v>244.95257303569332</v>
      </c>
      <c r="BQ80" s="145">
        <f>+BQ82*BQ14</f>
        <v>254.65861086488249</v>
      </c>
      <c r="BR80" s="145">
        <f>+BR82*BR14</f>
        <v>262.00517937187425</v>
      </c>
      <c r="BS80" s="145">
        <f>+BS82*BS14</f>
        <v>303.66928500221997</v>
      </c>
      <c r="BT80" s="144">
        <f>+SUM(BP80:BS80)</f>
        <v>1065.2856482746702</v>
      </c>
      <c r="BU80" s="145">
        <f>+BU82*BU14</f>
        <v>293.52806482153574</v>
      </c>
      <c r="BV80" s="145">
        <f>+BV82*BV14</f>
        <v>306.25001650402959</v>
      </c>
      <c r="BW80" s="145">
        <f>+BW82*BW14</f>
        <v>309.65365692339259</v>
      </c>
      <c r="BX80" s="145">
        <f>+BX82*BX14</f>
        <v>360.17549494535558</v>
      </c>
      <c r="BY80" s="144">
        <f>+SUM(BU80:BX80)</f>
        <v>1269.6072331943137</v>
      </c>
      <c r="BZ80" s="145">
        <f>+BZ82*BZ14</f>
        <v>318.13794987026972</v>
      </c>
      <c r="CA80" s="145">
        <f>+CA82*CA14</f>
        <v>332.48787669830244</v>
      </c>
      <c r="CB80" s="145">
        <f>+CB82*CB14</f>
        <v>338.44835212453449</v>
      </c>
      <c r="CC80" s="145">
        <f>+CC82*CC14</f>
        <v>394.27349586610052</v>
      </c>
      <c r="CD80" s="144">
        <f>+SUM(BZ80:CC80)</f>
        <v>1383.3476745592072</v>
      </c>
      <c r="CE80" s="222"/>
      <c r="CL80" s="160"/>
      <c r="CM80" s="160"/>
    </row>
    <row r="81" spans="1:91" ht="12.75" customHeight="1">
      <c r="A81" s="218"/>
      <c r="B81" s="138" t="s">
        <v>21</v>
      </c>
      <c r="C81" s="139"/>
      <c r="D81" s="139"/>
      <c r="E81" s="139"/>
      <c r="F81" s="139"/>
      <c r="G81" s="140"/>
      <c r="H81" s="139"/>
      <c r="I81" s="139"/>
      <c r="J81" s="139"/>
      <c r="K81" s="139"/>
      <c r="L81" s="140"/>
      <c r="M81" s="139"/>
      <c r="N81" s="139"/>
      <c r="O81" s="139"/>
      <c r="P81" s="139"/>
      <c r="Q81" s="140"/>
      <c r="R81" s="139"/>
      <c r="S81" s="139"/>
      <c r="T81" s="139"/>
      <c r="U81" s="139"/>
      <c r="V81" s="140"/>
      <c r="W81" s="139"/>
      <c r="X81" s="139"/>
      <c r="Y81" s="139"/>
      <c r="Z81" s="139"/>
      <c r="AA81" s="140"/>
      <c r="AB81" s="139"/>
      <c r="AC81" s="139"/>
      <c r="AD81" s="139"/>
      <c r="AE81" s="139"/>
      <c r="AF81" s="140"/>
      <c r="AG81" s="139"/>
      <c r="AH81" s="139"/>
      <c r="AI81" s="139"/>
      <c r="AJ81" s="139"/>
      <c r="AK81" s="140"/>
      <c r="AL81" s="139"/>
      <c r="AM81" s="139"/>
      <c r="AN81" s="139"/>
      <c r="AO81" s="139"/>
      <c r="AP81" s="140">
        <f t="shared" ref="AP81:CD81" si="49">IF(ISERROR(AP80/AK80-1), "NM", (AP80/AK80-1))</f>
        <v>0.28095238095238084</v>
      </c>
      <c r="AQ81" s="173" t="str">
        <f t="shared" si="49"/>
        <v>NM</v>
      </c>
      <c r="AR81" s="139" t="str">
        <f t="shared" si="49"/>
        <v>NM</v>
      </c>
      <c r="AS81" s="139" t="str">
        <f t="shared" si="49"/>
        <v>NM</v>
      </c>
      <c r="AT81" s="139" t="str">
        <f t="shared" si="49"/>
        <v>NM</v>
      </c>
      <c r="AU81" s="140">
        <f t="shared" si="49"/>
        <v>0.14869888475836435</v>
      </c>
      <c r="AV81" s="173">
        <f t="shared" si="49"/>
        <v>0.12328767123287676</v>
      </c>
      <c r="AW81" s="173">
        <f t="shared" si="49"/>
        <v>0.12658227848101267</v>
      </c>
      <c r="AX81" s="173">
        <f t="shared" si="49"/>
        <v>0.23684210526315796</v>
      </c>
      <c r="AY81" s="173">
        <f t="shared" si="49"/>
        <v>0.11111111111111116</v>
      </c>
      <c r="AZ81" s="140">
        <f t="shared" si="49"/>
        <v>0.14886731391585761</v>
      </c>
      <c r="BA81" s="173">
        <f t="shared" si="49"/>
        <v>0.15853658536585358</v>
      </c>
      <c r="BB81" s="173">
        <f t="shared" si="49"/>
        <v>0.3707865168539326</v>
      </c>
      <c r="BC81" s="173">
        <f t="shared" si="49"/>
        <v>0.15957446808510634</v>
      </c>
      <c r="BD81" s="173">
        <f t="shared" si="49"/>
        <v>0.4111111111111112</v>
      </c>
      <c r="BE81" s="140">
        <f t="shared" si="49"/>
        <v>0.27605633802816909</v>
      </c>
      <c r="BF81" s="173">
        <f t="shared" si="49"/>
        <v>0.5473684210526315</v>
      </c>
      <c r="BG81" s="173">
        <f t="shared" si="49"/>
        <v>0.57377049180327866</v>
      </c>
      <c r="BH81" s="173">
        <f t="shared" si="49"/>
        <v>0.80733944954128445</v>
      </c>
      <c r="BI81" s="173">
        <f t="shared" si="49"/>
        <v>0.75590551181102361</v>
      </c>
      <c r="BJ81" s="140">
        <f t="shared" si="49"/>
        <v>0.67549668874172175</v>
      </c>
      <c r="BK81" s="173">
        <f t="shared" si="49"/>
        <v>0.63945578231292521</v>
      </c>
      <c r="BL81" s="173">
        <f t="shared" si="49"/>
        <v>0.30147917575422123</v>
      </c>
      <c r="BM81" s="173">
        <f t="shared" si="49"/>
        <v>0.21563862566858405</v>
      </c>
      <c r="BN81" s="173">
        <f t="shared" si="49"/>
        <v>0.24395301309854989</v>
      </c>
      <c r="BO81" s="140">
        <f t="shared" si="49"/>
        <v>0.32775537934452981</v>
      </c>
      <c r="BP81" s="173">
        <f t="shared" si="49"/>
        <v>1.6400717990428637E-2</v>
      </c>
      <c r="BQ81" s="173">
        <f t="shared" si="49"/>
        <v>1.9107302135124238E-2</v>
      </c>
      <c r="BR81" s="173">
        <f t="shared" si="49"/>
        <v>9.4055010859004806E-2</v>
      </c>
      <c r="BS81" s="173">
        <f t="shared" si="49"/>
        <v>9.4692209687033513E-2</v>
      </c>
      <c r="BT81" s="140">
        <f t="shared" si="49"/>
        <v>5.707604379416753E-2</v>
      </c>
      <c r="BU81" s="173">
        <f t="shared" si="49"/>
        <v>0.19830570131943137</v>
      </c>
      <c r="BV81" s="173">
        <f t="shared" si="49"/>
        <v>0.20259046204614939</v>
      </c>
      <c r="BW81" s="173">
        <f t="shared" si="49"/>
        <v>0.18186082300262085</v>
      </c>
      <c r="BX81" s="173">
        <f t="shared" si="49"/>
        <v>0.18607812094898746</v>
      </c>
      <c r="BY81" s="140">
        <f t="shared" si="49"/>
        <v>0.19179980998576429</v>
      </c>
      <c r="BZ81" s="173">
        <f t="shared" si="49"/>
        <v>8.3841676480566507E-2</v>
      </c>
      <c r="CA81" s="173">
        <f t="shared" si="49"/>
        <v>8.5674640915252454E-2</v>
      </c>
      <c r="CB81" s="173">
        <f t="shared" si="49"/>
        <v>9.2990005308626555E-2</v>
      </c>
      <c r="CC81" s="173">
        <f t="shared" si="49"/>
        <v>9.4670518675675552E-2</v>
      </c>
      <c r="CD81" s="140">
        <f t="shared" si="49"/>
        <v>8.9587108824769501E-2</v>
      </c>
      <c r="CE81" s="222"/>
      <c r="CL81" s="160"/>
      <c r="CM81" s="160"/>
    </row>
    <row r="82" spans="1:91" ht="12.75" customHeight="1">
      <c r="A82" s="218"/>
      <c r="B82" s="199" t="s">
        <v>129</v>
      </c>
      <c r="C82" s="139"/>
      <c r="D82" s="139"/>
      <c r="E82" s="139"/>
      <c r="F82" s="139"/>
      <c r="G82" s="140"/>
      <c r="H82" s="139"/>
      <c r="I82" s="139"/>
      <c r="J82" s="139"/>
      <c r="K82" s="139"/>
      <c r="L82" s="140"/>
      <c r="M82" s="139"/>
      <c r="N82" s="139"/>
      <c r="O82" s="139"/>
      <c r="P82" s="139"/>
      <c r="Q82" s="140"/>
      <c r="R82" s="139"/>
      <c r="S82" s="139"/>
      <c r="T82" s="139"/>
      <c r="U82" s="139"/>
      <c r="V82" s="140"/>
      <c r="W82" s="139"/>
      <c r="X82" s="139"/>
      <c r="Y82" s="139"/>
      <c r="Z82" s="139"/>
      <c r="AA82" s="140"/>
      <c r="AB82" s="139"/>
      <c r="AC82" s="139"/>
      <c r="AD82" s="139"/>
      <c r="AE82" s="139"/>
      <c r="AF82" s="140"/>
      <c r="AG82" s="139"/>
      <c r="AH82" s="139"/>
      <c r="AI82" s="139"/>
      <c r="AJ82" s="139"/>
      <c r="AK82" s="140"/>
      <c r="AL82" s="139"/>
      <c r="AM82" s="139"/>
      <c r="AN82" s="139"/>
      <c r="AO82" s="139"/>
      <c r="AP82" s="140">
        <f t="shared" ref="AP82:AZ82" si="50">+AP80/AP14</f>
        <v>3.9988107625984835E-2</v>
      </c>
      <c r="AQ82" s="173">
        <f t="shared" si="50"/>
        <v>3.9016568679850344E-2</v>
      </c>
      <c r="AR82" s="139">
        <f t="shared" si="50"/>
        <v>3.9878849066128215E-2</v>
      </c>
      <c r="AS82" s="139">
        <f t="shared" si="50"/>
        <v>3.8559107052257735E-2</v>
      </c>
      <c r="AT82" s="139">
        <f t="shared" si="50"/>
        <v>3.7003197807217905E-2</v>
      </c>
      <c r="AU82" s="140">
        <f t="shared" si="50"/>
        <v>3.8567149276085871E-2</v>
      </c>
      <c r="AV82" s="139">
        <f t="shared" si="50"/>
        <v>3.8425492033739454E-2</v>
      </c>
      <c r="AW82" s="139">
        <f t="shared" si="50"/>
        <v>3.8813781072830351E-2</v>
      </c>
      <c r="AX82" s="139">
        <f t="shared" si="50"/>
        <v>4.1629760850310012E-2</v>
      </c>
      <c r="AY82" s="139">
        <f t="shared" si="50"/>
        <v>3.5211267605633804E-2</v>
      </c>
      <c r="AZ82" s="140">
        <f t="shared" si="50"/>
        <v>3.838667820069204E-2</v>
      </c>
      <c r="BA82" s="139">
        <f>+BA80/BA14</f>
        <v>3.7342767295597483E-2</v>
      </c>
      <c r="BB82" s="139">
        <f>+BB80/BB14</f>
        <v>4.6037735849056606E-2</v>
      </c>
      <c r="BC82" s="139">
        <f>+BC80/BC14</f>
        <v>4.0869891263592049E-2</v>
      </c>
      <c r="BD82" s="139">
        <v>3.85E-2</v>
      </c>
      <c r="BE82" s="140">
        <f>+BE80/BE14</f>
        <v>4.1781959048146099E-2</v>
      </c>
      <c r="BF82" s="139">
        <f>+BF80/BF14</f>
        <v>4.9411764705882349E-2</v>
      </c>
      <c r="BG82" s="139">
        <v>5.8999999999999997E-2</v>
      </c>
      <c r="BH82" s="139">
        <v>5.3999999999999999E-2</v>
      </c>
      <c r="BI82" s="139">
        <v>5.7500000000000002E-2</v>
      </c>
      <c r="BJ82" s="140">
        <f>+BJ80/BJ14</f>
        <v>5.8138644197625433E-2</v>
      </c>
      <c r="BK82" s="139">
        <f>+BK80/BK14</f>
        <v>6.5400271370420621E-2</v>
      </c>
      <c r="BL82" s="225">
        <f>+BK82</f>
        <v>6.5400271370420621E-2</v>
      </c>
      <c r="BM82" s="225">
        <f>+BL82</f>
        <v>6.5400271370420621E-2</v>
      </c>
      <c r="BN82" s="225">
        <f>+BM82</f>
        <v>6.5400271370420621E-2</v>
      </c>
      <c r="BO82" s="140">
        <f>+BO80/BO14</f>
        <v>6.5400271370420621E-2</v>
      </c>
      <c r="BP82" s="225">
        <v>0.06</v>
      </c>
      <c r="BQ82" s="225">
        <f>+BP82</f>
        <v>0.06</v>
      </c>
      <c r="BR82" s="225">
        <f>+BQ82</f>
        <v>0.06</v>
      </c>
      <c r="BS82" s="225">
        <f>+BR82</f>
        <v>0.06</v>
      </c>
      <c r="BT82" s="140">
        <f>+BT80/BT14</f>
        <v>0.06</v>
      </c>
      <c r="BU82" s="225">
        <v>6.1499999999999999E-2</v>
      </c>
      <c r="BV82" s="225">
        <f>+BU82</f>
        <v>6.1499999999999999E-2</v>
      </c>
      <c r="BW82" s="225">
        <f>+BV82</f>
        <v>6.1499999999999999E-2</v>
      </c>
      <c r="BX82" s="225">
        <f>+BW82</f>
        <v>6.1499999999999999E-2</v>
      </c>
      <c r="BY82" s="140">
        <f>+BY80/BY14</f>
        <v>6.1500000000000013E-2</v>
      </c>
      <c r="BZ82" s="225">
        <v>5.8000000000000003E-2</v>
      </c>
      <c r="CA82" s="225">
        <f>+BZ82</f>
        <v>5.8000000000000003E-2</v>
      </c>
      <c r="CB82" s="225">
        <f>+CA82</f>
        <v>5.8000000000000003E-2</v>
      </c>
      <c r="CC82" s="225">
        <f>+CB82</f>
        <v>5.8000000000000003E-2</v>
      </c>
      <c r="CD82" s="140">
        <f>+CD80/CD14</f>
        <v>5.7999999999999996E-2</v>
      </c>
      <c r="CE82" s="222"/>
      <c r="CL82" s="160"/>
      <c r="CM82" s="160"/>
    </row>
    <row r="83" spans="1:91" ht="12.75" customHeight="1">
      <c r="A83" s="218"/>
      <c r="B83" s="226"/>
      <c r="C83" s="139"/>
      <c r="D83" s="139"/>
      <c r="E83" s="139"/>
      <c r="F83" s="139"/>
      <c r="G83" s="140"/>
      <c r="H83" s="139"/>
      <c r="I83" s="139"/>
      <c r="J83" s="139"/>
      <c r="K83" s="139"/>
      <c r="L83" s="140"/>
      <c r="M83" s="139"/>
      <c r="N83" s="139"/>
      <c r="O83" s="139"/>
      <c r="P83" s="139"/>
      <c r="Q83" s="140"/>
      <c r="R83" s="139"/>
      <c r="S83" s="139"/>
      <c r="T83" s="139"/>
      <c r="U83" s="139"/>
      <c r="V83" s="140"/>
      <c r="W83" s="139"/>
      <c r="X83" s="139"/>
      <c r="Y83" s="139"/>
      <c r="Z83" s="139"/>
      <c r="AA83" s="140"/>
      <c r="AB83" s="139"/>
      <c r="AC83" s="139"/>
      <c r="AD83" s="139"/>
      <c r="AE83" s="139"/>
      <c r="AF83" s="140"/>
      <c r="AG83" s="139"/>
      <c r="AH83" s="139"/>
      <c r="AI83" s="139"/>
      <c r="AJ83" s="139"/>
      <c r="AK83" s="140"/>
      <c r="AL83" s="139"/>
      <c r="AM83" s="139"/>
      <c r="AN83" s="139"/>
      <c r="AO83" s="139"/>
      <c r="AP83" s="140"/>
      <c r="AQ83" s="173"/>
      <c r="AR83" s="139"/>
      <c r="AS83" s="139"/>
      <c r="AT83" s="139"/>
      <c r="AU83" s="140"/>
      <c r="AV83" s="139"/>
      <c r="AW83" s="139"/>
      <c r="AX83" s="139"/>
      <c r="AY83" s="139"/>
      <c r="AZ83" s="140"/>
      <c r="BA83" s="173"/>
      <c r="BB83" s="139"/>
      <c r="BC83" s="139"/>
      <c r="BD83" s="139"/>
      <c r="BE83" s="140"/>
      <c r="BF83" s="173"/>
      <c r="BG83" s="139"/>
      <c r="BH83" s="139"/>
      <c r="BI83" s="139"/>
      <c r="BJ83" s="140"/>
      <c r="BK83" s="173"/>
      <c r="BL83" s="173"/>
      <c r="BM83" s="173"/>
      <c r="BN83" s="173"/>
      <c r="BO83" s="140"/>
      <c r="BP83" s="173"/>
      <c r="BQ83" s="173"/>
      <c r="BR83" s="173"/>
      <c r="BS83" s="173"/>
      <c r="BT83" s="140"/>
      <c r="BU83" s="173"/>
      <c r="BV83" s="173"/>
      <c r="BW83" s="173"/>
      <c r="BX83" s="173"/>
      <c r="BY83" s="140"/>
      <c r="BZ83" s="173"/>
      <c r="CA83" s="173"/>
      <c r="CB83" s="173"/>
      <c r="CC83" s="173"/>
      <c r="CD83" s="140"/>
      <c r="CE83" s="222"/>
      <c r="CL83" s="160"/>
      <c r="CM83" s="160"/>
    </row>
    <row r="84" spans="1:91" ht="12.75" customHeight="1">
      <c r="A84" s="218"/>
      <c r="B84" s="208" t="s">
        <v>137</v>
      </c>
      <c r="C84" s="209"/>
      <c r="D84" s="209"/>
      <c r="E84" s="209"/>
      <c r="F84" s="209"/>
      <c r="G84" s="210"/>
      <c r="H84" s="209"/>
      <c r="I84" s="209"/>
      <c r="J84" s="209"/>
      <c r="K84" s="209"/>
      <c r="L84" s="210"/>
      <c r="M84" s="209"/>
      <c r="N84" s="209"/>
      <c r="O84" s="209"/>
      <c r="P84" s="209"/>
      <c r="Q84" s="210"/>
      <c r="R84" s="209"/>
      <c r="S84" s="209"/>
      <c r="T84" s="209"/>
      <c r="U84" s="209"/>
      <c r="V84" s="210"/>
      <c r="W84" s="209"/>
      <c r="X84" s="209"/>
      <c r="Y84" s="209"/>
      <c r="Z84" s="209"/>
      <c r="AA84" s="210"/>
      <c r="AB84" s="209"/>
      <c r="AC84" s="209"/>
      <c r="AD84" s="209"/>
      <c r="AE84" s="209"/>
      <c r="AF84" s="210"/>
      <c r="AG84" s="209"/>
      <c r="AH84" s="209"/>
      <c r="AI84" s="209"/>
      <c r="AJ84" s="209"/>
      <c r="AK84" s="210">
        <f t="shared" ref="AK84:CD84" si="51">+AK76-AK80</f>
        <v>957</v>
      </c>
      <c r="AL84" s="211">
        <f t="shared" si="51"/>
        <v>0</v>
      </c>
      <c r="AM84" s="211">
        <f t="shared" si="51"/>
        <v>0</v>
      </c>
      <c r="AN84" s="211">
        <f t="shared" si="51"/>
        <v>0</v>
      </c>
      <c r="AO84" s="211">
        <f t="shared" si="51"/>
        <v>0</v>
      </c>
      <c r="AP84" s="210">
        <f t="shared" si="51"/>
        <v>1142</v>
      </c>
      <c r="AQ84" s="211">
        <f t="shared" si="51"/>
        <v>334</v>
      </c>
      <c r="AR84" s="211">
        <f t="shared" si="51"/>
        <v>342</v>
      </c>
      <c r="AS84" s="211">
        <f t="shared" si="51"/>
        <v>277</v>
      </c>
      <c r="AT84" s="211">
        <f t="shared" si="51"/>
        <v>355</v>
      </c>
      <c r="AU84" s="210">
        <f t="shared" si="51"/>
        <v>1308</v>
      </c>
      <c r="AV84" s="211">
        <f t="shared" si="51"/>
        <v>383</v>
      </c>
      <c r="AW84" s="211">
        <f t="shared" si="51"/>
        <v>416</v>
      </c>
      <c r="AX84" s="211">
        <f t="shared" si="51"/>
        <v>356</v>
      </c>
      <c r="AY84" s="211">
        <f t="shared" si="51"/>
        <v>442</v>
      </c>
      <c r="AZ84" s="210">
        <f t="shared" si="51"/>
        <v>1604</v>
      </c>
      <c r="BA84" s="211">
        <f t="shared" si="51"/>
        <v>442</v>
      </c>
      <c r="BB84" s="211">
        <f t="shared" si="51"/>
        <v>406</v>
      </c>
      <c r="BC84" s="211">
        <f t="shared" si="51"/>
        <v>381</v>
      </c>
      <c r="BD84" s="211">
        <f t="shared" si="51"/>
        <v>492</v>
      </c>
      <c r="BE84" s="210">
        <f t="shared" si="51"/>
        <v>1721</v>
      </c>
      <c r="BF84" s="211">
        <f t="shared" si="51"/>
        <v>496</v>
      </c>
      <c r="BG84" s="211">
        <f t="shared" si="51"/>
        <v>467</v>
      </c>
      <c r="BH84" s="211">
        <f t="shared" si="51"/>
        <v>449</v>
      </c>
      <c r="BI84" s="211">
        <f t="shared" si="51"/>
        <v>584</v>
      </c>
      <c r="BJ84" s="210">
        <f t="shared" si="51"/>
        <v>1996</v>
      </c>
      <c r="BK84" s="211">
        <f t="shared" si="51"/>
        <v>588</v>
      </c>
      <c r="BL84" s="211">
        <f t="shared" si="51"/>
        <v>583.73813268272079</v>
      </c>
      <c r="BM84" s="211">
        <f t="shared" si="51"/>
        <v>546.39540775058845</v>
      </c>
      <c r="BN84" s="211">
        <f t="shared" si="51"/>
        <v>708.51682170470667</v>
      </c>
      <c r="BO84" s="210">
        <f t="shared" si="51"/>
        <v>2426.6503621380161</v>
      </c>
      <c r="BP84" s="211">
        <f t="shared" si="51"/>
        <v>679.51849269477088</v>
      </c>
      <c r="BQ84" s="211">
        <f t="shared" si="51"/>
        <v>715.73046043322927</v>
      </c>
      <c r="BR84" s="211">
        <f t="shared" si="51"/>
        <v>710.61287808352495</v>
      </c>
      <c r="BS84" s="211">
        <f t="shared" si="51"/>
        <v>914.3630411438005</v>
      </c>
      <c r="BT84" s="210">
        <f t="shared" si="51"/>
        <v>3020.2248723553275</v>
      </c>
      <c r="BU84" s="211">
        <f t="shared" si="51"/>
        <v>818.52587910360171</v>
      </c>
      <c r="BV84" s="211">
        <f t="shared" si="51"/>
        <v>871.16654835613281</v>
      </c>
      <c r="BW84" s="211">
        <f t="shared" si="51"/>
        <v>844.58172470689806</v>
      </c>
      <c r="BX84" s="211">
        <f t="shared" si="51"/>
        <v>1097.3348046072201</v>
      </c>
      <c r="BY84" s="210">
        <f t="shared" si="51"/>
        <v>3631.6089567738532</v>
      </c>
      <c r="BZ84" s="211">
        <f t="shared" si="51"/>
        <v>1023.1738184290627</v>
      </c>
      <c r="CA84" s="211">
        <f t="shared" si="51"/>
        <v>1092.5350833884586</v>
      </c>
      <c r="CB84" s="211">
        <f t="shared" si="51"/>
        <v>1090.4372322645718</v>
      </c>
      <c r="CC84" s="211">
        <f t="shared" si="51"/>
        <v>1408.8235312476027</v>
      </c>
      <c r="CD84" s="210">
        <f t="shared" si="51"/>
        <v>4614.9696653296987</v>
      </c>
      <c r="CE84" s="156">
        <f>(BY84/BE84)^0.25-1</f>
        <v>0.20525669349871145</v>
      </c>
      <c r="CL84" s="160"/>
      <c r="CM84" s="160"/>
    </row>
    <row r="85" spans="1:91" ht="12.75" customHeight="1">
      <c r="A85" s="218"/>
      <c r="B85" s="213" t="s">
        <v>135</v>
      </c>
      <c r="C85" s="214"/>
      <c r="D85" s="214"/>
      <c r="E85" s="214"/>
      <c r="F85" s="214"/>
      <c r="G85" s="215"/>
      <c r="H85" s="214"/>
      <c r="I85" s="214"/>
      <c r="J85" s="214"/>
      <c r="K85" s="214"/>
      <c r="L85" s="215"/>
      <c r="M85" s="214"/>
      <c r="N85" s="214"/>
      <c r="O85" s="214"/>
      <c r="P85" s="214"/>
      <c r="Q85" s="215"/>
      <c r="R85" s="214"/>
      <c r="S85" s="214"/>
      <c r="T85" s="214"/>
      <c r="U85" s="214"/>
      <c r="V85" s="215"/>
      <c r="W85" s="214"/>
      <c r="X85" s="214"/>
      <c r="Y85" s="214"/>
      <c r="Z85" s="214"/>
      <c r="AA85" s="215"/>
      <c r="AB85" s="214"/>
      <c r="AC85" s="214"/>
      <c r="AD85" s="214"/>
      <c r="AE85" s="214"/>
      <c r="AF85" s="215"/>
      <c r="AG85" s="214"/>
      <c r="AH85" s="214"/>
      <c r="AI85" s="214"/>
      <c r="AJ85" s="214"/>
      <c r="AK85" s="215"/>
      <c r="AL85" s="216"/>
      <c r="AM85" s="216"/>
      <c r="AN85" s="216"/>
      <c r="AO85" s="216"/>
      <c r="AP85" s="140">
        <f t="shared" ref="AP85:CD85" si="52">IF(ISERROR(AP84/AK84-1), "NM", (AP84/AK84-1))</f>
        <v>0.19331243469174497</v>
      </c>
      <c r="AQ85" s="217" t="str">
        <f t="shared" si="52"/>
        <v>NM</v>
      </c>
      <c r="AR85" s="217" t="str">
        <f t="shared" si="52"/>
        <v>NM</v>
      </c>
      <c r="AS85" s="217" t="str">
        <f t="shared" si="52"/>
        <v>NM</v>
      </c>
      <c r="AT85" s="217" t="str">
        <f t="shared" si="52"/>
        <v>NM</v>
      </c>
      <c r="AU85" s="140">
        <f t="shared" si="52"/>
        <v>0.14535901926444827</v>
      </c>
      <c r="AV85" s="217">
        <f t="shared" si="52"/>
        <v>0.1467065868263473</v>
      </c>
      <c r="AW85" s="217">
        <f t="shared" si="52"/>
        <v>0.21637426900584789</v>
      </c>
      <c r="AX85" s="217">
        <f t="shared" si="52"/>
        <v>0.28519855595667876</v>
      </c>
      <c r="AY85" s="217">
        <f t="shared" si="52"/>
        <v>0.24507042253521116</v>
      </c>
      <c r="AZ85" s="140">
        <f t="shared" si="52"/>
        <v>0.2262996941896025</v>
      </c>
      <c r="BA85" s="217">
        <f t="shared" si="52"/>
        <v>0.15404699738903394</v>
      </c>
      <c r="BB85" s="217">
        <f t="shared" si="52"/>
        <v>-2.4038461538461564E-2</v>
      </c>
      <c r="BC85" s="217">
        <f t="shared" si="52"/>
        <v>7.02247191011236E-2</v>
      </c>
      <c r="BD85" s="217">
        <f t="shared" si="52"/>
        <v>0.1131221719457014</v>
      </c>
      <c r="BE85" s="140">
        <f t="shared" si="52"/>
        <v>7.2942643391521234E-2</v>
      </c>
      <c r="BF85" s="217">
        <f t="shared" si="52"/>
        <v>0.12217194570135748</v>
      </c>
      <c r="BG85" s="217">
        <f t="shared" si="52"/>
        <v>0.15024630541871931</v>
      </c>
      <c r="BH85" s="217">
        <f t="shared" si="52"/>
        <v>0.17847769028871396</v>
      </c>
      <c r="BI85" s="217">
        <f t="shared" si="52"/>
        <v>0.18699186991869921</v>
      </c>
      <c r="BJ85" s="140">
        <f t="shared" si="52"/>
        <v>0.15979081929110972</v>
      </c>
      <c r="BK85" s="217">
        <f t="shared" si="52"/>
        <v>0.18548387096774199</v>
      </c>
      <c r="BL85" s="217">
        <f t="shared" si="52"/>
        <v>0.24997458818569762</v>
      </c>
      <c r="BM85" s="217">
        <f t="shared" si="52"/>
        <v>0.21691627561378279</v>
      </c>
      <c r="BN85" s="217">
        <f t="shared" si="52"/>
        <v>0.21321373579573066</v>
      </c>
      <c r="BO85" s="140">
        <f t="shared" si="52"/>
        <v>0.21575669445792389</v>
      </c>
      <c r="BP85" s="217">
        <f t="shared" si="52"/>
        <v>0.15564369505913422</v>
      </c>
      <c r="BQ85" s="217">
        <f t="shared" si="52"/>
        <v>0.22611565076946971</v>
      </c>
      <c r="BR85" s="217">
        <f t="shared" si="52"/>
        <v>0.30054694458174569</v>
      </c>
      <c r="BS85" s="217">
        <f t="shared" si="52"/>
        <v>0.29053116755057906</v>
      </c>
      <c r="BT85" s="140">
        <f t="shared" si="52"/>
        <v>0.24460652407062833</v>
      </c>
      <c r="BU85" s="217">
        <f t="shared" si="52"/>
        <v>0.20456748109616307</v>
      </c>
      <c r="BV85" s="217">
        <f t="shared" si="52"/>
        <v>0.21717126280865373</v>
      </c>
      <c r="BW85" s="217">
        <f t="shared" si="52"/>
        <v>0.18852577930289982</v>
      </c>
      <c r="BX85" s="217">
        <f t="shared" si="52"/>
        <v>0.20010844186630239</v>
      </c>
      <c r="BY85" s="140">
        <f t="shared" si="52"/>
        <v>0.20242998791733569</v>
      </c>
      <c r="BZ85" s="217">
        <f t="shared" si="52"/>
        <v>0.25002012098820714</v>
      </c>
      <c r="CA85" s="217">
        <f t="shared" si="52"/>
        <v>0.25410587154665443</v>
      </c>
      <c r="CB85" s="217">
        <f t="shared" si="52"/>
        <v>0.29109735667438796</v>
      </c>
      <c r="CC85" s="217">
        <f t="shared" si="52"/>
        <v>0.28385933384467532</v>
      </c>
      <c r="CD85" s="140">
        <f t="shared" si="52"/>
        <v>0.27077824739958123</v>
      </c>
      <c r="CE85" s="222"/>
      <c r="CL85" s="160"/>
      <c r="CM85" s="160"/>
    </row>
    <row r="86" spans="1:91" ht="12.75" customHeight="1">
      <c r="A86" s="218"/>
      <c r="B86" s="219" t="s">
        <v>28</v>
      </c>
      <c r="C86" s="220"/>
      <c r="D86" s="220"/>
      <c r="E86" s="220"/>
      <c r="F86" s="220"/>
      <c r="G86" s="221"/>
      <c r="H86" s="220"/>
      <c r="I86" s="220"/>
      <c r="J86" s="220"/>
      <c r="K86" s="220"/>
      <c r="L86" s="221"/>
      <c r="M86" s="220"/>
      <c r="N86" s="220"/>
      <c r="O86" s="220"/>
      <c r="P86" s="220"/>
      <c r="Q86" s="221"/>
      <c r="R86" s="220"/>
      <c r="S86" s="220"/>
      <c r="T86" s="220"/>
      <c r="U86" s="220"/>
      <c r="V86" s="221"/>
      <c r="W86" s="220"/>
      <c r="X86" s="220"/>
      <c r="Y86" s="220"/>
      <c r="Z86" s="220"/>
      <c r="AA86" s="221"/>
      <c r="AB86" s="220"/>
      <c r="AC86" s="220"/>
      <c r="AD86" s="220"/>
      <c r="AE86" s="220"/>
      <c r="AF86" s="221"/>
      <c r="AG86" s="220"/>
      <c r="AH86" s="220"/>
      <c r="AI86" s="220"/>
      <c r="AJ86" s="220"/>
      <c r="AK86" s="221">
        <f>AK84/AK14</f>
        <v>0.16902154715648182</v>
      </c>
      <c r="AL86" s="220"/>
      <c r="AM86" s="220"/>
      <c r="AN86" s="220"/>
      <c r="AO86" s="220"/>
      <c r="AP86" s="221">
        <f t="shared" ref="AP86:CD86" si="53">AP84/AP14</f>
        <v>0.16976363906644865</v>
      </c>
      <c r="AQ86" s="220">
        <f t="shared" si="53"/>
        <v>0.17851416354890434</v>
      </c>
      <c r="AR86" s="220">
        <f t="shared" si="53"/>
        <v>0.17264008076728926</v>
      </c>
      <c r="AS86" s="220">
        <f t="shared" si="53"/>
        <v>0.14053779807204464</v>
      </c>
      <c r="AT86" s="220">
        <f t="shared" si="53"/>
        <v>0.16217450890817725</v>
      </c>
      <c r="AU86" s="221">
        <f t="shared" si="53"/>
        <v>0.16325511732401399</v>
      </c>
      <c r="AV86" s="220">
        <f t="shared" si="53"/>
        <v>0.1794751640112465</v>
      </c>
      <c r="AW86" s="220">
        <f t="shared" si="53"/>
        <v>0.1814217182730048</v>
      </c>
      <c r="AX86" s="220">
        <f t="shared" si="53"/>
        <v>0.15766164747564215</v>
      </c>
      <c r="AY86" s="220">
        <f t="shared" si="53"/>
        <v>0.1729264475743349</v>
      </c>
      <c r="AZ86" s="221">
        <f t="shared" si="53"/>
        <v>0.17344290657439446</v>
      </c>
      <c r="BA86" s="220">
        <f t="shared" si="53"/>
        <v>0.17374213836477986</v>
      </c>
      <c r="BB86" s="220">
        <f t="shared" si="53"/>
        <v>0.15320754716981133</v>
      </c>
      <c r="BC86" s="220">
        <f t="shared" si="53"/>
        <v>0.14285714285714285</v>
      </c>
      <c r="BD86" s="220">
        <f t="shared" si="53"/>
        <v>0.16504528681650452</v>
      </c>
      <c r="BE86" s="221">
        <f t="shared" si="53"/>
        <v>0.15873455082088175</v>
      </c>
      <c r="BF86" s="220">
        <f t="shared" si="53"/>
        <v>0.16672268907563026</v>
      </c>
      <c r="BG86" s="220">
        <f t="shared" si="53"/>
        <v>0.14891581632653061</v>
      </c>
      <c r="BH86" s="220">
        <f t="shared" si="53"/>
        <v>0.13862303179993826</v>
      </c>
      <c r="BI86" s="220">
        <f t="shared" si="53"/>
        <v>0.15762483130904184</v>
      </c>
      <c r="BJ86" s="221">
        <f t="shared" si="53"/>
        <v>0.15289161240903867</v>
      </c>
      <c r="BK86" s="220">
        <f t="shared" si="53"/>
        <v>0.15956580732700135</v>
      </c>
      <c r="BL86" s="220">
        <f t="shared" si="53"/>
        <v>0.15277741680197574</v>
      </c>
      <c r="BM86" s="220">
        <f t="shared" si="53"/>
        <v>0.14921616497518461</v>
      </c>
      <c r="BN86" s="220">
        <f t="shared" si="53"/>
        <v>0.1670401520839378</v>
      </c>
      <c r="BO86" s="221">
        <f t="shared" si="53"/>
        <v>0.15748054585701343</v>
      </c>
      <c r="BP86" s="220">
        <f t="shared" si="53"/>
        <v>0.16644491240247261</v>
      </c>
      <c r="BQ86" s="220">
        <f t="shared" si="53"/>
        <v>0.16863292970988134</v>
      </c>
      <c r="BR86" s="220">
        <f t="shared" si="53"/>
        <v>0.16273255661291891</v>
      </c>
      <c r="BS86" s="220">
        <f t="shared" si="53"/>
        <v>0.18066292897626102</v>
      </c>
      <c r="BT86" s="221">
        <f t="shared" si="53"/>
        <v>0.17010788856004197</v>
      </c>
      <c r="BU86" s="220">
        <f t="shared" si="53"/>
        <v>0.17149754179545892</v>
      </c>
      <c r="BV86" s="220">
        <f t="shared" si="53"/>
        <v>0.17494445660935079</v>
      </c>
      <c r="BW86" s="220">
        <f t="shared" si="53"/>
        <v>0.16774152317640631</v>
      </c>
      <c r="BX86" s="220">
        <f t="shared" si="53"/>
        <v>0.1873700221987139</v>
      </c>
      <c r="BY86" s="221">
        <f t="shared" si="53"/>
        <v>0.17591578324554893</v>
      </c>
      <c r="BZ86" s="220">
        <f t="shared" si="53"/>
        <v>0.18653568834867065</v>
      </c>
      <c r="CA86" s="220">
        <f t="shared" si="53"/>
        <v>0.19058449729290275</v>
      </c>
      <c r="CB86" s="220">
        <f t="shared" si="53"/>
        <v>0.18686856967787388</v>
      </c>
      <c r="CC86" s="220">
        <f t="shared" si="53"/>
        <v>0.20724640552585138</v>
      </c>
      <c r="CD86" s="221">
        <f t="shared" si="53"/>
        <v>0.19349310770657338</v>
      </c>
      <c r="CE86" s="222"/>
      <c r="CL86" s="160"/>
      <c r="CM86" s="160"/>
    </row>
    <row r="87" spans="1:91" ht="12.75" customHeight="1">
      <c r="A87" s="218"/>
      <c r="B87" s="199"/>
      <c r="C87" s="139"/>
      <c r="D87" s="139"/>
      <c r="E87" s="139"/>
      <c r="F87" s="139"/>
      <c r="G87" s="140"/>
      <c r="H87" s="139"/>
      <c r="I87" s="139"/>
      <c r="J87" s="139"/>
      <c r="K87" s="139"/>
      <c r="L87" s="140"/>
      <c r="M87" s="139"/>
      <c r="N87" s="139"/>
      <c r="O87" s="139"/>
      <c r="P87" s="139"/>
      <c r="Q87" s="140"/>
      <c r="R87" s="139"/>
      <c r="S87" s="139"/>
      <c r="T87" s="139"/>
      <c r="U87" s="139"/>
      <c r="V87" s="140"/>
      <c r="W87" s="139"/>
      <c r="X87" s="139"/>
      <c r="Y87" s="139"/>
      <c r="Z87" s="139"/>
      <c r="AA87" s="140"/>
      <c r="AB87" s="139"/>
      <c r="AC87" s="139"/>
      <c r="AD87" s="139"/>
      <c r="AE87" s="139"/>
      <c r="AF87" s="140"/>
      <c r="AG87" s="139"/>
      <c r="AH87" s="139"/>
      <c r="AI87" s="139"/>
      <c r="AJ87" s="139"/>
      <c r="AK87" s="140"/>
      <c r="AL87" s="139"/>
      <c r="AM87" s="139"/>
      <c r="AN87" s="139"/>
      <c r="AO87" s="139"/>
      <c r="AP87" s="140"/>
      <c r="AQ87" s="173"/>
      <c r="AR87" s="139"/>
      <c r="AS87" s="139"/>
      <c r="AT87" s="139"/>
      <c r="AU87" s="140"/>
      <c r="AV87" s="173"/>
      <c r="AW87" s="173"/>
      <c r="AX87" s="173"/>
      <c r="AY87" s="173"/>
      <c r="AZ87" s="140"/>
      <c r="BA87" s="173"/>
      <c r="BB87" s="173"/>
      <c r="BC87" s="173"/>
      <c r="BD87" s="173"/>
      <c r="BE87" s="140"/>
      <c r="BF87" s="173"/>
      <c r="BG87" s="173"/>
      <c r="BH87" s="173"/>
      <c r="BI87" s="173"/>
      <c r="BJ87" s="140"/>
      <c r="BK87" s="173"/>
      <c r="BL87" s="173"/>
      <c r="BM87" s="173"/>
      <c r="BN87" s="173"/>
      <c r="BO87" s="140"/>
      <c r="BP87" s="173"/>
      <c r="BQ87" s="173"/>
      <c r="BR87" s="173"/>
      <c r="BS87" s="173"/>
      <c r="BT87" s="140"/>
      <c r="BU87" s="173"/>
      <c r="BV87" s="173"/>
      <c r="BW87" s="173"/>
      <c r="BX87" s="173"/>
      <c r="BY87" s="140"/>
      <c r="BZ87" s="173"/>
      <c r="CA87" s="173"/>
      <c r="CB87" s="173"/>
      <c r="CC87" s="173"/>
      <c r="CD87" s="140"/>
      <c r="CE87" s="222"/>
      <c r="CL87" s="160"/>
      <c r="CM87" s="160"/>
    </row>
    <row r="88" spans="1:91" ht="12.75" customHeight="1">
      <c r="A88" s="227"/>
      <c r="B88" s="228" t="s">
        <v>23</v>
      </c>
      <c r="C88" s="229"/>
      <c r="D88" s="229"/>
      <c r="E88" s="229"/>
      <c r="F88" s="230"/>
      <c r="G88" s="231"/>
      <c r="H88" s="229"/>
      <c r="I88" s="229"/>
      <c r="J88" s="229"/>
      <c r="K88" s="230"/>
      <c r="L88" s="231"/>
      <c r="M88" s="229"/>
      <c r="N88" s="229"/>
      <c r="O88" s="229"/>
      <c r="P88" s="230"/>
      <c r="Q88" s="231"/>
      <c r="R88" s="229"/>
      <c r="S88" s="229"/>
      <c r="T88" s="229"/>
      <c r="U88" s="230"/>
      <c r="V88" s="231"/>
      <c r="W88" s="229"/>
      <c r="X88" s="229"/>
      <c r="Y88" s="229"/>
      <c r="Z88" s="230"/>
      <c r="AA88" s="231"/>
      <c r="AB88" s="229"/>
      <c r="AC88" s="229"/>
      <c r="AD88" s="229"/>
      <c r="AE88" s="230"/>
      <c r="AF88" s="231"/>
      <c r="AG88" s="229"/>
      <c r="AH88" s="229"/>
      <c r="AI88" s="229"/>
      <c r="AJ88" s="230"/>
      <c r="AK88" s="231">
        <f>AK84+AK72+AK123</f>
        <v>1281</v>
      </c>
      <c r="AL88" s="232"/>
      <c r="AM88" s="232"/>
      <c r="AN88" s="232"/>
      <c r="AO88" s="230"/>
      <c r="AP88" s="231">
        <f>AP84+AP72+AP123</f>
        <v>1540</v>
      </c>
      <c r="AQ88" s="232">
        <f>AQ84+AQ72</f>
        <v>446</v>
      </c>
      <c r="AR88" s="232">
        <f>AR84+AR72</f>
        <v>454</v>
      </c>
      <c r="AS88" s="232">
        <f t="shared" ref="AS88:AT88" si="54">AS84+AS72</f>
        <v>393</v>
      </c>
      <c r="AT88" s="232">
        <f t="shared" si="54"/>
        <v>473</v>
      </c>
      <c r="AU88" s="231">
        <f t="shared" ref="AU88:BO88" si="55">AU84+AU72+AU123</f>
        <v>1836</v>
      </c>
      <c r="AV88" s="232">
        <f>AV84+AV72</f>
        <v>510</v>
      </c>
      <c r="AW88" s="232">
        <f>AW84+AW72</f>
        <v>548</v>
      </c>
      <c r="AX88" s="232">
        <f t="shared" ref="AX88:AY88" si="56">AX84+AX72</f>
        <v>487</v>
      </c>
      <c r="AY88" s="232">
        <f t="shared" si="56"/>
        <v>576</v>
      </c>
      <c r="AZ88" s="231">
        <f t="shared" si="55"/>
        <v>2213</v>
      </c>
      <c r="BA88" s="232">
        <f>BA84+BA72</f>
        <v>582</v>
      </c>
      <c r="BB88" s="232">
        <f>BB84+BB72</f>
        <v>546</v>
      </c>
      <c r="BC88" s="232">
        <f t="shared" ref="BC88:BD88" si="57">BC84+BC72</f>
        <v>531</v>
      </c>
      <c r="BD88" s="232">
        <f t="shared" si="57"/>
        <v>647</v>
      </c>
      <c r="BE88" s="231">
        <f t="shared" si="55"/>
        <v>2439</v>
      </c>
      <c r="BF88" s="232">
        <f>BF84+BF72</f>
        <v>654</v>
      </c>
      <c r="BG88" s="232">
        <f>BG84+BG72</f>
        <v>643</v>
      </c>
      <c r="BH88" s="232">
        <f t="shared" ref="BH88:BI88" si="58">BH84+BH72</f>
        <v>614</v>
      </c>
      <c r="BI88" s="232">
        <f t="shared" si="58"/>
        <v>748</v>
      </c>
      <c r="BJ88" s="231">
        <f t="shared" si="55"/>
        <v>2788</v>
      </c>
      <c r="BK88" s="232">
        <f>BK84+BK72</f>
        <v>708</v>
      </c>
      <c r="BL88" s="232">
        <f>BL84+BL72</f>
        <v>705.23813268272079</v>
      </c>
      <c r="BM88" s="232">
        <f t="shared" ref="BM88:BN88" si="59">BM84+BM72</f>
        <v>669.39540775058845</v>
      </c>
      <c r="BN88" s="232">
        <f t="shared" si="59"/>
        <v>833.01682170470667</v>
      </c>
      <c r="BO88" s="231">
        <f t="shared" si="55"/>
        <v>2989.6503621380161</v>
      </c>
      <c r="BP88" s="232">
        <f>BP84+BP72</f>
        <v>807.01849269477088</v>
      </c>
      <c r="BQ88" s="232">
        <f>BQ84+BQ72</f>
        <v>844.73046043322927</v>
      </c>
      <c r="BR88" s="232">
        <f t="shared" ref="BR88:BS88" si="60">BR84+BR72</f>
        <v>841.11287808352495</v>
      </c>
      <c r="BS88" s="232">
        <f t="shared" si="60"/>
        <v>1046.3630411438005</v>
      </c>
      <c r="BT88" s="231">
        <f t="shared" ref="BT88:BY88" si="61">BT84+BT72+BT123</f>
        <v>3599.2248723553275</v>
      </c>
      <c r="BU88" s="232">
        <f>BU84+BU72</f>
        <v>955.52587910360171</v>
      </c>
      <c r="BV88" s="232">
        <f>BV84+BV72</f>
        <v>1009.6665483561328</v>
      </c>
      <c r="BW88" s="232">
        <f t="shared" ref="BW88:BX88" si="62">BW84+BW72</f>
        <v>984.58172470689806</v>
      </c>
      <c r="BX88" s="232">
        <f t="shared" si="62"/>
        <v>1238.8348046072201</v>
      </c>
      <c r="BY88" s="231">
        <f t="shared" si="61"/>
        <v>4248.6089567738527</v>
      </c>
      <c r="BZ88" s="232">
        <f>BZ84+BZ72</f>
        <v>1169.6738184290627</v>
      </c>
      <c r="CA88" s="232">
        <f>CA84+CA72</f>
        <v>1240.5350833884586</v>
      </c>
      <c r="CB88" s="232">
        <f t="shared" ref="CB88:CC88" si="63">CB84+CB72</f>
        <v>1239.9372322645718</v>
      </c>
      <c r="CC88" s="232">
        <f t="shared" si="63"/>
        <v>1559.8235312476027</v>
      </c>
      <c r="CD88" s="231">
        <f t="shared" ref="CD88" si="64">CD84+CD72+CD123</f>
        <v>5269.9696653296987</v>
      </c>
      <c r="CE88" s="233"/>
    </row>
    <row r="89" spans="1:91" ht="12.75" customHeight="1">
      <c r="A89" s="234"/>
      <c r="B89" s="199" t="s">
        <v>21</v>
      </c>
      <c r="C89" s="139"/>
      <c r="D89" s="139"/>
      <c r="E89" s="139"/>
      <c r="F89" s="139"/>
      <c r="G89" s="140"/>
      <c r="H89" s="139"/>
      <c r="I89" s="139"/>
      <c r="J89" s="139"/>
      <c r="K89" s="139"/>
      <c r="L89" s="140"/>
      <c r="M89" s="139"/>
      <c r="N89" s="139"/>
      <c r="O89" s="139"/>
      <c r="P89" s="139"/>
      <c r="Q89" s="140"/>
      <c r="R89" s="139"/>
      <c r="S89" s="139"/>
      <c r="T89" s="139"/>
      <c r="U89" s="139"/>
      <c r="V89" s="140"/>
      <c r="W89" s="139"/>
      <c r="X89" s="139"/>
      <c r="Y89" s="139"/>
      <c r="Z89" s="139"/>
      <c r="AA89" s="140"/>
      <c r="AB89" s="139"/>
      <c r="AC89" s="139"/>
      <c r="AD89" s="139"/>
      <c r="AE89" s="139"/>
      <c r="AF89" s="140"/>
      <c r="AG89" s="139"/>
      <c r="AH89" s="139"/>
      <c r="AI89" s="139"/>
      <c r="AJ89" s="139"/>
      <c r="AK89" s="140"/>
      <c r="AL89" s="139"/>
      <c r="AM89" s="139"/>
      <c r="AN89" s="139"/>
      <c r="AO89" s="139"/>
      <c r="AP89" s="140">
        <f>IF(ISERROR(AP88/AK88-1), "NM", (AP88/AK88-1))</f>
        <v>0.20218579234972678</v>
      </c>
      <c r="AQ89" s="139" t="str">
        <f>IF(ISERROR(AQ88/AL88-1), "NM", (AQ88/AL88-1))</f>
        <v>NM</v>
      </c>
      <c r="AR89" s="139" t="str">
        <f>IF(ISERROR(AR88/AM88-1), "NM", (AR88/AM88-1))</f>
        <v>NM</v>
      </c>
      <c r="AS89" s="139" t="str">
        <f>IF(ISERROR(AS88/AN88-1), "NM", (AS88/AN88-1))</f>
        <v>NM</v>
      </c>
      <c r="AT89" s="139" t="str">
        <f>IF(ISERROR(AT88/AO88-1), "NM", (AT88/AO88-1))</f>
        <v>NM</v>
      </c>
      <c r="AU89" s="140">
        <f t="shared" ref="AU89:CD89" si="65">IF(ISERROR(AU88/AP88-1), "NM", (AU88/AP88-1))</f>
        <v>0.19220779220779227</v>
      </c>
      <c r="AV89" s="139">
        <f t="shared" si="65"/>
        <v>0.1434977578475336</v>
      </c>
      <c r="AW89" s="139">
        <f t="shared" si="65"/>
        <v>0.20704845814977979</v>
      </c>
      <c r="AX89" s="139">
        <f t="shared" si="65"/>
        <v>0.23918575063613234</v>
      </c>
      <c r="AY89" s="139">
        <f t="shared" si="65"/>
        <v>0.21775898520084569</v>
      </c>
      <c r="AZ89" s="140">
        <f t="shared" si="65"/>
        <v>0.20533769063180829</v>
      </c>
      <c r="BA89" s="139">
        <f t="shared" si="65"/>
        <v>0.14117647058823524</v>
      </c>
      <c r="BB89" s="139">
        <f t="shared" si="65"/>
        <v>-3.6496350364964014E-3</v>
      </c>
      <c r="BC89" s="139">
        <f t="shared" si="65"/>
        <v>9.034907597535935E-2</v>
      </c>
      <c r="BD89" s="139">
        <f t="shared" si="65"/>
        <v>0.12326388888888884</v>
      </c>
      <c r="BE89" s="140">
        <f t="shared" si="65"/>
        <v>0.10212381382738367</v>
      </c>
      <c r="BF89" s="139">
        <f t="shared" si="65"/>
        <v>0.12371134020618557</v>
      </c>
      <c r="BG89" s="139">
        <f t="shared" si="65"/>
        <v>0.17765567765567769</v>
      </c>
      <c r="BH89" s="139">
        <f t="shared" si="65"/>
        <v>0.15630885122410554</v>
      </c>
      <c r="BI89" s="139">
        <f t="shared" si="65"/>
        <v>0.15610510046367843</v>
      </c>
      <c r="BJ89" s="140">
        <f t="shared" si="65"/>
        <v>0.1430914309143092</v>
      </c>
      <c r="BK89" s="139">
        <f t="shared" si="65"/>
        <v>8.256880733944949E-2</v>
      </c>
      <c r="BL89" s="139">
        <f t="shared" si="65"/>
        <v>9.6793363425693224E-2</v>
      </c>
      <c r="BM89" s="139">
        <f t="shared" si="65"/>
        <v>9.0220533795746682E-2</v>
      </c>
      <c r="BN89" s="139">
        <f t="shared" si="65"/>
        <v>0.11365885254639929</v>
      </c>
      <c r="BO89" s="140">
        <f t="shared" si="65"/>
        <v>7.2327963464137834E-2</v>
      </c>
      <c r="BP89" s="139">
        <f t="shared" si="65"/>
        <v>0.13985662809995891</v>
      </c>
      <c r="BQ89" s="139">
        <f t="shared" si="65"/>
        <v>0.19779464734823771</v>
      </c>
      <c r="BR89" s="139">
        <f t="shared" si="65"/>
        <v>0.25652621506617379</v>
      </c>
      <c r="BS89" s="139">
        <f t="shared" si="65"/>
        <v>0.25611273851888927</v>
      </c>
      <c r="BT89" s="140">
        <f t="shared" si="65"/>
        <v>0.20389491625414702</v>
      </c>
      <c r="BU89" s="139">
        <f t="shared" si="65"/>
        <v>0.18401980593150924</v>
      </c>
      <c r="BV89" s="139">
        <f t="shared" si="65"/>
        <v>0.19525291871008688</v>
      </c>
      <c r="BW89" s="139">
        <f t="shared" si="65"/>
        <v>0.17057026513524165</v>
      </c>
      <c r="BX89" s="139">
        <f t="shared" si="65"/>
        <v>0.18394357970922304</v>
      </c>
      <c r="BY89" s="140">
        <f t="shared" si="65"/>
        <v>0.180423315421681</v>
      </c>
      <c r="BZ89" s="139">
        <f t="shared" si="65"/>
        <v>0.224115268888748</v>
      </c>
      <c r="CA89" s="139">
        <f t="shared" si="65"/>
        <v>0.22865819948993016</v>
      </c>
      <c r="CB89" s="139">
        <f t="shared" si="65"/>
        <v>0.25935430360917056</v>
      </c>
      <c r="CC89" s="139">
        <f t="shared" si="65"/>
        <v>0.25910535080757113</v>
      </c>
      <c r="CD89" s="140">
        <f t="shared" si="65"/>
        <v>0.24039885029367536</v>
      </c>
      <c r="CE89" s="235"/>
      <c r="CL89" s="160"/>
      <c r="CM89" s="160"/>
    </row>
    <row r="90" spans="1:91" ht="12.75" customHeight="1">
      <c r="A90" s="234"/>
      <c r="B90" s="199" t="s">
        <v>138</v>
      </c>
      <c r="C90" s="139"/>
      <c r="D90" s="139"/>
      <c r="E90" s="139"/>
      <c r="F90" s="139"/>
      <c r="G90" s="140"/>
      <c r="H90" s="139"/>
      <c r="I90" s="139"/>
      <c r="J90" s="139"/>
      <c r="K90" s="139"/>
      <c r="L90" s="140"/>
      <c r="M90" s="139"/>
      <c r="N90" s="139"/>
      <c r="O90" s="139"/>
      <c r="P90" s="139"/>
      <c r="Q90" s="140"/>
      <c r="R90" s="139"/>
      <c r="S90" s="139"/>
      <c r="T90" s="139"/>
      <c r="U90" s="139"/>
      <c r="V90" s="140"/>
      <c r="W90" s="139"/>
      <c r="X90" s="139"/>
      <c r="Y90" s="139"/>
      <c r="Z90" s="139"/>
      <c r="AA90" s="140"/>
      <c r="AB90" s="139"/>
      <c r="AC90" s="139"/>
      <c r="AD90" s="139"/>
      <c r="AE90" s="139"/>
      <c r="AF90" s="140"/>
      <c r="AG90" s="139"/>
      <c r="AH90" s="139"/>
      <c r="AI90" s="139"/>
      <c r="AJ90" s="139"/>
      <c r="AK90" s="140">
        <f>AK88/AK$14</f>
        <v>0.22624514305898977</v>
      </c>
      <c r="AL90" s="139"/>
      <c r="AM90" s="139"/>
      <c r="AN90" s="139"/>
      <c r="AO90" s="139"/>
      <c r="AP90" s="140">
        <f>AP88/AP$14</f>
        <v>0.22892819979188345</v>
      </c>
      <c r="AQ90" s="139">
        <f>AQ88/AQ$14</f>
        <v>0.23837520042757884</v>
      </c>
      <c r="AR90" s="139">
        <f>AR88/AR$14</f>
        <v>0.22917718324078748</v>
      </c>
      <c r="AS90" s="139">
        <f>AS88/AS$14</f>
        <v>0.19939117199391171</v>
      </c>
      <c r="AT90" s="139">
        <f>AT88/AT$14</f>
        <v>0.21608040201005024</v>
      </c>
      <c r="AU90" s="140">
        <f t="shared" ref="AU90:CD90" si="66">AU88/AU$14</f>
        <v>0.2291562656015976</v>
      </c>
      <c r="AV90" s="139">
        <f t="shared" si="66"/>
        <v>0.23898781630740393</v>
      </c>
      <c r="AW90" s="139">
        <f t="shared" si="66"/>
        <v>0.23898822503270825</v>
      </c>
      <c r="AX90" s="139">
        <f>AX88/AX$14</f>
        <v>0.21567759078830823</v>
      </c>
      <c r="AY90" s="139">
        <f>AY88/AY$14</f>
        <v>0.22535211267605634</v>
      </c>
      <c r="AZ90" s="140">
        <f t="shared" si="66"/>
        <v>0.23929498269896193</v>
      </c>
      <c r="BA90" s="139">
        <f t="shared" si="66"/>
        <v>0.22877358490566038</v>
      </c>
      <c r="BB90" s="139">
        <f t="shared" si="66"/>
        <v>0.2060377358490566</v>
      </c>
      <c r="BC90" s="139">
        <f t="shared" si="66"/>
        <v>0.19910011248593926</v>
      </c>
      <c r="BD90" s="139">
        <f t="shared" si="66"/>
        <v>0.21704126132170412</v>
      </c>
      <c r="BE90" s="140">
        <f t="shared" si="66"/>
        <v>0.22495849474266741</v>
      </c>
      <c r="BF90" s="139">
        <f t="shared" si="66"/>
        <v>0.21983193277310925</v>
      </c>
      <c r="BG90" s="139">
        <f t="shared" si="66"/>
        <v>0.20503826530612246</v>
      </c>
      <c r="BH90" s="139">
        <f t="shared" si="66"/>
        <v>0.18956468045693114</v>
      </c>
      <c r="BI90" s="139">
        <f t="shared" si="66"/>
        <v>0.20188933873144399</v>
      </c>
      <c r="BJ90" s="140">
        <f t="shared" si="66"/>
        <v>0.2135580237456913</v>
      </c>
      <c r="BK90" s="139">
        <f t="shared" si="66"/>
        <v>0.1921302578018996</v>
      </c>
      <c r="BL90" s="139">
        <f t="shared" si="66"/>
        <v>0.18457670333501658</v>
      </c>
      <c r="BM90" s="139">
        <f t="shared" si="66"/>
        <v>0.1828064697830272</v>
      </c>
      <c r="BN90" s="139">
        <f t="shared" si="66"/>
        <v>0.19639231183141342</v>
      </c>
      <c r="BO90" s="140">
        <f t="shared" si="66"/>
        <v>0.19401714325927896</v>
      </c>
      <c r="BP90" s="139">
        <f t="shared" si="66"/>
        <v>0.1976754477881339</v>
      </c>
      <c r="BQ90" s="139">
        <f t="shared" si="66"/>
        <v>0.19902656130047661</v>
      </c>
      <c r="BR90" s="139">
        <f t="shared" si="66"/>
        <v>0.19261746201353533</v>
      </c>
      <c r="BS90" s="139">
        <f t="shared" si="66"/>
        <v>0.20674393351362177</v>
      </c>
      <c r="BT90" s="140">
        <f t="shared" si="66"/>
        <v>0.20271886013960344</v>
      </c>
      <c r="BU90" s="139">
        <f t="shared" si="66"/>
        <v>0.20020178172945868</v>
      </c>
      <c r="BV90" s="139">
        <f t="shared" si="66"/>
        <v>0.20275751633497507</v>
      </c>
      <c r="BW90" s="139">
        <f t="shared" si="66"/>
        <v>0.19554678175318485</v>
      </c>
      <c r="BX90" s="139">
        <f t="shared" si="66"/>
        <v>0.21153116064962454</v>
      </c>
      <c r="BY90" s="140">
        <f t="shared" si="66"/>
        <v>0.20580337289367157</v>
      </c>
      <c r="BZ90" s="139">
        <f t="shared" si="66"/>
        <v>0.21324422784691319</v>
      </c>
      <c r="CA90" s="139">
        <f t="shared" si="66"/>
        <v>0.21640197997901303</v>
      </c>
      <c r="CB90" s="139">
        <f t="shared" si="66"/>
        <v>0.2124884314546257</v>
      </c>
      <c r="CC90" s="139">
        <f t="shared" si="66"/>
        <v>0.22945941271965553</v>
      </c>
      <c r="CD90" s="140">
        <f t="shared" si="66"/>
        <v>0.22095547360248255</v>
      </c>
      <c r="CE90" s="235"/>
      <c r="CL90" s="160"/>
      <c r="CM90" s="160"/>
    </row>
    <row r="91" spans="1:91" ht="12.75" customHeight="1">
      <c r="A91" s="172"/>
      <c r="B91" s="236"/>
      <c r="C91" s="139"/>
      <c r="D91" s="139"/>
      <c r="E91" s="139"/>
      <c r="F91" s="139"/>
      <c r="G91" s="165"/>
      <c r="H91" s="139"/>
      <c r="I91" s="139"/>
      <c r="J91" s="139"/>
      <c r="K91" s="139"/>
      <c r="L91" s="165"/>
      <c r="M91" s="139"/>
      <c r="N91" s="139"/>
      <c r="O91" s="139"/>
      <c r="P91" s="139"/>
      <c r="Q91" s="165"/>
      <c r="R91" s="139"/>
      <c r="S91" s="139"/>
      <c r="T91" s="139"/>
      <c r="U91" s="139"/>
      <c r="V91" s="165"/>
      <c r="W91" s="139"/>
      <c r="X91" s="139"/>
      <c r="Y91" s="139"/>
      <c r="Z91" s="139"/>
      <c r="AA91" s="165"/>
      <c r="AB91" s="139"/>
      <c r="AC91" s="139"/>
      <c r="AD91" s="139"/>
      <c r="AE91" s="139"/>
      <c r="AF91" s="165"/>
      <c r="AG91" s="139"/>
      <c r="AH91" s="139"/>
      <c r="AI91" s="139"/>
      <c r="AJ91" s="139"/>
      <c r="AK91" s="165"/>
      <c r="AL91" s="139"/>
      <c r="AM91" s="139"/>
      <c r="AN91" s="139"/>
      <c r="AO91" s="139"/>
      <c r="AP91" s="164"/>
      <c r="AQ91" s="139"/>
      <c r="AR91" s="139"/>
      <c r="AS91" s="139"/>
      <c r="AT91" s="139"/>
      <c r="AU91" s="164"/>
      <c r="AV91" s="139"/>
      <c r="AW91" s="139"/>
      <c r="AX91" s="139"/>
      <c r="AY91" s="139"/>
      <c r="AZ91" s="164"/>
      <c r="BA91" s="139"/>
      <c r="BB91" s="139"/>
      <c r="BC91" s="139"/>
      <c r="BD91" s="139"/>
      <c r="BE91" s="164"/>
      <c r="BF91" s="139"/>
      <c r="BG91" s="139"/>
      <c r="BH91" s="139"/>
      <c r="BI91" s="139"/>
      <c r="BJ91" s="164"/>
      <c r="BK91" s="139"/>
      <c r="BL91" s="139"/>
      <c r="BM91" s="139"/>
      <c r="BN91" s="139"/>
      <c r="BO91" s="164"/>
      <c r="BP91" s="139"/>
      <c r="BQ91" s="139"/>
      <c r="BR91" s="139"/>
      <c r="BS91" s="139"/>
      <c r="BT91" s="164"/>
      <c r="BU91" s="139"/>
      <c r="BV91" s="139"/>
      <c r="BW91" s="139"/>
      <c r="BX91" s="139"/>
      <c r="BY91" s="164"/>
      <c r="BZ91" s="139"/>
      <c r="CA91" s="139"/>
      <c r="CB91" s="139"/>
      <c r="CC91" s="139"/>
      <c r="CD91" s="164"/>
      <c r="CE91" s="174"/>
    </row>
    <row r="92" spans="1:91" ht="12.75" customHeight="1">
      <c r="A92" s="227"/>
      <c r="B92" s="228" t="s">
        <v>139</v>
      </c>
      <c r="C92" s="229"/>
      <c r="D92" s="229"/>
      <c r="E92" s="229"/>
      <c r="F92" s="230"/>
      <c r="G92" s="231"/>
      <c r="H92" s="229"/>
      <c r="I92" s="229"/>
      <c r="J92" s="229"/>
      <c r="K92" s="230"/>
      <c r="L92" s="231"/>
      <c r="M92" s="229"/>
      <c r="N92" s="229"/>
      <c r="O92" s="229"/>
      <c r="P92" s="230"/>
      <c r="Q92" s="231"/>
      <c r="R92" s="229"/>
      <c r="S92" s="229"/>
      <c r="T92" s="229"/>
      <c r="U92" s="230"/>
      <c r="V92" s="231"/>
      <c r="W92" s="229"/>
      <c r="X92" s="229"/>
      <c r="Y92" s="229"/>
      <c r="Z92" s="230"/>
      <c r="AA92" s="231"/>
      <c r="AB92" s="229"/>
      <c r="AC92" s="229"/>
      <c r="AD92" s="229"/>
      <c r="AE92" s="230"/>
      <c r="AF92" s="231"/>
      <c r="AG92" s="229"/>
      <c r="AH92" s="229"/>
      <c r="AI92" s="229"/>
      <c r="AJ92" s="230"/>
      <c r="AK92" s="231">
        <f>AK88+AK80</f>
        <v>1491</v>
      </c>
      <c r="AL92" s="232">
        <f t="shared" ref="AL92:CD92" si="67">AL88+AL80</f>
        <v>0</v>
      </c>
      <c r="AM92" s="232">
        <f t="shared" si="67"/>
        <v>0</v>
      </c>
      <c r="AN92" s="232">
        <f t="shared" si="67"/>
        <v>0</v>
      </c>
      <c r="AO92" s="230">
        <f t="shared" si="67"/>
        <v>0</v>
      </c>
      <c r="AP92" s="231">
        <f t="shared" si="67"/>
        <v>1809</v>
      </c>
      <c r="AQ92" s="232">
        <f t="shared" si="67"/>
        <v>519</v>
      </c>
      <c r="AR92" s="232">
        <f t="shared" si="67"/>
        <v>533</v>
      </c>
      <c r="AS92" s="232">
        <f t="shared" si="67"/>
        <v>469</v>
      </c>
      <c r="AT92" s="232">
        <f t="shared" si="67"/>
        <v>554</v>
      </c>
      <c r="AU92" s="231">
        <f t="shared" si="67"/>
        <v>2145</v>
      </c>
      <c r="AV92" s="232">
        <f t="shared" si="67"/>
        <v>592</v>
      </c>
      <c r="AW92" s="232">
        <f t="shared" si="67"/>
        <v>637</v>
      </c>
      <c r="AX92" s="232">
        <f t="shared" si="67"/>
        <v>581</v>
      </c>
      <c r="AY92" s="232">
        <f t="shared" si="67"/>
        <v>666</v>
      </c>
      <c r="AZ92" s="231">
        <f t="shared" si="67"/>
        <v>2568</v>
      </c>
      <c r="BA92" s="232">
        <f t="shared" si="67"/>
        <v>677</v>
      </c>
      <c r="BB92" s="232">
        <f t="shared" si="67"/>
        <v>668</v>
      </c>
      <c r="BC92" s="232">
        <f t="shared" si="67"/>
        <v>640</v>
      </c>
      <c r="BD92" s="232">
        <f t="shared" si="67"/>
        <v>774</v>
      </c>
      <c r="BE92" s="231">
        <f t="shared" si="67"/>
        <v>2892</v>
      </c>
      <c r="BF92" s="232">
        <f t="shared" si="67"/>
        <v>801</v>
      </c>
      <c r="BG92" s="232">
        <f t="shared" si="67"/>
        <v>835</v>
      </c>
      <c r="BH92" s="232">
        <f t="shared" si="67"/>
        <v>811</v>
      </c>
      <c r="BI92" s="232">
        <f t="shared" si="67"/>
        <v>971</v>
      </c>
      <c r="BJ92" s="231">
        <f t="shared" si="67"/>
        <v>3547</v>
      </c>
      <c r="BK92" s="232">
        <f t="shared" si="67"/>
        <v>949</v>
      </c>
      <c r="BL92" s="232">
        <f t="shared" si="67"/>
        <v>955.12213442753125</v>
      </c>
      <c r="BM92" s="232">
        <f t="shared" si="67"/>
        <v>908.87621700729949</v>
      </c>
      <c r="BN92" s="232">
        <f t="shared" si="67"/>
        <v>1110.4183436256833</v>
      </c>
      <c r="BO92" s="231">
        <f t="shared" si="67"/>
        <v>3997.416695060514</v>
      </c>
      <c r="BP92" s="232">
        <f t="shared" si="67"/>
        <v>1051.9710657304643</v>
      </c>
      <c r="BQ92" s="232">
        <f t="shared" si="67"/>
        <v>1099.3890712981117</v>
      </c>
      <c r="BR92" s="232">
        <f t="shared" si="67"/>
        <v>1103.1180574553991</v>
      </c>
      <c r="BS92" s="232">
        <f t="shared" si="67"/>
        <v>1350.0323261460205</v>
      </c>
      <c r="BT92" s="231">
        <f t="shared" si="67"/>
        <v>4664.5105206299977</v>
      </c>
      <c r="BU92" s="232">
        <f t="shared" si="67"/>
        <v>1249.0539439251374</v>
      </c>
      <c r="BV92" s="232">
        <f t="shared" si="67"/>
        <v>1315.9165648601625</v>
      </c>
      <c r="BW92" s="232">
        <f t="shared" si="67"/>
        <v>1294.2353816302907</v>
      </c>
      <c r="BX92" s="232">
        <f t="shared" si="67"/>
        <v>1599.0102995525758</v>
      </c>
      <c r="BY92" s="231">
        <f t="shared" si="67"/>
        <v>5518.2161899681669</v>
      </c>
      <c r="BZ92" s="232">
        <f t="shared" si="67"/>
        <v>1487.8117682993325</v>
      </c>
      <c r="CA92" s="232">
        <f t="shared" si="67"/>
        <v>1573.022960086761</v>
      </c>
      <c r="CB92" s="232">
        <f t="shared" si="67"/>
        <v>1578.3855843891063</v>
      </c>
      <c r="CC92" s="232">
        <f t="shared" si="67"/>
        <v>1954.0970271137032</v>
      </c>
      <c r="CD92" s="231">
        <f t="shared" si="67"/>
        <v>6653.3173398889057</v>
      </c>
      <c r="CE92" s="233"/>
    </row>
    <row r="93" spans="1:91" ht="12.75" customHeight="1">
      <c r="A93" s="234"/>
      <c r="B93" s="199" t="s">
        <v>21</v>
      </c>
      <c r="C93" s="139"/>
      <c r="D93" s="139"/>
      <c r="E93" s="139"/>
      <c r="F93" s="139"/>
      <c r="G93" s="140"/>
      <c r="H93" s="139"/>
      <c r="I93" s="139"/>
      <c r="J93" s="139"/>
      <c r="K93" s="139"/>
      <c r="L93" s="140"/>
      <c r="M93" s="139"/>
      <c r="N93" s="139"/>
      <c r="O93" s="139"/>
      <c r="P93" s="139"/>
      <c r="Q93" s="140"/>
      <c r="R93" s="139"/>
      <c r="S93" s="139"/>
      <c r="T93" s="139"/>
      <c r="U93" s="139"/>
      <c r="V93" s="140"/>
      <c r="W93" s="139"/>
      <c r="X93" s="139"/>
      <c r="Y93" s="139"/>
      <c r="Z93" s="139"/>
      <c r="AA93" s="140"/>
      <c r="AB93" s="139"/>
      <c r="AC93" s="139"/>
      <c r="AD93" s="139"/>
      <c r="AE93" s="139"/>
      <c r="AF93" s="140"/>
      <c r="AG93" s="139"/>
      <c r="AH93" s="139"/>
      <c r="AI93" s="139"/>
      <c r="AJ93" s="139"/>
      <c r="AK93" s="140"/>
      <c r="AL93" s="139"/>
      <c r="AM93" s="139"/>
      <c r="AN93" s="139"/>
      <c r="AO93" s="139"/>
      <c r="AP93" s="140">
        <f t="shared" ref="AP93:CD93" si="68">IF(ISERROR(AP92/AK92-1), "NM", (AP92/AK92-1))</f>
        <v>0.21327967806841053</v>
      </c>
      <c r="AQ93" s="139" t="str">
        <f t="shared" si="68"/>
        <v>NM</v>
      </c>
      <c r="AR93" s="139" t="str">
        <f t="shared" si="68"/>
        <v>NM</v>
      </c>
      <c r="AS93" s="139" t="str">
        <f t="shared" si="68"/>
        <v>NM</v>
      </c>
      <c r="AT93" s="139" t="str">
        <f t="shared" si="68"/>
        <v>NM</v>
      </c>
      <c r="AU93" s="140">
        <f t="shared" si="68"/>
        <v>0.18573797678275294</v>
      </c>
      <c r="AV93" s="139">
        <f t="shared" si="68"/>
        <v>0.140655105973025</v>
      </c>
      <c r="AW93" s="139">
        <f t="shared" si="68"/>
        <v>0.19512195121951215</v>
      </c>
      <c r="AX93" s="139">
        <f t="shared" si="68"/>
        <v>0.23880597014925375</v>
      </c>
      <c r="AY93" s="139">
        <f t="shared" si="68"/>
        <v>0.20216606498194944</v>
      </c>
      <c r="AZ93" s="140">
        <f t="shared" si="68"/>
        <v>0.19720279720279721</v>
      </c>
      <c r="BA93" s="139">
        <f t="shared" si="68"/>
        <v>0.14358108108108114</v>
      </c>
      <c r="BB93" s="139">
        <f t="shared" si="68"/>
        <v>4.8665620094191508E-2</v>
      </c>
      <c r="BC93" s="139">
        <f t="shared" si="68"/>
        <v>0.10154905335628217</v>
      </c>
      <c r="BD93" s="139">
        <f t="shared" si="68"/>
        <v>0.16216216216216206</v>
      </c>
      <c r="BE93" s="140">
        <f t="shared" si="68"/>
        <v>0.12616822429906538</v>
      </c>
      <c r="BF93" s="139">
        <f t="shared" si="68"/>
        <v>0.18316100443131456</v>
      </c>
      <c r="BG93" s="139">
        <f t="shared" si="68"/>
        <v>0.25</v>
      </c>
      <c r="BH93" s="139">
        <f t="shared" si="68"/>
        <v>0.26718749999999991</v>
      </c>
      <c r="BI93" s="139">
        <f t="shared" si="68"/>
        <v>0.25452196382428949</v>
      </c>
      <c r="BJ93" s="140">
        <f t="shared" si="68"/>
        <v>0.22648686030428777</v>
      </c>
      <c r="BK93" s="139">
        <f t="shared" si="68"/>
        <v>0.18476903870162298</v>
      </c>
      <c r="BL93" s="139">
        <f t="shared" si="68"/>
        <v>0.14385884362578594</v>
      </c>
      <c r="BM93" s="139">
        <f t="shared" si="68"/>
        <v>0.12068584094611534</v>
      </c>
      <c r="BN93" s="139">
        <f t="shared" si="68"/>
        <v>0.14358222824478206</v>
      </c>
      <c r="BO93" s="140">
        <f t="shared" si="68"/>
        <v>0.12698525375261172</v>
      </c>
      <c r="BP93" s="139">
        <f t="shared" si="68"/>
        <v>0.10850481109637955</v>
      </c>
      <c r="BQ93" s="139">
        <f t="shared" si="68"/>
        <v>0.15104553823061528</v>
      </c>
      <c r="BR93" s="139">
        <f t="shared" si="68"/>
        <v>0.21371649605673371</v>
      </c>
      <c r="BS93" s="139">
        <f t="shared" si="68"/>
        <v>0.21578712554221813</v>
      </c>
      <c r="BT93" s="140">
        <f t="shared" si="68"/>
        <v>0.16688123267053734</v>
      </c>
      <c r="BU93" s="139">
        <f t="shared" si="68"/>
        <v>0.18734629175168749</v>
      </c>
      <c r="BV93" s="139">
        <f t="shared" si="68"/>
        <v>0.19695256139519768</v>
      </c>
      <c r="BW93" s="139">
        <f t="shared" si="68"/>
        <v>0.17325192247849563</v>
      </c>
      <c r="BX93" s="139">
        <f t="shared" si="68"/>
        <v>0.18442371236940702</v>
      </c>
      <c r="BY93" s="140">
        <f t="shared" si="68"/>
        <v>0.18302149080003915</v>
      </c>
      <c r="BZ93" s="139">
        <f t="shared" si="68"/>
        <v>0.19115093109902159</v>
      </c>
      <c r="CA93" s="139">
        <f t="shared" si="68"/>
        <v>0.19538198856393318</v>
      </c>
      <c r="CB93" s="139">
        <f t="shared" si="68"/>
        <v>0.21955063722712032</v>
      </c>
      <c r="CC93" s="139">
        <f t="shared" si="68"/>
        <v>0.22206656683855353</v>
      </c>
      <c r="CD93" s="140">
        <f t="shared" si="68"/>
        <v>0.20570073930490329</v>
      </c>
      <c r="CE93" s="235"/>
      <c r="CL93" s="160"/>
      <c r="CM93" s="160"/>
    </row>
    <row r="94" spans="1:91" ht="12.75" customHeight="1">
      <c r="A94" s="234"/>
      <c r="B94" s="199" t="s">
        <v>138</v>
      </c>
      <c r="C94" s="139"/>
      <c r="D94" s="139"/>
      <c r="E94" s="139"/>
      <c r="F94" s="139"/>
      <c r="G94" s="140"/>
      <c r="H94" s="139"/>
      <c r="I94" s="139"/>
      <c r="J94" s="139"/>
      <c r="K94" s="139"/>
      <c r="L94" s="140"/>
      <c r="M94" s="139"/>
      <c r="N94" s="139"/>
      <c r="O94" s="139"/>
      <c r="P94" s="139"/>
      <c r="Q94" s="140"/>
      <c r="R94" s="139"/>
      <c r="S94" s="139"/>
      <c r="T94" s="139"/>
      <c r="U94" s="139"/>
      <c r="V94" s="140"/>
      <c r="W94" s="139"/>
      <c r="X94" s="139"/>
      <c r="Y94" s="139"/>
      <c r="Z94" s="139"/>
      <c r="AA94" s="140"/>
      <c r="AB94" s="139"/>
      <c r="AC94" s="139"/>
      <c r="AD94" s="139"/>
      <c r="AE94" s="139"/>
      <c r="AF94" s="140"/>
      <c r="AG94" s="139"/>
      <c r="AH94" s="139"/>
      <c r="AI94" s="139"/>
      <c r="AJ94" s="139"/>
      <c r="AK94" s="140">
        <f>AK92/AK$14</f>
        <v>0.26333451077357822</v>
      </c>
      <c r="AL94" s="139"/>
      <c r="AM94" s="139"/>
      <c r="AN94" s="139"/>
      <c r="AO94" s="139"/>
      <c r="AP94" s="140">
        <f t="shared" ref="AP94:CD94" si="69">AP92/AP$14</f>
        <v>0.26891630741786832</v>
      </c>
      <c r="AQ94" s="139">
        <f t="shared" si="69"/>
        <v>0.27739176910742919</v>
      </c>
      <c r="AR94" s="139">
        <f t="shared" si="69"/>
        <v>0.26905603230691572</v>
      </c>
      <c r="AS94" s="139">
        <f t="shared" si="69"/>
        <v>0.23795027904616944</v>
      </c>
      <c r="AT94" s="139">
        <f t="shared" si="69"/>
        <v>0.25308359981726813</v>
      </c>
      <c r="AU94" s="140">
        <f t="shared" si="69"/>
        <v>0.26772341487768347</v>
      </c>
      <c r="AV94" s="139">
        <f t="shared" si="69"/>
        <v>0.27741330834114342</v>
      </c>
      <c r="AW94" s="139">
        <f t="shared" si="69"/>
        <v>0.27780200610553857</v>
      </c>
      <c r="AX94" s="139">
        <f t="shared" si="69"/>
        <v>0.25730735163861823</v>
      </c>
      <c r="AY94" s="139">
        <f t="shared" si="69"/>
        <v>0.26056338028169013</v>
      </c>
      <c r="AZ94" s="140">
        <f t="shared" si="69"/>
        <v>0.27768166089965396</v>
      </c>
      <c r="BA94" s="139">
        <f t="shared" si="69"/>
        <v>0.26611635220125784</v>
      </c>
      <c r="BB94" s="139">
        <f t="shared" si="69"/>
        <v>0.25207547169811323</v>
      </c>
      <c r="BC94" s="139">
        <f t="shared" si="69"/>
        <v>0.23997000374953131</v>
      </c>
      <c r="BD94" s="139">
        <f t="shared" si="69"/>
        <v>0.25964441462596444</v>
      </c>
      <c r="BE94" s="140">
        <f t="shared" si="69"/>
        <v>0.26674045379081351</v>
      </c>
      <c r="BF94" s="139">
        <f t="shared" si="69"/>
        <v>0.26924369747899157</v>
      </c>
      <c r="BG94" s="139">
        <f t="shared" si="69"/>
        <v>0.26626275510204084</v>
      </c>
      <c r="BH94" s="139">
        <f t="shared" si="69"/>
        <v>0.2503859215807348</v>
      </c>
      <c r="BI94" s="139">
        <f t="shared" si="69"/>
        <v>0.26207827260458838</v>
      </c>
      <c r="BJ94" s="140">
        <f t="shared" si="69"/>
        <v>0.27169666794331676</v>
      </c>
      <c r="BK94" s="139">
        <f t="shared" si="69"/>
        <v>0.25753052917232022</v>
      </c>
      <c r="BL94" s="139">
        <f t="shared" si="69"/>
        <v>0.2499769747054372</v>
      </c>
      <c r="BM94" s="139">
        <f t="shared" si="69"/>
        <v>0.24820674115344785</v>
      </c>
      <c r="BN94" s="139">
        <f t="shared" si="69"/>
        <v>0.26179258320183407</v>
      </c>
      <c r="BO94" s="140">
        <f t="shared" si="69"/>
        <v>0.25941741462969958</v>
      </c>
      <c r="BP94" s="139">
        <f t="shared" si="69"/>
        <v>0.25767544778813389</v>
      </c>
      <c r="BQ94" s="139">
        <f t="shared" si="69"/>
        <v>0.25902656130047658</v>
      </c>
      <c r="BR94" s="139">
        <f t="shared" si="69"/>
        <v>0.2526174620135353</v>
      </c>
      <c r="BS94" s="139">
        <f t="shared" si="69"/>
        <v>0.2667439335136218</v>
      </c>
      <c r="BT94" s="140">
        <f t="shared" si="69"/>
        <v>0.26271886013960344</v>
      </c>
      <c r="BU94" s="139">
        <f t="shared" si="69"/>
        <v>0.26170178172945868</v>
      </c>
      <c r="BV94" s="139">
        <f t="shared" si="69"/>
        <v>0.26425751633497507</v>
      </c>
      <c r="BW94" s="139">
        <f t="shared" si="69"/>
        <v>0.25704678175318485</v>
      </c>
      <c r="BX94" s="139">
        <f t="shared" si="69"/>
        <v>0.27303116064962457</v>
      </c>
      <c r="BY94" s="140">
        <f t="shared" si="69"/>
        <v>0.26730337289367162</v>
      </c>
      <c r="BZ94" s="139">
        <f t="shared" si="69"/>
        <v>0.27124422784691316</v>
      </c>
      <c r="CA94" s="139">
        <f t="shared" si="69"/>
        <v>0.27440197997901306</v>
      </c>
      <c r="CB94" s="139">
        <f t="shared" si="69"/>
        <v>0.2704884314546257</v>
      </c>
      <c r="CC94" s="139">
        <f t="shared" si="69"/>
        <v>0.28745941271965553</v>
      </c>
      <c r="CD94" s="140">
        <f t="shared" si="69"/>
        <v>0.27895547360248252</v>
      </c>
      <c r="CE94" s="235"/>
      <c r="CL94" s="237"/>
      <c r="CM94" s="160"/>
    </row>
    <row r="95" spans="1:91" ht="12.75" customHeight="1">
      <c r="A95" s="172"/>
      <c r="B95" s="236"/>
      <c r="C95" s="139"/>
      <c r="D95" s="139"/>
      <c r="E95" s="139"/>
      <c r="F95" s="139"/>
      <c r="G95" s="165"/>
      <c r="H95" s="139"/>
      <c r="I95" s="139"/>
      <c r="J95" s="139"/>
      <c r="K95" s="139"/>
      <c r="L95" s="165"/>
      <c r="M95" s="139"/>
      <c r="N95" s="139"/>
      <c r="O95" s="139"/>
      <c r="P95" s="139"/>
      <c r="Q95" s="165"/>
      <c r="R95" s="139"/>
      <c r="S95" s="139"/>
      <c r="T95" s="139"/>
      <c r="U95" s="139"/>
      <c r="V95" s="165"/>
      <c r="W95" s="139"/>
      <c r="X95" s="139"/>
      <c r="Y95" s="139"/>
      <c r="Z95" s="139"/>
      <c r="AA95" s="165"/>
      <c r="AB95" s="139"/>
      <c r="AC95" s="139"/>
      <c r="AD95" s="139"/>
      <c r="AE95" s="139"/>
      <c r="AF95" s="165"/>
      <c r="AG95" s="139"/>
      <c r="AH95" s="139"/>
      <c r="AI95" s="139"/>
      <c r="AJ95" s="139"/>
      <c r="AK95" s="165"/>
      <c r="AL95" s="139"/>
      <c r="AM95" s="139"/>
      <c r="AN95" s="139"/>
      <c r="AO95" s="139"/>
      <c r="AP95" s="164"/>
      <c r="AQ95" s="139"/>
      <c r="AR95" s="139"/>
      <c r="AS95" s="139"/>
      <c r="AT95" s="139"/>
      <c r="AU95" s="164"/>
      <c r="AV95" s="139"/>
      <c r="AW95" s="139"/>
      <c r="AX95" s="139"/>
      <c r="AY95" s="139"/>
      <c r="AZ95" s="164"/>
      <c r="BA95" s="139"/>
      <c r="BB95" s="139"/>
      <c r="BC95" s="139"/>
      <c r="BD95" s="139"/>
      <c r="BE95" s="164"/>
      <c r="BF95" s="139"/>
      <c r="BG95" s="139"/>
      <c r="BH95" s="139"/>
      <c r="BI95" s="139"/>
      <c r="BJ95" s="164"/>
      <c r="BK95" s="139"/>
      <c r="BL95" s="139"/>
      <c r="BM95" s="139"/>
      <c r="BN95" s="139"/>
      <c r="BO95" s="164"/>
      <c r="BP95" s="139"/>
      <c r="BQ95" s="139"/>
      <c r="BR95" s="139"/>
      <c r="BS95" s="139"/>
      <c r="BT95" s="164"/>
      <c r="BU95" s="139"/>
      <c r="BV95" s="139"/>
      <c r="BW95" s="139"/>
      <c r="BX95" s="139"/>
      <c r="BY95" s="164"/>
      <c r="BZ95" s="139"/>
      <c r="CA95" s="139"/>
      <c r="CB95" s="139"/>
      <c r="CC95" s="139"/>
      <c r="CD95" s="164"/>
      <c r="CE95" s="174"/>
    </row>
    <row r="96" spans="1:91" ht="12.75" customHeight="1">
      <c r="A96" s="238"/>
      <c r="B96" s="239" t="s">
        <v>140</v>
      </c>
      <c r="C96" s="196"/>
      <c r="D96" s="196"/>
      <c r="E96" s="196"/>
      <c r="F96" s="196"/>
      <c r="G96" s="240"/>
      <c r="H96" s="196"/>
      <c r="I96" s="196"/>
      <c r="J96" s="196"/>
      <c r="K96" s="196"/>
      <c r="L96" s="240"/>
      <c r="M96" s="196"/>
      <c r="N96" s="196"/>
      <c r="O96" s="196"/>
      <c r="P96" s="196"/>
      <c r="Q96" s="240"/>
      <c r="R96" s="196"/>
      <c r="S96" s="196"/>
      <c r="T96" s="196"/>
      <c r="U96" s="196"/>
      <c r="V96" s="240"/>
      <c r="W96" s="196"/>
      <c r="X96" s="196"/>
      <c r="Y96" s="196"/>
      <c r="Z96" s="196"/>
      <c r="AA96" s="240"/>
      <c r="AB96" s="196"/>
      <c r="AC96" s="196"/>
      <c r="AD96" s="196"/>
      <c r="AE96" s="196"/>
      <c r="AF96" s="240"/>
      <c r="AG96" s="196"/>
      <c r="AH96" s="196"/>
      <c r="AI96" s="196"/>
      <c r="AJ96" s="196"/>
      <c r="AK96" s="240">
        <v>11</v>
      </c>
      <c r="AL96" s="116"/>
      <c r="AM96" s="116"/>
      <c r="AN96" s="116"/>
      <c r="AO96" s="116"/>
      <c r="AP96" s="240">
        <f>-7+7</f>
        <v>0</v>
      </c>
      <c r="AQ96" s="241">
        <v>-4</v>
      </c>
      <c r="AR96" s="241">
        <v>-3</v>
      </c>
      <c r="AS96" s="241">
        <v>1</v>
      </c>
      <c r="AT96" s="241">
        <v>-1</v>
      </c>
      <c r="AU96" s="240">
        <f>-7</f>
        <v>-7</v>
      </c>
      <c r="AV96" s="241">
        <v>-1</v>
      </c>
      <c r="AW96" s="241">
        <v>1</v>
      </c>
      <c r="AX96" s="241">
        <f>20-12</f>
        <v>8</v>
      </c>
      <c r="AY96" s="241">
        <v>7</v>
      </c>
      <c r="AZ96" s="242">
        <f>SUM(AV96:AY96)</f>
        <v>15</v>
      </c>
      <c r="BA96" s="241">
        <v>15</v>
      </c>
      <c r="BB96" s="241">
        <v>9</v>
      </c>
      <c r="BC96" s="241">
        <v>12</v>
      </c>
      <c r="BD96" s="241">
        <v>9</v>
      </c>
      <c r="BE96" s="242">
        <f>SUM(BA96:BD96)</f>
        <v>45</v>
      </c>
      <c r="BF96" s="241">
        <v>7</v>
      </c>
      <c r="BG96" s="241">
        <v>17</v>
      </c>
      <c r="BH96" s="241">
        <v>28</v>
      </c>
      <c r="BI96" s="241">
        <v>21</v>
      </c>
      <c r="BJ96" s="242">
        <f>SUM(BF96:BI96)</f>
        <v>73</v>
      </c>
      <c r="BK96" s="241">
        <v>14</v>
      </c>
      <c r="BL96" s="241">
        <v>3</v>
      </c>
      <c r="BM96" s="241">
        <v>3</v>
      </c>
      <c r="BN96" s="241">
        <f>+BM96</f>
        <v>3</v>
      </c>
      <c r="BO96" s="242">
        <f>SUM(BK96:BN96)</f>
        <v>23</v>
      </c>
      <c r="BP96" s="241">
        <v>0</v>
      </c>
      <c r="BQ96" s="241">
        <v>0</v>
      </c>
      <c r="BR96" s="241">
        <v>0</v>
      </c>
      <c r="BS96" s="241">
        <v>0</v>
      </c>
      <c r="BT96" s="242">
        <f>SUM(BP96:BS96)</f>
        <v>0</v>
      </c>
      <c r="BU96" s="241">
        <v>0</v>
      </c>
      <c r="BV96" s="241">
        <v>0</v>
      </c>
      <c r="BW96" s="241">
        <v>0</v>
      </c>
      <c r="BX96" s="241">
        <v>0</v>
      </c>
      <c r="BY96" s="242">
        <f>SUM(BU96:BX96)</f>
        <v>0</v>
      </c>
      <c r="BZ96" s="241">
        <v>0</v>
      </c>
      <c r="CA96" s="241">
        <v>0</v>
      </c>
      <c r="CB96" s="241">
        <v>0</v>
      </c>
      <c r="CC96" s="241">
        <v>0</v>
      </c>
      <c r="CD96" s="242">
        <f>SUM(BZ96:CC96)</f>
        <v>0</v>
      </c>
      <c r="CE96" s="243"/>
      <c r="CL96" s="21"/>
      <c r="CM96" s="21"/>
    </row>
    <row r="97" spans="1:91" ht="12.75">
      <c r="A97" s="244"/>
      <c r="B97" s="245"/>
      <c r="C97" s="142"/>
      <c r="D97" s="142"/>
      <c r="E97" s="142"/>
      <c r="F97" s="139"/>
      <c r="G97" s="165"/>
      <c r="H97" s="142"/>
      <c r="I97" s="142"/>
      <c r="J97" s="142"/>
      <c r="K97" s="139"/>
      <c r="L97" s="165"/>
      <c r="M97" s="142"/>
      <c r="N97" s="142"/>
      <c r="O97" s="142"/>
      <c r="P97" s="139"/>
      <c r="Q97" s="165"/>
      <c r="R97" s="142"/>
      <c r="S97" s="142"/>
      <c r="T97" s="142"/>
      <c r="U97" s="139"/>
      <c r="V97" s="165"/>
      <c r="W97" s="142"/>
      <c r="X97" s="142"/>
      <c r="Y97" s="142"/>
      <c r="Z97" s="139"/>
      <c r="AA97" s="165"/>
      <c r="AB97" s="142"/>
      <c r="AC97" s="142"/>
      <c r="AD97" s="142"/>
      <c r="AE97" s="139"/>
      <c r="AF97" s="165"/>
      <c r="AG97" s="142"/>
      <c r="AH97" s="142"/>
      <c r="AI97" s="142"/>
      <c r="AJ97" s="139"/>
      <c r="AK97" s="165"/>
      <c r="AL97" s="145"/>
      <c r="AM97" s="145"/>
      <c r="AN97" s="145"/>
      <c r="AO97" s="139"/>
      <c r="AP97" s="164"/>
      <c r="AQ97" s="139"/>
      <c r="AR97" s="139"/>
      <c r="AS97" s="139"/>
      <c r="AT97" s="139"/>
      <c r="AU97" s="164"/>
      <c r="AV97" s="139"/>
      <c r="AW97" s="139"/>
      <c r="AX97" s="139"/>
      <c r="AY97" s="139"/>
      <c r="AZ97" s="164"/>
      <c r="BA97" s="139"/>
      <c r="BB97" s="139"/>
      <c r="BC97" s="139"/>
      <c r="BD97" s="139"/>
      <c r="BE97" s="164"/>
      <c r="BF97" s="139"/>
      <c r="BG97" s="139"/>
      <c r="BH97" s="139"/>
      <c r="BI97" s="139"/>
      <c r="BJ97" s="164"/>
      <c r="BK97" s="139"/>
      <c r="BL97" s="139"/>
      <c r="BM97" s="139"/>
      <c r="BN97" s="139"/>
      <c r="BO97" s="164"/>
      <c r="BP97" s="139"/>
      <c r="BQ97" s="139"/>
      <c r="BR97" s="139"/>
      <c r="BS97" s="139"/>
      <c r="BT97" s="164"/>
      <c r="BU97" s="139"/>
      <c r="BV97" s="139"/>
      <c r="BW97" s="139"/>
      <c r="BX97" s="139"/>
      <c r="BY97" s="164"/>
      <c r="BZ97" s="139"/>
      <c r="CA97" s="139"/>
      <c r="CB97" s="139"/>
      <c r="CC97" s="139"/>
      <c r="CD97" s="164"/>
      <c r="CE97" s="246"/>
      <c r="CL97" s="129"/>
      <c r="CM97" s="129"/>
    </row>
    <row r="98" spans="1:91" ht="12.75" customHeight="1">
      <c r="A98" s="160"/>
      <c r="B98" s="239" t="s">
        <v>141</v>
      </c>
      <c r="C98" s="142"/>
      <c r="D98" s="142"/>
      <c r="E98" s="142"/>
      <c r="F98" s="142"/>
      <c r="G98" s="247"/>
      <c r="H98" s="142"/>
      <c r="I98" s="142"/>
      <c r="J98" s="142"/>
      <c r="K98" s="142"/>
      <c r="L98" s="247"/>
      <c r="M98" s="142"/>
      <c r="N98" s="142"/>
      <c r="O98" s="142"/>
      <c r="P98" s="142"/>
      <c r="Q98" s="247"/>
      <c r="R98" s="142"/>
      <c r="S98" s="142"/>
      <c r="T98" s="142"/>
      <c r="U98" s="142"/>
      <c r="V98" s="247"/>
      <c r="W98" s="142"/>
      <c r="X98" s="142"/>
      <c r="Y98" s="142"/>
      <c r="Z98" s="142"/>
      <c r="AA98" s="247"/>
      <c r="AB98" s="142"/>
      <c r="AC98" s="142"/>
      <c r="AD98" s="142"/>
      <c r="AE98" s="142"/>
      <c r="AF98" s="247"/>
      <c r="AG98" s="142"/>
      <c r="AH98" s="142"/>
      <c r="AI98" s="142"/>
      <c r="AJ98" s="142"/>
      <c r="AK98" s="247">
        <f>AK76+AK96</f>
        <v>1178</v>
      </c>
      <c r="AL98" s="145"/>
      <c r="AM98" s="145"/>
      <c r="AN98" s="145"/>
      <c r="AO98" s="145"/>
      <c r="AP98" s="247">
        <f t="shared" ref="AP98:CD98" si="70">AP76+AP96</f>
        <v>1411</v>
      </c>
      <c r="AQ98" s="145">
        <f t="shared" si="70"/>
        <v>403</v>
      </c>
      <c r="AR98" s="145">
        <f t="shared" si="70"/>
        <v>418</v>
      </c>
      <c r="AS98" s="145">
        <f t="shared" si="70"/>
        <v>354</v>
      </c>
      <c r="AT98" s="145">
        <f t="shared" si="70"/>
        <v>435</v>
      </c>
      <c r="AU98" s="247">
        <f t="shared" si="70"/>
        <v>1610</v>
      </c>
      <c r="AV98" s="145">
        <f t="shared" si="70"/>
        <v>464</v>
      </c>
      <c r="AW98" s="145">
        <f t="shared" si="70"/>
        <v>506</v>
      </c>
      <c r="AX98" s="145">
        <f t="shared" si="70"/>
        <v>458</v>
      </c>
      <c r="AY98" s="145">
        <f t="shared" si="70"/>
        <v>539</v>
      </c>
      <c r="AZ98" s="247">
        <f t="shared" si="70"/>
        <v>1974</v>
      </c>
      <c r="BA98" s="145">
        <f>BA76+BA96</f>
        <v>552</v>
      </c>
      <c r="BB98" s="145">
        <f t="shared" si="70"/>
        <v>537</v>
      </c>
      <c r="BC98" s="145">
        <f>BC76+BC96</f>
        <v>502</v>
      </c>
      <c r="BD98" s="145">
        <f t="shared" si="70"/>
        <v>628</v>
      </c>
      <c r="BE98" s="247">
        <f t="shared" si="70"/>
        <v>2219</v>
      </c>
      <c r="BF98" s="145">
        <f t="shared" si="70"/>
        <v>650</v>
      </c>
      <c r="BG98" s="145">
        <f t="shared" si="70"/>
        <v>676</v>
      </c>
      <c r="BH98" s="145">
        <f t="shared" si="70"/>
        <v>674</v>
      </c>
      <c r="BI98" s="145">
        <f>BI76+BI96</f>
        <v>828</v>
      </c>
      <c r="BJ98" s="247">
        <f t="shared" si="70"/>
        <v>2828</v>
      </c>
      <c r="BK98" s="145">
        <f t="shared" si="70"/>
        <v>843</v>
      </c>
      <c r="BL98" s="145">
        <f t="shared" si="70"/>
        <v>836.62213442753125</v>
      </c>
      <c r="BM98" s="145">
        <f t="shared" si="70"/>
        <v>788.87621700729949</v>
      </c>
      <c r="BN98" s="145">
        <f t="shared" si="70"/>
        <v>988.91834362568329</v>
      </c>
      <c r="BO98" s="247">
        <f t="shared" si="70"/>
        <v>3457.416695060514</v>
      </c>
      <c r="BP98" s="145">
        <f t="shared" si="70"/>
        <v>924.47106573046426</v>
      </c>
      <c r="BQ98" s="145">
        <f t="shared" si="70"/>
        <v>970.38907129811173</v>
      </c>
      <c r="BR98" s="145">
        <f t="shared" si="70"/>
        <v>972.61805745539914</v>
      </c>
      <c r="BS98" s="145">
        <f t="shared" si="70"/>
        <v>1218.0323261460205</v>
      </c>
      <c r="BT98" s="247">
        <f t="shared" si="70"/>
        <v>4085.5105206299977</v>
      </c>
      <c r="BU98" s="145">
        <f t="shared" si="70"/>
        <v>1112.0539439251374</v>
      </c>
      <c r="BV98" s="145">
        <f t="shared" si="70"/>
        <v>1177.4165648601625</v>
      </c>
      <c r="BW98" s="145">
        <f t="shared" si="70"/>
        <v>1154.2353816302907</v>
      </c>
      <c r="BX98" s="145">
        <f t="shared" si="70"/>
        <v>1457.5102995525758</v>
      </c>
      <c r="BY98" s="247">
        <f t="shared" si="70"/>
        <v>4901.2161899681669</v>
      </c>
      <c r="BZ98" s="145">
        <f t="shared" si="70"/>
        <v>1341.3117682993325</v>
      </c>
      <c r="CA98" s="145">
        <f t="shared" si="70"/>
        <v>1425.022960086761</v>
      </c>
      <c r="CB98" s="145">
        <f t="shared" si="70"/>
        <v>1428.8855843891063</v>
      </c>
      <c r="CC98" s="145">
        <f t="shared" si="70"/>
        <v>1803.0970271137032</v>
      </c>
      <c r="CD98" s="247">
        <f t="shared" si="70"/>
        <v>5998.3173398889057</v>
      </c>
      <c r="CE98" s="248"/>
      <c r="CL98" s="160"/>
      <c r="CM98" s="160"/>
    </row>
    <row r="99" spans="1:91" ht="12.75" customHeight="1">
      <c r="A99" s="160"/>
      <c r="B99" s="236" t="s">
        <v>129</v>
      </c>
      <c r="C99" s="139"/>
      <c r="D99" s="139"/>
      <c r="E99" s="139"/>
      <c r="F99" s="139"/>
      <c r="G99" s="140"/>
      <c r="H99" s="139"/>
      <c r="I99" s="139"/>
      <c r="J99" s="139"/>
      <c r="K99" s="139"/>
      <c r="L99" s="140"/>
      <c r="M99" s="139"/>
      <c r="N99" s="139"/>
      <c r="O99" s="139"/>
      <c r="P99" s="139"/>
      <c r="Q99" s="140"/>
      <c r="R99" s="139"/>
      <c r="S99" s="139"/>
      <c r="T99" s="139"/>
      <c r="U99" s="139"/>
      <c r="V99" s="140"/>
      <c r="W99" s="139"/>
      <c r="X99" s="139"/>
      <c r="Y99" s="139"/>
      <c r="Z99" s="139"/>
      <c r="AA99" s="140"/>
      <c r="AB99" s="139"/>
      <c r="AC99" s="139"/>
      <c r="AD99" s="139"/>
      <c r="AE99" s="139"/>
      <c r="AF99" s="140"/>
      <c r="AG99" s="139"/>
      <c r="AH99" s="139"/>
      <c r="AI99" s="139"/>
      <c r="AJ99" s="139"/>
      <c r="AK99" s="140">
        <f>AK98/AK$14</f>
        <v>0.20805369127516779</v>
      </c>
      <c r="AL99" s="139"/>
      <c r="AM99" s="139"/>
      <c r="AN99" s="139"/>
      <c r="AO99" s="139"/>
      <c r="AP99" s="140">
        <f>AP98/AP$14</f>
        <v>0.20975174669243349</v>
      </c>
      <c r="AQ99" s="139">
        <f>AQ98/AQ$14</f>
        <v>0.21539283805451631</v>
      </c>
      <c r="AR99" s="139">
        <f>AR98/AR$14</f>
        <v>0.21100454316002018</v>
      </c>
      <c r="AS99" s="139">
        <f>AS98/AS$14</f>
        <v>0.17960426179604261</v>
      </c>
      <c r="AT99" s="139">
        <f>AT98/AT$14</f>
        <v>0.19872087711283692</v>
      </c>
      <c r="AU99" s="140">
        <f t="shared" ref="AU99:CD99" si="71">AU98/AU$14</f>
        <v>0.20094857713429856</v>
      </c>
      <c r="AV99" s="139">
        <f t="shared" si="71"/>
        <v>0.21743205248359887</v>
      </c>
      <c r="AW99" s="139">
        <f t="shared" si="71"/>
        <v>0.22067160924552987</v>
      </c>
      <c r="AX99" s="139">
        <f t="shared" si="71"/>
        <v>0.20283436669619131</v>
      </c>
      <c r="AY99" s="139">
        <f t="shared" si="71"/>
        <v>0.21087636932707354</v>
      </c>
      <c r="AZ99" s="140">
        <f t="shared" si="71"/>
        <v>0.21345155709342561</v>
      </c>
      <c r="BA99" s="139">
        <f>BA98/BA$14</f>
        <v>0.21698113207547171</v>
      </c>
      <c r="BB99" s="139">
        <f t="shared" si="71"/>
        <v>0.20264150943396225</v>
      </c>
      <c r="BC99" s="139">
        <f>BC98/BC$14</f>
        <v>0.18822647169103862</v>
      </c>
      <c r="BD99" s="139">
        <f t="shared" si="71"/>
        <v>0.21066756122106675</v>
      </c>
      <c r="BE99" s="140">
        <f t="shared" si="71"/>
        <v>0.20466703560228741</v>
      </c>
      <c r="BF99" s="139">
        <f t="shared" si="71"/>
        <v>0.21848739495798319</v>
      </c>
      <c r="BG99" s="139">
        <f t="shared" si="71"/>
        <v>0.21556122448979592</v>
      </c>
      <c r="BH99" s="139">
        <f t="shared" si="71"/>
        <v>0.20808891633220131</v>
      </c>
      <c r="BI99" s="139">
        <f t="shared" si="71"/>
        <v>0.22348178137651822</v>
      </c>
      <c r="BJ99" s="140">
        <f t="shared" si="71"/>
        <v>0.21662198391420912</v>
      </c>
      <c r="BK99" s="139">
        <f t="shared" si="71"/>
        <v>0.22876526458616012</v>
      </c>
      <c r="BL99" s="139">
        <f t="shared" si="71"/>
        <v>0.2189628557411134</v>
      </c>
      <c r="BM99" s="139">
        <f t="shared" si="71"/>
        <v>0.2154357120726258</v>
      </c>
      <c r="BN99" s="139">
        <f t="shared" si="71"/>
        <v>0.23314770441212893</v>
      </c>
      <c r="BO99" s="140">
        <f t="shared" si="71"/>
        <v>0.22437343133090137</v>
      </c>
      <c r="BP99" s="139">
        <f t="shared" si="71"/>
        <v>0.22644491240247264</v>
      </c>
      <c r="BQ99" s="139">
        <f t="shared" si="71"/>
        <v>0.22863292970988133</v>
      </c>
      <c r="BR99" s="139">
        <f t="shared" si="71"/>
        <v>0.22273255661291891</v>
      </c>
      <c r="BS99" s="139">
        <f t="shared" si="71"/>
        <v>0.24066292897626101</v>
      </c>
      <c r="BT99" s="140">
        <f t="shared" si="71"/>
        <v>0.23010788856004197</v>
      </c>
      <c r="BU99" s="139">
        <f t="shared" si="71"/>
        <v>0.23299754179545892</v>
      </c>
      <c r="BV99" s="139">
        <f t="shared" si="71"/>
        <v>0.23644445660935082</v>
      </c>
      <c r="BW99" s="139">
        <f t="shared" si="71"/>
        <v>0.22924152317640634</v>
      </c>
      <c r="BX99" s="139">
        <f t="shared" si="71"/>
        <v>0.24887002219871393</v>
      </c>
      <c r="BY99" s="140">
        <f t="shared" si="71"/>
        <v>0.23741578324554896</v>
      </c>
      <c r="BZ99" s="139">
        <f t="shared" si="71"/>
        <v>0.24453568834867065</v>
      </c>
      <c r="CA99" s="139">
        <f t="shared" si="71"/>
        <v>0.24858449729290275</v>
      </c>
      <c r="CB99" s="139">
        <f t="shared" si="71"/>
        <v>0.24486856967787388</v>
      </c>
      <c r="CC99" s="139">
        <f t="shared" si="71"/>
        <v>0.26524640552585138</v>
      </c>
      <c r="CD99" s="140">
        <f t="shared" si="71"/>
        <v>0.2514931077065734</v>
      </c>
      <c r="CE99" s="248"/>
      <c r="CL99" s="160"/>
      <c r="CM99" s="160"/>
    </row>
    <row r="100" spans="1:91" ht="12.75" customHeight="1">
      <c r="A100" s="160"/>
      <c r="B100" s="249"/>
      <c r="C100" s="250"/>
      <c r="D100" s="250"/>
      <c r="E100" s="250"/>
      <c r="F100" s="250"/>
      <c r="G100" s="251"/>
      <c r="H100" s="250"/>
      <c r="I100" s="250"/>
      <c r="J100" s="250"/>
      <c r="K100" s="250"/>
      <c r="L100" s="251"/>
      <c r="M100" s="250"/>
      <c r="N100" s="250"/>
      <c r="O100" s="250"/>
      <c r="P100" s="250"/>
      <c r="Q100" s="251"/>
      <c r="R100" s="250"/>
      <c r="S100" s="250"/>
      <c r="T100" s="250"/>
      <c r="U100" s="250"/>
      <c r="V100" s="251"/>
      <c r="W100" s="250"/>
      <c r="X100" s="250"/>
      <c r="Y100" s="250"/>
      <c r="Z100" s="250"/>
      <c r="AA100" s="251"/>
      <c r="AB100" s="250"/>
      <c r="AC100" s="250"/>
      <c r="AD100" s="250"/>
      <c r="AE100" s="250"/>
      <c r="AF100" s="251"/>
      <c r="AG100" s="250"/>
      <c r="AH100" s="250"/>
      <c r="AI100" s="250"/>
      <c r="AJ100" s="250"/>
      <c r="AK100" s="251"/>
      <c r="AL100" s="252"/>
      <c r="AM100" s="252"/>
      <c r="AN100" s="252"/>
      <c r="AO100" s="252"/>
      <c r="AP100" s="251"/>
      <c r="AQ100" s="253"/>
      <c r="AR100" s="252"/>
      <c r="AS100" s="252"/>
      <c r="AT100" s="253"/>
      <c r="AU100" s="251"/>
      <c r="AV100" s="253"/>
      <c r="AW100" s="253"/>
      <c r="AX100" s="253"/>
      <c r="AY100" s="253"/>
      <c r="AZ100" s="251"/>
      <c r="BA100" s="253"/>
      <c r="BB100" s="253"/>
      <c r="BC100" s="253"/>
      <c r="BD100" s="253"/>
      <c r="BE100" s="251"/>
      <c r="BF100" s="253"/>
      <c r="BG100" s="253"/>
      <c r="BH100" s="253"/>
      <c r="BI100" s="253"/>
      <c r="BJ100" s="251"/>
      <c r="BK100" s="253"/>
      <c r="BL100" s="253"/>
      <c r="BM100" s="253"/>
      <c r="BN100" s="253"/>
      <c r="BO100" s="251"/>
      <c r="BP100" s="253"/>
      <c r="BQ100" s="253"/>
      <c r="BR100" s="253"/>
      <c r="BS100" s="253"/>
      <c r="BT100" s="251"/>
      <c r="BU100" s="253"/>
      <c r="BV100" s="253"/>
      <c r="BW100" s="253"/>
      <c r="BX100" s="253"/>
      <c r="BY100" s="251"/>
      <c r="BZ100" s="253"/>
      <c r="CA100" s="253"/>
      <c r="CB100" s="253"/>
      <c r="CC100" s="253"/>
      <c r="CD100" s="251"/>
      <c r="CE100" s="248"/>
      <c r="CL100" s="160"/>
      <c r="CM100" s="160"/>
    </row>
    <row r="101" spans="1:91" ht="12.75" customHeight="1">
      <c r="A101" s="160"/>
      <c r="B101" s="239" t="s">
        <v>142</v>
      </c>
      <c r="C101" s="142"/>
      <c r="D101" s="142"/>
      <c r="E101" s="142"/>
      <c r="F101" s="142"/>
      <c r="G101" s="224"/>
      <c r="H101" s="142"/>
      <c r="I101" s="142"/>
      <c r="J101" s="142"/>
      <c r="K101" s="142"/>
      <c r="L101" s="224"/>
      <c r="M101" s="142"/>
      <c r="N101" s="142"/>
      <c r="O101" s="142"/>
      <c r="P101" s="142"/>
      <c r="Q101" s="224"/>
      <c r="R101" s="142"/>
      <c r="S101" s="142"/>
      <c r="T101" s="142"/>
      <c r="U101" s="142"/>
      <c r="V101" s="224"/>
      <c r="W101" s="142"/>
      <c r="X101" s="142"/>
      <c r="Y101" s="142"/>
      <c r="Z101" s="142"/>
      <c r="AA101" s="224"/>
      <c r="AB101" s="142"/>
      <c r="AC101" s="142"/>
      <c r="AD101" s="142"/>
      <c r="AE101" s="142"/>
      <c r="AF101" s="224"/>
      <c r="AG101" s="142"/>
      <c r="AH101" s="142"/>
      <c r="AI101" s="142"/>
      <c r="AJ101" s="142"/>
      <c r="AK101" s="224">
        <f>113+104</f>
        <v>217</v>
      </c>
      <c r="AL101" s="145"/>
      <c r="AM101" s="145"/>
      <c r="AN101" s="145"/>
      <c r="AO101" s="145"/>
      <c r="AP101" s="224">
        <f>129+96</f>
        <v>225</v>
      </c>
      <c r="AQ101" s="170">
        <f>0.173697270471464*AQ98</f>
        <v>69.999999999999986</v>
      </c>
      <c r="AR101" s="170">
        <v>72</v>
      </c>
      <c r="AS101" s="170">
        <v>66</v>
      </c>
      <c r="AT101" s="170">
        <v>87</v>
      </c>
      <c r="AU101" s="224">
        <f>SUM(AQ101:AT101)</f>
        <v>295</v>
      </c>
      <c r="AV101" s="170">
        <v>111</v>
      </c>
      <c r="AW101" s="170">
        <f>+(94+19)/(399+122)*AW98</f>
        <v>109.74664107485604</v>
      </c>
      <c r="AX101" s="170">
        <f>49+32</f>
        <v>81</v>
      </c>
      <c r="AY101" s="170">
        <f>51+45</f>
        <v>96</v>
      </c>
      <c r="AZ101" s="144">
        <f>SUM(AV101:AY101)</f>
        <v>397.74664107485603</v>
      </c>
      <c r="BA101" s="170">
        <f>57+43</f>
        <v>100</v>
      </c>
      <c r="BB101" s="170">
        <f>57+44</f>
        <v>101</v>
      </c>
      <c r="BC101" s="170">
        <f>37+40</f>
        <v>77</v>
      </c>
      <c r="BD101" s="170">
        <f>79+37</f>
        <v>116</v>
      </c>
      <c r="BE101" s="144">
        <f>SUM(BA101:BD101)</f>
        <v>394</v>
      </c>
      <c r="BF101" s="170">
        <f>54+62</f>
        <v>116</v>
      </c>
      <c r="BG101" s="170">
        <f>36+86</f>
        <v>122</v>
      </c>
      <c r="BH101" s="170">
        <f>71+66-23</f>
        <v>114</v>
      </c>
      <c r="BI101" s="170">
        <f>244+115-201</f>
        <v>158</v>
      </c>
      <c r="BJ101" s="144">
        <f>SUM(BF101:BI101)</f>
        <v>510</v>
      </c>
      <c r="BK101" s="170">
        <f>37+117-3</f>
        <v>151</v>
      </c>
      <c r="BL101" s="145">
        <f>BL98*BL102</f>
        <v>150.59198419695562</v>
      </c>
      <c r="BM101" s="145">
        <f>BM98*BM102</f>
        <v>141.99771906131392</v>
      </c>
      <c r="BN101" s="145">
        <f>BN98*BN102</f>
        <v>178.00530185262298</v>
      </c>
      <c r="BO101" s="144">
        <f>SUM(BK101:BN101)</f>
        <v>621.59500511089254</v>
      </c>
      <c r="BP101" s="145">
        <f>BP98*BP102</f>
        <v>180.27185781744055</v>
      </c>
      <c r="BQ101" s="145">
        <f>BQ98*BQ102</f>
        <v>189.22586890313178</v>
      </c>
      <c r="BR101" s="145">
        <f>BR98*BR102</f>
        <v>189.66052120380283</v>
      </c>
      <c r="BS101" s="145">
        <f>BS98*BS102</f>
        <v>237.516303598474</v>
      </c>
      <c r="BT101" s="144">
        <f>SUM(BP101:BS101)</f>
        <v>796.67455152284924</v>
      </c>
      <c r="BU101" s="145">
        <f>BU98*BU102</f>
        <v>222.41078878502751</v>
      </c>
      <c r="BV101" s="145">
        <f>BV98*BV102</f>
        <v>235.48331297203251</v>
      </c>
      <c r="BW101" s="145">
        <f>BW98*BW102</f>
        <v>230.84707632605816</v>
      </c>
      <c r="BX101" s="145">
        <f>BX98*BX102</f>
        <v>291.50205991051519</v>
      </c>
      <c r="BY101" s="144">
        <f>SUM(BU101:BX101)</f>
        <v>980.24323799363333</v>
      </c>
      <c r="BZ101" s="145">
        <f>BZ98*BZ102</f>
        <v>274.96891250136315</v>
      </c>
      <c r="CA101" s="145">
        <f>CA98*CA102</f>
        <v>292.12970681778597</v>
      </c>
      <c r="CB101" s="145">
        <f>CB98*CB102</f>
        <v>292.92154479976676</v>
      </c>
      <c r="CC101" s="145">
        <f>CC98*CC102</f>
        <v>369.63489055830917</v>
      </c>
      <c r="CD101" s="144">
        <f>SUM(BZ101:CC101)</f>
        <v>1229.6550546772251</v>
      </c>
      <c r="CE101" s="248"/>
      <c r="CL101" s="160"/>
      <c r="CM101" s="160"/>
    </row>
    <row r="102" spans="1:91" ht="12.75" customHeight="1">
      <c r="A102" s="254"/>
      <c r="B102" s="236" t="s">
        <v>143</v>
      </c>
      <c r="C102" s="255"/>
      <c r="D102" s="255"/>
      <c r="E102" s="255"/>
      <c r="F102" s="255"/>
      <c r="G102" s="256"/>
      <c r="H102" s="255"/>
      <c r="I102" s="255"/>
      <c r="J102" s="255"/>
      <c r="K102" s="255"/>
      <c r="L102" s="256"/>
      <c r="M102" s="255"/>
      <c r="N102" s="255"/>
      <c r="O102" s="255"/>
      <c r="P102" s="255"/>
      <c r="Q102" s="256"/>
      <c r="R102" s="255"/>
      <c r="S102" s="255"/>
      <c r="T102" s="255"/>
      <c r="U102" s="255"/>
      <c r="V102" s="256"/>
      <c r="W102" s="255"/>
      <c r="X102" s="255"/>
      <c r="Y102" s="255"/>
      <c r="Z102" s="255"/>
      <c r="AA102" s="256"/>
      <c r="AB102" s="255"/>
      <c r="AC102" s="255"/>
      <c r="AD102" s="255"/>
      <c r="AE102" s="255"/>
      <c r="AF102" s="256"/>
      <c r="AG102" s="255"/>
      <c r="AH102" s="255"/>
      <c r="AI102" s="255"/>
      <c r="AJ102" s="255"/>
      <c r="AK102" s="257">
        <f t="shared" ref="AK102:BK102" si="72">AK101/AK98</f>
        <v>0.18421052631578946</v>
      </c>
      <c r="AL102" s="258"/>
      <c r="AM102" s="258"/>
      <c r="AN102" s="258"/>
      <c r="AO102" s="258"/>
      <c r="AP102" s="189">
        <f t="shared" si="72"/>
        <v>0.15946137491141035</v>
      </c>
      <c r="AQ102" s="139">
        <f>AQ101/AQ98</f>
        <v>0.17369727047146399</v>
      </c>
      <c r="AR102" s="139">
        <f t="shared" si="72"/>
        <v>0.17224880382775121</v>
      </c>
      <c r="AS102" s="139">
        <f t="shared" si="72"/>
        <v>0.1864406779661017</v>
      </c>
      <c r="AT102" s="139">
        <f t="shared" si="72"/>
        <v>0.2</v>
      </c>
      <c r="AU102" s="140">
        <f t="shared" si="72"/>
        <v>0.18322981366459629</v>
      </c>
      <c r="AV102" s="139">
        <f t="shared" si="72"/>
        <v>0.23922413793103448</v>
      </c>
      <c r="AW102" s="139">
        <f t="shared" si="72"/>
        <v>0.21689059500959693</v>
      </c>
      <c r="AX102" s="139">
        <f t="shared" si="72"/>
        <v>0.17685589519650655</v>
      </c>
      <c r="AY102" s="139">
        <f t="shared" si="72"/>
        <v>0.17810760667903525</v>
      </c>
      <c r="AZ102" s="140">
        <f t="shared" si="72"/>
        <v>0.20149272597510437</v>
      </c>
      <c r="BA102" s="139">
        <f t="shared" si="72"/>
        <v>0.18115942028985507</v>
      </c>
      <c r="BB102" s="139">
        <f t="shared" si="72"/>
        <v>0.18808193668528864</v>
      </c>
      <c r="BC102" s="139">
        <f t="shared" si="72"/>
        <v>0.15338645418326693</v>
      </c>
      <c r="BD102" s="139">
        <f t="shared" si="72"/>
        <v>0.18471337579617833</v>
      </c>
      <c r="BE102" s="140">
        <f>BE101/BE98</f>
        <v>0.1775574583145561</v>
      </c>
      <c r="BF102" s="139">
        <f t="shared" si="72"/>
        <v>0.17846153846153845</v>
      </c>
      <c r="BG102" s="139">
        <f t="shared" si="72"/>
        <v>0.18047337278106509</v>
      </c>
      <c r="BH102" s="139">
        <f t="shared" si="72"/>
        <v>0.16913946587537093</v>
      </c>
      <c r="BI102" s="139">
        <f t="shared" si="72"/>
        <v>0.19082125603864733</v>
      </c>
      <c r="BJ102" s="140">
        <f>BJ101/BJ98</f>
        <v>0.18033946251768035</v>
      </c>
      <c r="BK102" s="139">
        <f t="shared" si="72"/>
        <v>0.17912218268090155</v>
      </c>
      <c r="BL102" s="225">
        <v>0.18</v>
      </c>
      <c r="BM102" s="225">
        <f>+BL102</f>
        <v>0.18</v>
      </c>
      <c r="BN102" s="225">
        <f>+BM102</f>
        <v>0.18</v>
      </c>
      <c r="BO102" s="140">
        <f>BO101/BO98</f>
        <v>0.17978596736660143</v>
      </c>
      <c r="BP102" s="225">
        <v>0.19500000000000001</v>
      </c>
      <c r="BQ102" s="225">
        <f>BP102</f>
        <v>0.19500000000000001</v>
      </c>
      <c r="BR102" s="225">
        <f>BQ102</f>
        <v>0.19500000000000001</v>
      </c>
      <c r="BS102" s="225">
        <f>BR102</f>
        <v>0.19500000000000001</v>
      </c>
      <c r="BT102" s="140">
        <f>BT101/BT98</f>
        <v>0.19499999999999992</v>
      </c>
      <c r="BU102" s="225">
        <v>0.2</v>
      </c>
      <c r="BV102" s="225">
        <f>BU102</f>
        <v>0.2</v>
      </c>
      <c r="BW102" s="225">
        <f>BV102</f>
        <v>0.2</v>
      </c>
      <c r="BX102" s="225">
        <f>BW102</f>
        <v>0.2</v>
      </c>
      <c r="BY102" s="140">
        <f>BY101/BY98</f>
        <v>0.19999999999999998</v>
      </c>
      <c r="BZ102" s="225">
        <v>0.20499999999999999</v>
      </c>
      <c r="CA102" s="225">
        <f>BZ102</f>
        <v>0.20499999999999999</v>
      </c>
      <c r="CB102" s="225">
        <f>CA102</f>
        <v>0.20499999999999999</v>
      </c>
      <c r="CC102" s="225">
        <f>CB102</f>
        <v>0.20499999999999999</v>
      </c>
      <c r="CD102" s="140">
        <f>CD101/CD98</f>
        <v>0.2049999999999999</v>
      </c>
      <c r="CE102" s="259"/>
      <c r="CL102" s="254"/>
      <c r="CM102" s="254"/>
    </row>
    <row r="103" spans="1:91" ht="12.75" customHeight="1">
      <c r="A103" s="254"/>
      <c r="B103" s="260"/>
      <c r="C103" s="255"/>
      <c r="D103" s="255"/>
      <c r="E103" s="255"/>
      <c r="F103" s="255"/>
      <c r="G103" s="256"/>
      <c r="H103" s="255"/>
      <c r="I103" s="255"/>
      <c r="J103" s="255"/>
      <c r="K103" s="255"/>
      <c r="L103" s="256"/>
      <c r="M103" s="255"/>
      <c r="N103" s="255"/>
      <c r="O103" s="255"/>
      <c r="P103" s="255"/>
      <c r="Q103" s="256"/>
      <c r="R103" s="255"/>
      <c r="S103" s="255"/>
      <c r="T103" s="255"/>
      <c r="U103" s="255"/>
      <c r="V103" s="256"/>
      <c r="W103" s="255"/>
      <c r="X103" s="255"/>
      <c r="Y103" s="255"/>
      <c r="Z103" s="255"/>
      <c r="AA103" s="256"/>
      <c r="AB103" s="255"/>
      <c r="AC103" s="255"/>
      <c r="AD103" s="255"/>
      <c r="AE103" s="255"/>
      <c r="AF103" s="256"/>
      <c r="AG103" s="255"/>
      <c r="AH103" s="255"/>
      <c r="AI103" s="255"/>
      <c r="AJ103" s="255"/>
      <c r="AK103" s="256"/>
      <c r="AL103" s="255"/>
      <c r="AM103" s="255"/>
      <c r="AN103" s="255"/>
      <c r="AO103" s="255"/>
      <c r="AP103" s="261"/>
      <c r="AQ103" s="258"/>
      <c r="AR103" s="258"/>
      <c r="AS103" s="258"/>
      <c r="AT103" s="258"/>
      <c r="AU103" s="189"/>
      <c r="AV103" s="258"/>
      <c r="AW103" s="258"/>
      <c r="AX103" s="258"/>
      <c r="AY103" s="258"/>
      <c r="AZ103" s="189"/>
      <c r="BA103" s="258"/>
      <c r="BB103" s="258"/>
      <c r="BC103" s="258"/>
      <c r="BD103" s="258"/>
      <c r="BE103" s="262"/>
      <c r="BF103" s="258"/>
      <c r="BG103" s="258"/>
      <c r="BH103" s="258"/>
      <c r="BI103" s="258"/>
      <c r="BJ103" s="189"/>
      <c r="BK103" s="258"/>
      <c r="BL103" s="258"/>
      <c r="BM103" s="258"/>
      <c r="BN103" s="258"/>
      <c r="BO103" s="189"/>
      <c r="BP103" s="258"/>
      <c r="BQ103" s="258"/>
      <c r="BR103" s="258"/>
      <c r="BS103" s="258"/>
      <c r="BT103" s="189"/>
      <c r="BU103" s="258"/>
      <c r="BV103" s="258"/>
      <c r="BW103" s="258"/>
      <c r="BX103" s="258"/>
      <c r="BY103" s="189"/>
      <c r="BZ103" s="258"/>
      <c r="CA103" s="258"/>
      <c r="CB103" s="258"/>
      <c r="CC103" s="258"/>
      <c r="CD103" s="189"/>
      <c r="CE103" s="259"/>
      <c r="CL103" s="254"/>
      <c r="CM103" s="254"/>
    </row>
    <row r="104" spans="1:91" ht="12.75" customHeight="1">
      <c r="A104" s="207"/>
      <c r="B104" s="151" t="s">
        <v>30</v>
      </c>
      <c r="C104" s="152"/>
      <c r="D104" s="152"/>
      <c r="E104" s="152"/>
      <c r="F104" s="152"/>
      <c r="G104" s="263"/>
      <c r="H104" s="152"/>
      <c r="I104" s="152"/>
      <c r="J104" s="152"/>
      <c r="K104" s="152"/>
      <c r="L104" s="263"/>
      <c r="M104" s="152"/>
      <c r="N104" s="152"/>
      <c r="O104" s="152"/>
      <c r="P104" s="152"/>
      <c r="Q104" s="263"/>
      <c r="R104" s="152"/>
      <c r="S104" s="152"/>
      <c r="T104" s="152"/>
      <c r="U104" s="152"/>
      <c r="V104" s="263"/>
      <c r="W104" s="152"/>
      <c r="X104" s="152"/>
      <c r="Y104" s="152"/>
      <c r="Z104" s="152"/>
      <c r="AA104" s="263"/>
      <c r="AB104" s="152"/>
      <c r="AC104" s="152"/>
      <c r="AD104" s="152"/>
      <c r="AE104" s="152"/>
      <c r="AF104" s="263"/>
      <c r="AG104" s="152"/>
      <c r="AH104" s="152"/>
      <c r="AI104" s="152"/>
      <c r="AJ104" s="152"/>
      <c r="AK104" s="263">
        <f>AK98-AK101</f>
        <v>961</v>
      </c>
      <c r="AL104" s="155"/>
      <c r="AM104" s="155"/>
      <c r="AN104" s="155"/>
      <c r="AO104" s="155"/>
      <c r="AP104" s="263">
        <f t="shared" ref="AP104:CD104" si="73">AP98-AP101</f>
        <v>1186</v>
      </c>
      <c r="AQ104" s="155">
        <f>AQ98-AQ101</f>
        <v>333</v>
      </c>
      <c r="AR104" s="155">
        <f t="shared" si="73"/>
        <v>346</v>
      </c>
      <c r="AS104" s="155">
        <f t="shared" si="73"/>
        <v>288</v>
      </c>
      <c r="AT104" s="155">
        <f t="shared" si="73"/>
        <v>348</v>
      </c>
      <c r="AU104" s="263">
        <f>AU98-AU101</f>
        <v>1315</v>
      </c>
      <c r="AV104" s="155">
        <f>AV98-AV101</f>
        <v>353</v>
      </c>
      <c r="AW104" s="155">
        <f t="shared" si="73"/>
        <v>396.25335892514397</v>
      </c>
      <c r="AX104" s="155">
        <f>AX98-AX101</f>
        <v>377</v>
      </c>
      <c r="AY104" s="155">
        <f>AY98-AY101</f>
        <v>443</v>
      </c>
      <c r="AZ104" s="263">
        <f>AZ98-AZ101</f>
        <v>1576.2533589251439</v>
      </c>
      <c r="BA104" s="155">
        <f t="shared" si="73"/>
        <v>452</v>
      </c>
      <c r="BB104" s="155">
        <f t="shared" si="73"/>
        <v>436</v>
      </c>
      <c r="BC104" s="155">
        <f>BC98-BC101</f>
        <v>425</v>
      </c>
      <c r="BD104" s="155">
        <f t="shared" si="73"/>
        <v>512</v>
      </c>
      <c r="BE104" s="263">
        <f>BE98-BE101</f>
        <v>1825</v>
      </c>
      <c r="BF104" s="155">
        <f t="shared" si="73"/>
        <v>534</v>
      </c>
      <c r="BG104" s="155">
        <f t="shared" si="73"/>
        <v>554</v>
      </c>
      <c r="BH104" s="155">
        <f t="shared" si="73"/>
        <v>560</v>
      </c>
      <c r="BI104" s="155">
        <f t="shared" si="73"/>
        <v>670</v>
      </c>
      <c r="BJ104" s="263">
        <f t="shared" si="73"/>
        <v>2318</v>
      </c>
      <c r="BK104" s="155">
        <f t="shared" si="73"/>
        <v>692</v>
      </c>
      <c r="BL104" s="155">
        <f t="shared" si="73"/>
        <v>686.0301502305756</v>
      </c>
      <c r="BM104" s="155">
        <f t="shared" si="73"/>
        <v>646.8784979459856</v>
      </c>
      <c r="BN104" s="155">
        <f t="shared" si="73"/>
        <v>810.91304177306029</v>
      </c>
      <c r="BO104" s="263">
        <f t="shared" si="73"/>
        <v>2835.8216899496215</v>
      </c>
      <c r="BP104" s="155">
        <f t="shared" si="73"/>
        <v>744.19920791302366</v>
      </c>
      <c r="BQ104" s="155">
        <f t="shared" si="73"/>
        <v>781.16320239497998</v>
      </c>
      <c r="BR104" s="155">
        <f t="shared" si="73"/>
        <v>782.95753625159637</v>
      </c>
      <c r="BS104" s="155">
        <f t="shared" si="73"/>
        <v>980.51602254754653</v>
      </c>
      <c r="BT104" s="263">
        <f t="shared" si="73"/>
        <v>3288.8359691071482</v>
      </c>
      <c r="BU104" s="155">
        <f t="shared" si="73"/>
        <v>889.64315514010991</v>
      </c>
      <c r="BV104" s="155">
        <f t="shared" si="73"/>
        <v>941.93325188812992</v>
      </c>
      <c r="BW104" s="155">
        <f t="shared" si="73"/>
        <v>923.38830530423252</v>
      </c>
      <c r="BX104" s="155">
        <f t="shared" si="73"/>
        <v>1166.0082396420607</v>
      </c>
      <c r="BY104" s="263">
        <f t="shared" si="73"/>
        <v>3920.9729519745333</v>
      </c>
      <c r="BZ104" s="155">
        <f t="shared" si="73"/>
        <v>1066.3428557979694</v>
      </c>
      <c r="CA104" s="155">
        <f t="shared" si="73"/>
        <v>1132.8932532689751</v>
      </c>
      <c r="CB104" s="155">
        <f t="shared" si="73"/>
        <v>1135.9640395893396</v>
      </c>
      <c r="CC104" s="155">
        <f t="shared" si="73"/>
        <v>1433.462136555394</v>
      </c>
      <c r="CD104" s="263">
        <f t="shared" si="73"/>
        <v>4768.6622852116807</v>
      </c>
      <c r="CE104" s="264"/>
    </row>
    <row r="105" spans="1:91" ht="12.75" customHeight="1" thickBot="1">
      <c r="A105" s="207"/>
      <c r="B105" s="265" t="s">
        <v>31</v>
      </c>
      <c r="C105" s="266"/>
      <c r="D105" s="266"/>
      <c r="E105" s="266"/>
      <c r="F105" s="266"/>
      <c r="G105" s="267"/>
      <c r="H105" s="266"/>
      <c r="I105" s="266"/>
      <c r="J105" s="266"/>
      <c r="K105" s="266"/>
      <c r="L105" s="267"/>
      <c r="M105" s="266"/>
      <c r="N105" s="266"/>
      <c r="O105" s="266"/>
      <c r="P105" s="266"/>
      <c r="Q105" s="267"/>
      <c r="R105" s="266"/>
      <c r="S105" s="266"/>
      <c r="T105" s="266"/>
      <c r="U105" s="266"/>
      <c r="V105" s="267"/>
      <c r="W105" s="266"/>
      <c r="X105" s="266"/>
      <c r="Y105" s="266"/>
      <c r="Z105" s="266"/>
      <c r="AA105" s="267"/>
      <c r="AB105" s="266"/>
      <c r="AC105" s="266"/>
      <c r="AD105" s="266"/>
      <c r="AE105" s="266"/>
      <c r="AF105" s="267"/>
      <c r="AG105" s="266"/>
      <c r="AH105" s="266"/>
      <c r="AI105" s="266"/>
      <c r="AJ105" s="266"/>
      <c r="AK105" s="268" t="str">
        <f>IF(ISERROR(AK104/AK143),"NM",AK104/AK143)</f>
        <v>NM</v>
      </c>
      <c r="AL105" s="269"/>
      <c r="AM105" s="269"/>
      <c r="AN105" s="269"/>
      <c r="AO105" s="269"/>
      <c r="AP105" s="268">
        <f>IF(ISERROR(AP104/AP143),"NM",AP104/AP143)</f>
        <v>0.90327494287890331</v>
      </c>
      <c r="AQ105" s="269">
        <f t="shared" ref="AQ105:CD105" si="74">AQ104/AQ143</f>
        <v>0.2609717868338558</v>
      </c>
      <c r="AR105" s="269">
        <f t="shared" si="74"/>
        <v>0.27308602999210735</v>
      </c>
      <c r="AS105" s="269">
        <f t="shared" si="74"/>
        <v>0.23021582733812951</v>
      </c>
      <c r="AT105" s="269">
        <f t="shared" si="74"/>
        <v>0.28041901692183724</v>
      </c>
      <c r="AU105" s="268">
        <f t="shared" si="74"/>
        <v>1.0596293311845286</v>
      </c>
      <c r="AV105" s="269">
        <f t="shared" si="74"/>
        <v>0.28722538649308382</v>
      </c>
      <c r="AW105" s="269">
        <f t="shared" si="74"/>
        <v>0.3237364043506078</v>
      </c>
      <c r="AX105" s="269">
        <f>AX104/AX143</f>
        <v>0.30725346373268131</v>
      </c>
      <c r="AY105" s="269">
        <f>AY104/AY143</f>
        <v>0.36016260162601627</v>
      </c>
      <c r="AZ105" s="268">
        <f t="shared" si="74"/>
        <v>1.284116789348386</v>
      </c>
      <c r="BA105" s="269">
        <f t="shared" si="74"/>
        <v>0.36897959183673468</v>
      </c>
      <c r="BB105" s="269">
        <f t="shared" si="74"/>
        <v>0.35884773662551439</v>
      </c>
      <c r="BC105" s="269">
        <f>BC104/BC143</f>
        <v>0.35008237232289952</v>
      </c>
      <c r="BD105" s="269">
        <f t="shared" si="74"/>
        <v>0.42105263157894735</v>
      </c>
      <c r="BE105" s="268">
        <f>BE104/BE143</f>
        <v>1.4989733059548254</v>
      </c>
      <c r="BF105" s="269">
        <f t="shared" si="74"/>
        <v>0.43914473684210525</v>
      </c>
      <c r="BG105" s="269">
        <f t="shared" si="74"/>
        <v>0.45596707818930043</v>
      </c>
      <c r="BH105" s="269">
        <f t="shared" si="74"/>
        <v>0.45789043336058871</v>
      </c>
      <c r="BI105" s="269">
        <f t="shared" si="74"/>
        <v>0.5456026058631922</v>
      </c>
      <c r="BJ105" s="268">
        <f t="shared" si="74"/>
        <v>1.8992216304793117</v>
      </c>
      <c r="BK105" s="269">
        <f t="shared" si="74"/>
        <v>0.5686113393590797</v>
      </c>
      <c r="BL105" s="269">
        <f t="shared" si="74"/>
        <v>0.56484484358631881</v>
      </c>
      <c r="BM105" s="269">
        <f t="shared" si="74"/>
        <v>0.53373415967349835</v>
      </c>
      <c r="BN105" s="269">
        <f t="shared" si="74"/>
        <v>0.67013238667715447</v>
      </c>
      <c r="BO105" s="268">
        <f t="shared" si="74"/>
        <v>2.3370817911138912</v>
      </c>
      <c r="BP105" s="269">
        <f t="shared" si="74"/>
        <v>0.61619901691097034</v>
      </c>
      <c r="BQ105" s="269">
        <f t="shared" si="74"/>
        <v>0.64796005900006559</v>
      </c>
      <c r="BR105" s="269">
        <f t="shared" si="74"/>
        <v>0.65052421642650482</v>
      </c>
      <c r="BS105" s="269">
        <f t="shared" si="74"/>
        <v>0.815586773862087</v>
      </c>
      <c r="BT105" s="268">
        <f t="shared" si="74"/>
        <v>2.7298344863937456</v>
      </c>
      <c r="BU105" s="269">
        <f t="shared" si="74"/>
        <v>0.74175111226941148</v>
      </c>
      <c r="BV105" s="269">
        <f t="shared" si="74"/>
        <v>0.78705437373751608</v>
      </c>
      <c r="BW105" s="269">
        <f t="shared" si="74"/>
        <v>0.77316825452093652</v>
      </c>
      <c r="BX105" s="269">
        <f t="shared" si="74"/>
        <v>0.97777973332372359</v>
      </c>
      <c r="BY105" s="268">
        <f t="shared" si="74"/>
        <v>3.2791163914250228</v>
      </c>
      <c r="BZ105" s="269">
        <f t="shared" si="74"/>
        <v>0.89590545737426419</v>
      </c>
      <c r="CA105" s="269">
        <f t="shared" si="74"/>
        <v>0.9534498055262921</v>
      </c>
      <c r="CB105" s="269">
        <f t="shared" si="74"/>
        <v>0.95757802576335316</v>
      </c>
      <c r="CC105" s="269">
        <f t="shared" si="74"/>
        <v>1.2096056827521238</v>
      </c>
      <c r="CD105" s="268">
        <f t="shared" si="74"/>
        <v>4.0158853943045703</v>
      </c>
      <c r="CE105" s="270">
        <f>+(BO105/AZ105)^(0.33333)-1</f>
        <v>0.22092483796414153</v>
      </c>
      <c r="CM105" s="271"/>
    </row>
    <row r="106" spans="1:91" ht="12.75" customHeight="1" thickTop="1">
      <c r="A106" s="272"/>
      <c r="B106" s="138" t="s">
        <v>21</v>
      </c>
      <c r="C106" s="273"/>
      <c r="D106" s="273"/>
      <c r="E106" s="273"/>
      <c r="F106" s="273"/>
      <c r="G106" s="215"/>
      <c r="H106" s="273"/>
      <c r="I106" s="273"/>
      <c r="J106" s="273"/>
      <c r="K106" s="273"/>
      <c r="L106" s="215"/>
      <c r="M106" s="273"/>
      <c r="N106" s="273"/>
      <c r="O106" s="273"/>
      <c r="P106" s="273"/>
      <c r="Q106" s="215"/>
      <c r="R106" s="273"/>
      <c r="S106" s="273"/>
      <c r="T106" s="273"/>
      <c r="U106" s="273"/>
      <c r="V106" s="215"/>
      <c r="W106" s="273"/>
      <c r="X106" s="273"/>
      <c r="Y106" s="273"/>
      <c r="Z106" s="273"/>
      <c r="AA106" s="215"/>
      <c r="AB106" s="273"/>
      <c r="AC106" s="273"/>
      <c r="AD106" s="273"/>
      <c r="AE106" s="273"/>
      <c r="AF106" s="215"/>
      <c r="AG106" s="273"/>
      <c r="AH106" s="273"/>
      <c r="AI106" s="273"/>
      <c r="AJ106" s="273"/>
      <c r="AK106" s="140"/>
      <c r="AL106" s="243"/>
      <c r="AM106" s="139"/>
      <c r="AN106" s="139"/>
      <c r="AO106" s="139"/>
      <c r="AP106" s="140" t="str">
        <f>IF(ISERROR(AP105/AK105-1), "NM", (AP105/AK105-1))</f>
        <v>NM</v>
      </c>
      <c r="AQ106" s="139" t="str">
        <f>IF(ISERROR(AQ105/AL105-1), "NM", (AQ105/AL105-1))</f>
        <v>NM</v>
      </c>
      <c r="AR106" s="139" t="str">
        <f>IF(ISERROR(AR105/AM105-1), "NM", (AR105/AM105-1))</f>
        <v>NM</v>
      </c>
      <c r="AS106" s="139" t="str">
        <f>IF(ISERROR(AS105/AN105-1), "NM", (AS105/AN105-1))</f>
        <v>NM</v>
      </c>
      <c r="AT106" s="139" t="str">
        <f>IF(ISERROR(AT105/AO105-1), "NM", (AT105/AO105-1))</f>
        <v>NM</v>
      </c>
      <c r="AU106" s="140">
        <f t="shared" ref="AU106:CD106" si="75">IF(ISERROR(AU105/AP105-1), "NM", (AU105/AP105-1))</f>
        <v>0.17309722752553625</v>
      </c>
      <c r="AV106" s="139">
        <f t="shared" si="75"/>
        <v>0.10059937887439929</v>
      </c>
      <c r="AW106" s="139">
        <f t="shared" si="75"/>
        <v>0.18547405870583833</v>
      </c>
      <c r="AX106" s="139">
        <f t="shared" si="75"/>
        <v>0.33463223308883427</v>
      </c>
      <c r="AY106" s="139">
        <f t="shared" si="75"/>
        <v>0.28437295579852351</v>
      </c>
      <c r="AZ106" s="140">
        <f t="shared" si="75"/>
        <v>0.21185470386414229</v>
      </c>
      <c r="BA106" s="139">
        <f t="shared" si="75"/>
        <v>0.28463432965254087</v>
      </c>
      <c r="BB106" s="139">
        <f t="shared" si="75"/>
        <v>0.10845654613770561</v>
      </c>
      <c r="BC106" s="139">
        <f t="shared" si="75"/>
        <v>0.13939276084933083</v>
      </c>
      <c r="BD106" s="139">
        <f t="shared" si="75"/>
        <v>0.16906261138172729</v>
      </c>
      <c r="BE106" s="140">
        <f t="shared" si="75"/>
        <v>0.16731851681143928</v>
      </c>
      <c r="BF106" s="139">
        <f t="shared" si="75"/>
        <v>0.19015996157428972</v>
      </c>
      <c r="BG106" s="139">
        <f t="shared" si="75"/>
        <v>0.27064220183486243</v>
      </c>
      <c r="BH106" s="139">
        <f t="shared" si="75"/>
        <v>0.30795055552883444</v>
      </c>
      <c r="BI106" s="139">
        <f t="shared" si="75"/>
        <v>0.29580618892508159</v>
      </c>
      <c r="BJ106" s="140">
        <f t="shared" si="75"/>
        <v>0.26701497814167796</v>
      </c>
      <c r="BK106" s="139">
        <f t="shared" si="75"/>
        <v>0.2948153345704887</v>
      </c>
      <c r="BL106" s="139">
        <f t="shared" si="75"/>
        <v>0.23878426887613236</v>
      </c>
      <c r="BM106" s="139">
        <f t="shared" si="75"/>
        <v>0.16563728085837237</v>
      </c>
      <c r="BN106" s="139">
        <f t="shared" si="75"/>
        <v>0.22824264304409803</v>
      </c>
      <c r="BO106" s="140">
        <f t="shared" si="75"/>
        <v>0.23054716395793973</v>
      </c>
      <c r="BP106" s="139">
        <f t="shared" si="75"/>
        <v>8.369104563677876E-2</v>
      </c>
      <c r="BQ106" s="139">
        <f t="shared" si="75"/>
        <v>0.14714698444626095</v>
      </c>
      <c r="BR106" s="139">
        <f t="shared" si="75"/>
        <v>0.21881690470111659</v>
      </c>
      <c r="BS106" s="139">
        <f t="shared" si="75"/>
        <v>0.2170532122856601</v>
      </c>
      <c r="BT106" s="140">
        <f t="shared" si="75"/>
        <v>0.16805261021380935</v>
      </c>
      <c r="BU106" s="139">
        <f t="shared" si="75"/>
        <v>0.2037525083825007</v>
      </c>
      <c r="BV106" s="139">
        <f t="shared" si="75"/>
        <v>0.21466495165165167</v>
      </c>
      <c r="BW106" s="139">
        <f t="shared" si="75"/>
        <v>0.18853108769439308</v>
      </c>
      <c r="BX106" s="139">
        <f t="shared" si="75"/>
        <v>0.19886658864463502</v>
      </c>
      <c r="BY106" s="140">
        <f t="shared" si="75"/>
        <v>0.20121436217801891</v>
      </c>
      <c r="BZ106" s="139">
        <f t="shared" si="75"/>
        <v>0.20782489241332236</v>
      </c>
      <c r="CA106" s="139">
        <f t="shared" si="75"/>
        <v>0.21141542101927158</v>
      </c>
      <c r="CB106" s="139">
        <f t="shared" si="75"/>
        <v>0.23851182477309418</v>
      </c>
      <c r="CC106" s="139">
        <f t="shared" si="75"/>
        <v>0.2370942468201549</v>
      </c>
      <c r="CD106" s="140">
        <f t="shared" si="75"/>
        <v>0.2246852245947164</v>
      </c>
      <c r="CE106" s="274">
        <f>+(CD105/BJ105)^(1/4)-1</f>
        <v>0.2058725679354092</v>
      </c>
      <c r="CL106" s="275"/>
      <c r="CM106" s="275"/>
    </row>
    <row r="107" spans="1:91" ht="12.75" customHeight="1">
      <c r="A107" s="272"/>
      <c r="B107" s="276"/>
      <c r="C107" s="273"/>
      <c r="D107" s="273"/>
      <c r="E107" s="273"/>
      <c r="F107" s="273"/>
      <c r="G107" s="215"/>
      <c r="H107" s="273"/>
      <c r="I107" s="273"/>
      <c r="J107" s="273"/>
      <c r="K107" s="273"/>
      <c r="L107" s="215"/>
      <c r="M107" s="273"/>
      <c r="N107" s="273"/>
      <c r="O107" s="273"/>
      <c r="P107" s="273"/>
      <c r="Q107" s="215"/>
      <c r="R107" s="273"/>
      <c r="S107" s="273"/>
      <c r="T107" s="273"/>
      <c r="U107" s="273"/>
      <c r="V107" s="215"/>
      <c r="W107" s="273"/>
      <c r="X107" s="273"/>
      <c r="Y107" s="273"/>
      <c r="Z107" s="273"/>
      <c r="AA107" s="215"/>
      <c r="AB107" s="273"/>
      <c r="AC107" s="273"/>
      <c r="AD107" s="273"/>
      <c r="AE107" s="273"/>
      <c r="AF107" s="215"/>
      <c r="AG107" s="273"/>
      <c r="AH107" s="273"/>
      <c r="AI107" s="273"/>
      <c r="AJ107" s="273"/>
      <c r="AK107" s="140"/>
      <c r="AL107" s="243"/>
      <c r="AM107" s="139"/>
      <c r="AN107" s="139"/>
      <c r="AO107" s="139"/>
      <c r="AP107" s="140"/>
      <c r="AQ107" s="139"/>
      <c r="AR107" s="139"/>
      <c r="AS107" s="139"/>
      <c r="AT107" s="139"/>
      <c r="AU107" s="140"/>
      <c r="AV107" s="139"/>
      <c r="AW107" s="139"/>
      <c r="AX107" s="139"/>
      <c r="AY107" s="139"/>
      <c r="AZ107" s="140"/>
      <c r="BA107" s="139"/>
      <c r="BB107" s="139"/>
      <c r="BC107" s="139"/>
      <c r="BD107" s="139"/>
      <c r="BE107" s="140"/>
      <c r="BF107" s="139"/>
      <c r="BG107" s="139"/>
      <c r="BH107" s="139"/>
      <c r="BI107" s="139"/>
      <c r="BJ107" s="140"/>
      <c r="BK107" s="139"/>
      <c r="BL107" s="139"/>
      <c r="BM107" s="139"/>
      <c r="BN107" s="139"/>
      <c r="BO107" s="140"/>
      <c r="BP107" s="139"/>
      <c r="BQ107" s="139"/>
      <c r="BR107" s="139"/>
      <c r="BS107" s="139"/>
      <c r="BT107" s="140"/>
      <c r="BU107" s="139"/>
      <c r="BV107" s="139"/>
      <c r="BW107" s="139"/>
      <c r="BX107" s="139"/>
      <c r="BY107" s="140"/>
      <c r="BZ107" s="139"/>
      <c r="CA107" s="139"/>
      <c r="CB107" s="139"/>
      <c r="CC107" s="139"/>
      <c r="CD107" s="140"/>
      <c r="CE107" s="277"/>
      <c r="CL107" s="275"/>
      <c r="CM107" s="275"/>
    </row>
    <row r="108" spans="1:91" ht="12.75" customHeight="1">
      <c r="A108" s="272"/>
      <c r="B108" s="239" t="s">
        <v>144</v>
      </c>
      <c r="C108" s="273"/>
      <c r="D108" s="273"/>
      <c r="E108" s="273"/>
      <c r="F108" s="273"/>
      <c r="G108" s="215"/>
      <c r="H108" s="273"/>
      <c r="I108" s="273"/>
      <c r="J108" s="273"/>
      <c r="K108" s="273"/>
      <c r="L108" s="215"/>
      <c r="M108" s="273"/>
      <c r="N108" s="273"/>
      <c r="O108" s="273"/>
      <c r="P108" s="273"/>
      <c r="Q108" s="215"/>
      <c r="R108" s="273"/>
      <c r="S108" s="273"/>
      <c r="T108" s="273"/>
      <c r="U108" s="273"/>
      <c r="V108" s="215"/>
      <c r="W108" s="273"/>
      <c r="X108" s="273"/>
      <c r="Y108" s="273"/>
      <c r="Z108" s="273"/>
      <c r="AA108" s="215"/>
      <c r="AB108" s="273"/>
      <c r="AC108" s="273"/>
      <c r="AD108" s="273"/>
      <c r="AE108" s="273"/>
      <c r="AF108" s="215"/>
      <c r="AG108" s="273"/>
      <c r="AH108" s="273"/>
      <c r="AI108" s="273"/>
      <c r="AJ108" s="273"/>
      <c r="AK108" s="215"/>
      <c r="AL108" s="278"/>
      <c r="AM108" s="278"/>
      <c r="AN108" s="278"/>
      <c r="AO108" s="278"/>
      <c r="AP108" s="215">
        <f t="shared" ref="AP108:AV108" si="76">+AP84+AP96</f>
        <v>1142</v>
      </c>
      <c r="AQ108" s="278">
        <f t="shared" si="76"/>
        <v>330</v>
      </c>
      <c r="AR108" s="278">
        <f t="shared" si="76"/>
        <v>339</v>
      </c>
      <c r="AS108" s="278">
        <f t="shared" si="76"/>
        <v>278</v>
      </c>
      <c r="AT108" s="278">
        <f t="shared" si="76"/>
        <v>354</v>
      </c>
      <c r="AU108" s="215">
        <f t="shared" si="76"/>
        <v>1301</v>
      </c>
      <c r="AV108" s="278">
        <f t="shared" si="76"/>
        <v>382</v>
      </c>
      <c r="AW108" s="278">
        <f>+AW84+AW96</f>
        <v>417</v>
      </c>
      <c r="AX108" s="278">
        <f>+AX84+AX96</f>
        <v>364</v>
      </c>
      <c r="AY108" s="278">
        <f>+AY84+AY96</f>
        <v>449</v>
      </c>
      <c r="AZ108" s="215">
        <f>+SUM(AV108:AY108)</f>
        <v>1612</v>
      </c>
      <c r="BA108" s="278">
        <f>+BA84+BA96</f>
        <v>457</v>
      </c>
      <c r="BB108" s="278">
        <f>+BB84+BB96</f>
        <v>415</v>
      </c>
      <c r="BC108" s="278">
        <f>+BC84+BC96</f>
        <v>393</v>
      </c>
      <c r="BD108" s="278">
        <f>+BD84+BD96</f>
        <v>501</v>
      </c>
      <c r="BE108" s="215">
        <f>+SUM(BA108:BD108)</f>
        <v>1766</v>
      </c>
      <c r="BF108" s="278">
        <f>+BF84+BF96</f>
        <v>503</v>
      </c>
      <c r="BG108" s="278">
        <f>+BG84+BG96</f>
        <v>484</v>
      </c>
      <c r="BH108" s="278">
        <f>+BH84+BH96</f>
        <v>477</v>
      </c>
      <c r="BI108" s="278">
        <f>+BI84+BI96</f>
        <v>605</v>
      </c>
      <c r="BJ108" s="215">
        <f>+SUM(BF108:BI108)</f>
        <v>2069</v>
      </c>
      <c r="BK108" s="278">
        <f>+BK84+BK96</f>
        <v>602</v>
      </c>
      <c r="BL108" s="278">
        <f>+BL84+BL96</f>
        <v>586.73813268272079</v>
      </c>
      <c r="BM108" s="278">
        <f>+BM84+BM96</f>
        <v>549.39540775058845</v>
      </c>
      <c r="BN108" s="278">
        <f>+BN84+BN96</f>
        <v>711.51682170470667</v>
      </c>
      <c r="BO108" s="215">
        <f>+SUM(BK108:BN108)</f>
        <v>2449.6503621380161</v>
      </c>
      <c r="BP108" s="278">
        <f>+BP84+BP96</f>
        <v>679.51849269477088</v>
      </c>
      <c r="BQ108" s="278">
        <f>+BQ84+BQ96</f>
        <v>715.73046043322927</v>
      </c>
      <c r="BR108" s="278">
        <f>+BR84+BR96</f>
        <v>710.61287808352495</v>
      </c>
      <c r="BS108" s="278">
        <f>+BS84+BS96</f>
        <v>914.3630411438005</v>
      </c>
      <c r="BT108" s="215">
        <f>+SUM(BP108:BS108)</f>
        <v>3020.2248723553257</v>
      </c>
      <c r="BU108" s="278">
        <f>+BU84+BU96</f>
        <v>818.52587910360171</v>
      </c>
      <c r="BV108" s="278">
        <f>+BV84+BV96</f>
        <v>871.16654835613281</v>
      </c>
      <c r="BW108" s="278">
        <f>+BW84+BW96</f>
        <v>844.58172470689806</v>
      </c>
      <c r="BX108" s="278">
        <f>+BX84+BX96</f>
        <v>1097.3348046072201</v>
      </c>
      <c r="BY108" s="215">
        <f>+SUM(BU108:BX108)</f>
        <v>3631.6089567738527</v>
      </c>
      <c r="BZ108" s="278">
        <f>+BZ84+BZ96</f>
        <v>1023.1738184290627</v>
      </c>
      <c r="CA108" s="278">
        <f>+CA84+CA96</f>
        <v>1092.5350833884586</v>
      </c>
      <c r="CB108" s="278">
        <f>+CB84+CB96</f>
        <v>1090.4372322645718</v>
      </c>
      <c r="CC108" s="278">
        <f>+CC84+CC96</f>
        <v>1408.8235312476027</v>
      </c>
      <c r="CD108" s="215">
        <f>+SUM(BZ108:CC108)</f>
        <v>4614.969665329696</v>
      </c>
      <c r="CE108" s="277"/>
      <c r="CL108" s="275"/>
      <c r="CM108" s="275"/>
    </row>
    <row r="109" spans="1:91" ht="12.75" customHeight="1">
      <c r="A109" s="272"/>
      <c r="B109" s="236" t="s">
        <v>129</v>
      </c>
      <c r="C109" s="273"/>
      <c r="D109" s="273"/>
      <c r="E109" s="273"/>
      <c r="F109" s="273"/>
      <c r="G109" s="215"/>
      <c r="H109" s="273"/>
      <c r="I109" s="273"/>
      <c r="J109" s="273"/>
      <c r="K109" s="273"/>
      <c r="L109" s="215"/>
      <c r="M109" s="273"/>
      <c r="N109" s="273"/>
      <c r="O109" s="273"/>
      <c r="P109" s="273"/>
      <c r="Q109" s="215"/>
      <c r="R109" s="273"/>
      <c r="S109" s="273"/>
      <c r="T109" s="273"/>
      <c r="U109" s="273"/>
      <c r="V109" s="215"/>
      <c r="W109" s="273"/>
      <c r="X109" s="273"/>
      <c r="Y109" s="273"/>
      <c r="Z109" s="273"/>
      <c r="AA109" s="215"/>
      <c r="AB109" s="273"/>
      <c r="AC109" s="273"/>
      <c r="AD109" s="273"/>
      <c r="AE109" s="273"/>
      <c r="AF109" s="215"/>
      <c r="AG109" s="273"/>
      <c r="AH109" s="273"/>
      <c r="AI109" s="273"/>
      <c r="AJ109" s="273"/>
      <c r="AK109" s="215"/>
      <c r="AL109" s="278"/>
      <c r="AM109" s="278"/>
      <c r="AN109" s="278"/>
      <c r="AO109" s="278"/>
      <c r="AP109" s="215"/>
      <c r="AQ109" s="278"/>
      <c r="AR109" s="278"/>
      <c r="AS109" s="278"/>
      <c r="AT109" s="278"/>
      <c r="AU109" s="215"/>
      <c r="AV109" s="139">
        <f t="shared" ref="AV109:CD109" si="77">+AV108/AV14</f>
        <v>0.17900656044985941</v>
      </c>
      <c r="AW109" s="139">
        <f t="shared" si="77"/>
        <v>0.18185782817269952</v>
      </c>
      <c r="AX109" s="139">
        <f t="shared" si="77"/>
        <v>0.16120460584588131</v>
      </c>
      <c r="AY109" s="139">
        <f t="shared" si="77"/>
        <v>0.17566510172143976</v>
      </c>
      <c r="AZ109" s="140">
        <f t="shared" si="77"/>
        <v>0.17430795847750866</v>
      </c>
      <c r="BA109" s="139">
        <f t="shared" si="77"/>
        <v>0.17963836477987422</v>
      </c>
      <c r="BB109" s="139">
        <f t="shared" si="77"/>
        <v>0.15660377358490565</v>
      </c>
      <c r="BC109" s="139">
        <f>+BC108/BC14</f>
        <v>0.14735658042744657</v>
      </c>
      <c r="BD109" s="139">
        <f t="shared" si="77"/>
        <v>0.16806440791680644</v>
      </c>
      <c r="BE109" s="140">
        <f t="shared" si="77"/>
        <v>0.16288507655414131</v>
      </c>
      <c r="BF109" s="139">
        <f t="shared" si="77"/>
        <v>0.16907563025210084</v>
      </c>
      <c r="BG109" s="139">
        <f t="shared" si="77"/>
        <v>0.15433673469387754</v>
      </c>
      <c r="BH109" s="139">
        <f t="shared" si="77"/>
        <v>0.14726767520839765</v>
      </c>
      <c r="BI109" s="139">
        <f t="shared" si="77"/>
        <v>0.16329284750337381</v>
      </c>
      <c r="BJ109" s="140">
        <f t="shared" si="77"/>
        <v>0.15848333971658368</v>
      </c>
      <c r="BK109" s="139">
        <f t="shared" si="77"/>
        <v>0.1633649932157395</v>
      </c>
      <c r="BL109" s="139">
        <f t="shared" si="77"/>
        <v>0.15356258437069278</v>
      </c>
      <c r="BM109" s="139">
        <f t="shared" si="77"/>
        <v>0.15003544070220518</v>
      </c>
      <c r="BN109" s="139">
        <f t="shared" si="77"/>
        <v>0.1677474330417083</v>
      </c>
      <c r="BO109" s="140">
        <f t="shared" si="77"/>
        <v>0.15897315996048075</v>
      </c>
      <c r="BP109" s="139">
        <f t="shared" si="77"/>
        <v>0.16644491240247261</v>
      </c>
      <c r="BQ109" s="139">
        <f t="shared" si="77"/>
        <v>0.16863292970988134</v>
      </c>
      <c r="BR109" s="139">
        <f t="shared" si="77"/>
        <v>0.16273255661291891</v>
      </c>
      <c r="BS109" s="139">
        <f t="shared" si="77"/>
        <v>0.18066292897626102</v>
      </c>
      <c r="BT109" s="140">
        <f t="shared" si="77"/>
        <v>0.17010788856004186</v>
      </c>
      <c r="BU109" s="139">
        <f t="shared" si="77"/>
        <v>0.17149754179545892</v>
      </c>
      <c r="BV109" s="139">
        <f t="shared" si="77"/>
        <v>0.17494445660935079</v>
      </c>
      <c r="BW109" s="139">
        <f t="shared" si="77"/>
        <v>0.16774152317640631</v>
      </c>
      <c r="BX109" s="139">
        <f t="shared" si="77"/>
        <v>0.1873700221987139</v>
      </c>
      <c r="BY109" s="140">
        <f t="shared" si="77"/>
        <v>0.17591578324554893</v>
      </c>
      <c r="BZ109" s="139">
        <f t="shared" si="77"/>
        <v>0.18653568834867065</v>
      </c>
      <c r="CA109" s="139">
        <f t="shared" si="77"/>
        <v>0.19058449729290275</v>
      </c>
      <c r="CB109" s="139">
        <f t="shared" si="77"/>
        <v>0.18686856967787388</v>
      </c>
      <c r="CC109" s="139">
        <f t="shared" si="77"/>
        <v>0.20724640552585138</v>
      </c>
      <c r="CD109" s="140">
        <f t="shared" si="77"/>
        <v>0.19349310770657327</v>
      </c>
      <c r="CE109" s="277"/>
      <c r="CL109" s="275"/>
      <c r="CM109" s="275"/>
    </row>
    <row r="110" spans="1:91" ht="12.75" customHeight="1">
      <c r="A110" s="272"/>
      <c r="B110" s="249"/>
      <c r="C110" s="273"/>
      <c r="D110" s="273"/>
      <c r="E110" s="273"/>
      <c r="F110" s="273"/>
      <c r="G110" s="215"/>
      <c r="H110" s="273"/>
      <c r="I110" s="273"/>
      <c r="J110" s="273"/>
      <c r="K110" s="273"/>
      <c r="L110" s="215"/>
      <c r="M110" s="273"/>
      <c r="N110" s="273"/>
      <c r="O110" s="273"/>
      <c r="P110" s="273"/>
      <c r="Q110" s="215"/>
      <c r="R110" s="273"/>
      <c r="S110" s="273"/>
      <c r="T110" s="273"/>
      <c r="U110" s="273"/>
      <c r="V110" s="215"/>
      <c r="W110" s="273"/>
      <c r="X110" s="273"/>
      <c r="Y110" s="273"/>
      <c r="Z110" s="273"/>
      <c r="AA110" s="215"/>
      <c r="AB110" s="273"/>
      <c r="AC110" s="273"/>
      <c r="AD110" s="273"/>
      <c r="AE110" s="273"/>
      <c r="AF110" s="215"/>
      <c r="AG110" s="273"/>
      <c r="AH110" s="273"/>
      <c r="AI110" s="273"/>
      <c r="AJ110" s="273"/>
      <c r="AK110" s="215"/>
      <c r="AL110" s="278"/>
      <c r="AM110" s="278"/>
      <c r="AN110" s="278"/>
      <c r="AO110" s="278"/>
      <c r="AP110" s="215"/>
      <c r="AQ110" s="278"/>
      <c r="AR110" s="278"/>
      <c r="AS110" s="278"/>
      <c r="AT110" s="278"/>
      <c r="AU110" s="215"/>
      <c r="AV110" s="278"/>
      <c r="AW110" s="278"/>
      <c r="AX110" s="278"/>
      <c r="AY110" s="278"/>
      <c r="AZ110" s="215"/>
      <c r="BA110" s="278"/>
      <c r="BB110" s="278"/>
      <c r="BC110" s="278"/>
      <c r="BD110" s="278"/>
      <c r="BE110" s="215"/>
      <c r="BF110" s="278"/>
      <c r="BG110" s="278"/>
      <c r="BH110" s="278"/>
      <c r="BI110" s="278"/>
      <c r="BJ110" s="215"/>
      <c r="BK110" s="278"/>
      <c r="BL110" s="278"/>
      <c r="BM110" s="278"/>
      <c r="BN110" s="278"/>
      <c r="BO110" s="215"/>
      <c r="BP110" s="278"/>
      <c r="BQ110" s="278"/>
      <c r="BR110" s="278"/>
      <c r="BS110" s="278"/>
      <c r="BT110" s="215"/>
      <c r="BU110" s="278"/>
      <c r="BV110" s="278"/>
      <c r="BW110" s="278"/>
      <c r="BX110" s="278"/>
      <c r="BY110" s="215"/>
      <c r="BZ110" s="278"/>
      <c r="CA110" s="278"/>
      <c r="CB110" s="278"/>
      <c r="CC110" s="278"/>
      <c r="CD110" s="215"/>
      <c r="CE110" s="277"/>
      <c r="CL110" s="275"/>
      <c r="CM110" s="275"/>
    </row>
    <row r="111" spans="1:91" ht="12.75" customHeight="1">
      <c r="A111" s="272"/>
      <c r="B111" s="239" t="s">
        <v>142</v>
      </c>
      <c r="C111" s="273"/>
      <c r="D111" s="273"/>
      <c r="E111" s="273"/>
      <c r="F111" s="273"/>
      <c r="G111" s="215"/>
      <c r="H111" s="273"/>
      <c r="I111" s="273"/>
      <c r="J111" s="273"/>
      <c r="K111" s="273"/>
      <c r="L111" s="215"/>
      <c r="M111" s="273"/>
      <c r="N111" s="273"/>
      <c r="O111" s="273"/>
      <c r="P111" s="273"/>
      <c r="Q111" s="215"/>
      <c r="R111" s="273"/>
      <c r="S111" s="273"/>
      <c r="T111" s="273"/>
      <c r="U111" s="273"/>
      <c r="V111" s="215"/>
      <c r="W111" s="273"/>
      <c r="X111" s="273"/>
      <c r="Y111" s="273"/>
      <c r="Z111" s="273"/>
      <c r="AA111" s="215"/>
      <c r="AB111" s="273"/>
      <c r="AC111" s="273"/>
      <c r="AD111" s="273"/>
      <c r="AE111" s="273"/>
      <c r="AF111" s="215"/>
      <c r="AG111" s="273"/>
      <c r="AH111" s="273"/>
      <c r="AI111" s="273"/>
      <c r="AJ111" s="273"/>
      <c r="AK111" s="215"/>
      <c r="AL111" s="278"/>
      <c r="AM111" s="278"/>
      <c r="AN111" s="278"/>
      <c r="AO111" s="278"/>
      <c r="AP111" s="215">
        <f>+AP108*AP102</f>
        <v>182.10489014883063</v>
      </c>
      <c r="AQ111" s="278">
        <f>+AQ108*AQ102</f>
        <v>57.320099255583116</v>
      </c>
      <c r="AR111" s="278">
        <f>+AR108*AR102</f>
        <v>58.39234449760766</v>
      </c>
      <c r="AS111" s="278">
        <f>+AS108*AS102</f>
        <v>51.83050847457627</v>
      </c>
      <c r="AT111" s="278">
        <f>+AT108*AT102</f>
        <v>70.8</v>
      </c>
      <c r="AU111" s="215">
        <f>+SUM(AQ111:AT111)</f>
        <v>238.34295222776706</v>
      </c>
      <c r="AV111" s="278">
        <f>+AV108*AV102</f>
        <v>91.383620689655174</v>
      </c>
      <c r="AW111" s="278">
        <f>+AW108*AW102</f>
        <v>90.44337811900192</v>
      </c>
      <c r="AX111" s="278">
        <f>+AX108*AX102</f>
        <v>64.375545851528386</v>
      </c>
      <c r="AY111" s="278">
        <f>+AY108*AY102</f>
        <v>79.970315398886825</v>
      </c>
      <c r="AZ111" s="215">
        <f>+SUM(AV111:AY111)</f>
        <v>326.17286005907232</v>
      </c>
      <c r="BA111" s="278">
        <f>+BA108*BA102</f>
        <v>82.789855072463766</v>
      </c>
      <c r="BB111" s="278">
        <f>+BB108*BB102</f>
        <v>78.054003724394789</v>
      </c>
      <c r="BC111" s="278">
        <f>+BC108*BC102</f>
        <v>60.280876494023907</v>
      </c>
      <c r="BD111" s="278">
        <f>+BD108*BD102</f>
        <v>92.541401273885342</v>
      </c>
      <c r="BE111" s="215">
        <f>+SUM(BA111:BD111)</f>
        <v>313.66613656476784</v>
      </c>
      <c r="BF111" s="278">
        <f>+BF108*BF102</f>
        <v>89.766153846153841</v>
      </c>
      <c r="BG111" s="278">
        <f>+BG108*BG102</f>
        <v>87.349112426035504</v>
      </c>
      <c r="BH111" s="278">
        <f>+BH108*BH102</f>
        <v>80.679525222551931</v>
      </c>
      <c r="BI111" s="278">
        <f>+BI108*BI102</f>
        <v>115.44685990338164</v>
      </c>
      <c r="BJ111" s="215">
        <f>+SUM(BF111:BI111)</f>
        <v>373.24165139812294</v>
      </c>
      <c r="BK111" s="278">
        <f>+BK108*BK102</f>
        <v>107.83155397390273</v>
      </c>
      <c r="BL111" s="278">
        <f>+BL108*BL102</f>
        <v>105.61286388288974</v>
      </c>
      <c r="BM111" s="278">
        <f>+BM108*BM102</f>
        <v>98.891173395105923</v>
      </c>
      <c r="BN111" s="278">
        <f>+BN108*BN102</f>
        <v>128.07302790684719</v>
      </c>
      <c r="BO111" s="215">
        <f>+SUM(BK111:BN111)</f>
        <v>440.40861915874558</v>
      </c>
      <c r="BP111" s="278">
        <f>+BP108*BP102</f>
        <v>132.50610607548032</v>
      </c>
      <c r="BQ111" s="278">
        <f>+BQ108*BQ102</f>
        <v>139.56743978447972</v>
      </c>
      <c r="BR111" s="278">
        <f>+BR108*BR102</f>
        <v>138.56951122628737</v>
      </c>
      <c r="BS111" s="278">
        <f>+BS108*BS102</f>
        <v>178.30079302304111</v>
      </c>
      <c r="BT111" s="215">
        <f>+SUM(BP111:BS111)</f>
        <v>588.94385010928852</v>
      </c>
      <c r="BU111" s="278">
        <f>+BU108*BU102</f>
        <v>163.70517582072034</v>
      </c>
      <c r="BV111" s="278">
        <f>+BV108*BV102</f>
        <v>174.23330967122658</v>
      </c>
      <c r="BW111" s="278">
        <f>+BW108*BW102</f>
        <v>168.91634494137963</v>
      </c>
      <c r="BX111" s="278">
        <f>+BX108*BX102</f>
        <v>219.46696092144404</v>
      </c>
      <c r="BY111" s="215">
        <f>+SUM(BU111:BX111)</f>
        <v>726.32179135477065</v>
      </c>
      <c r="BZ111" s="278">
        <f>+BZ108*BZ102</f>
        <v>209.75063277795786</v>
      </c>
      <c r="CA111" s="278">
        <f>+CA108*CA102</f>
        <v>223.96969209463398</v>
      </c>
      <c r="CB111" s="278">
        <f>+CB108*CB102</f>
        <v>223.53963261423721</v>
      </c>
      <c r="CC111" s="278">
        <f>+CC108*CC102</f>
        <v>288.80882390575852</v>
      </c>
      <c r="CD111" s="215">
        <f>+SUM(BZ111:CC111)</f>
        <v>946.06878139258765</v>
      </c>
      <c r="CE111" s="277"/>
      <c r="CL111" s="275"/>
      <c r="CM111" s="275"/>
    </row>
    <row r="112" spans="1:91" ht="12.75" customHeight="1">
      <c r="A112" s="272"/>
      <c r="B112" s="236" t="s">
        <v>143</v>
      </c>
      <c r="C112" s="273"/>
      <c r="D112" s="273"/>
      <c r="E112" s="273"/>
      <c r="F112" s="273"/>
      <c r="G112" s="215"/>
      <c r="H112" s="273"/>
      <c r="I112" s="273"/>
      <c r="J112" s="273"/>
      <c r="K112" s="273"/>
      <c r="L112" s="215"/>
      <c r="M112" s="273"/>
      <c r="N112" s="273"/>
      <c r="O112" s="273"/>
      <c r="P112" s="273"/>
      <c r="Q112" s="215"/>
      <c r="R112" s="273"/>
      <c r="S112" s="273"/>
      <c r="T112" s="273"/>
      <c r="U112" s="273"/>
      <c r="V112" s="215"/>
      <c r="W112" s="273"/>
      <c r="X112" s="273"/>
      <c r="Y112" s="273"/>
      <c r="Z112" s="273"/>
      <c r="AA112" s="215"/>
      <c r="AB112" s="273"/>
      <c r="AC112" s="273"/>
      <c r="AD112" s="273"/>
      <c r="AE112" s="273"/>
      <c r="AF112" s="215"/>
      <c r="AG112" s="273"/>
      <c r="AH112" s="273"/>
      <c r="AI112" s="273"/>
      <c r="AJ112" s="273"/>
      <c r="AK112" s="215"/>
      <c r="AL112" s="278"/>
      <c r="AM112" s="278"/>
      <c r="AN112" s="278"/>
      <c r="AO112" s="278"/>
      <c r="AP112" s="140">
        <f t="shared" ref="AP112:CD112" si="78">+AP111/AP108</f>
        <v>0.15946137491141035</v>
      </c>
      <c r="AQ112" s="139">
        <f t="shared" si="78"/>
        <v>0.17369727047146399</v>
      </c>
      <c r="AR112" s="139">
        <f t="shared" si="78"/>
        <v>0.17224880382775121</v>
      </c>
      <c r="AS112" s="139">
        <f t="shared" si="78"/>
        <v>0.1864406779661017</v>
      </c>
      <c r="AT112" s="139">
        <f t="shared" si="78"/>
        <v>0.19999999999999998</v>
      </c>
      <c r="AU112" s="140">
        <f t="shared" si="78"/>
        <v>0.18319980955247275</v>
      </c>
      <c r="AV112" s="139">
        <f t="shared" si="78"/>
        <v>0.23922413793103448</v>
      </c>
      <c r="AW112" s="139">
        <f t="shared" si="78"/>
        <v>0.21689059500959693</v>
      </c>
      <c r="AX112" s="139">
        <f t="shared" si="78"/>
        <v>0.17685589519650655</v>
      </c>
      <c r="AY112" s="139">
        <f>+AY111/AY108</f>
        <v>0.17810760667903525</v>
      </c>
      <c r="AZ112" s="140">
        <f t="shared" si="78"/>
        <v>0.20234048390761311</v>
      </c>
      <c r="BA112" s="139">
        <f t="shared" si="78"/>
        <v>0.18115942028985507</v>
      </c>
      <c r="BB112" s="139">
        <f t="shared" si="78"/>
        <v>0.18808193668528864</v>
      </c>
      <c r="BC112" s="139">
        <f>+BC111/BC108</f>
        <v>0.15338645418326693</v>
      </c>
      <c r="BD112" s="139">
        <f t="shared" si="78"/>
        <v>0.18471337579617833</v>
      </c>
      <c r="BE112" s="140">
        <f t="shared" si="78"/>
        <v>0.17761389386453444</v>
      </c>
      <c r="BF112" s="139">
        <f t="shared" si="78"/>
        <v>0.17846153846153845</v>
      </c>
      <c r="BG112" s="139">
        <f t="shared" si="78"/>
        <v>0.18047337278106509</v>
      </c>
      <c r="BH112" s="139">
        <f t="shared" si="78"/>
        <v>0.16913946587537093</v>
      </c>
      <c r="BI112" s="139">
        <f t="shared" si="78"/>
        <v>0.19082125603864733</v>
      </c>
      <c r="BJ112" s="140">
        <f t="shared" si="78"/>
        <v>0.1803971248903446</v>
      </c>
      <c r="BK112" s="139">
        <f t="shared" si="78"/>
        <v>0.17912218268090155</v>
      </c>
      <c r="BL112" s="139">
        <f t="shared" si="78"/>
        <v>0.18</v>
      </c>
      <c r="BM112" s="139">
        <f t="shared" si="78"/>
        <v>0.18</v>
      </c>
      <c r="BN112" s="139">
        <f t="shared" si="78"/>
        <v>0.18</v>
      </c>
      <c r="BO112" s="140">
        <f t="shared" si="78"/>
        <v>0.17978427695875909</v>
      </c>
      <c r="BP112" s="139">
        <f t="shared" si="78"/>
        <v>0.19500000000000001</v>
      </c>
      <c r="BQ112" s="139">
        <f t="shared" si="78"/>
        <v>0.19500000000000001</v>
      </c>
      <c r="BR112" s="139">
        <f t="shared" si="78"/>
        <v>0.19500000000000001</v>
      </c>
      <c r="BS112" s="139">
        <f t="shared" si="78"/>
        <v>0.19500000000000001</v>
      </c>
      <c r="BT112" s="140">
        <f t="shared" si="78"/>
        <v>0.19500000000000001</v>
      </c>
      <c r="BU112" s="139">
        <f t="shared" si="78"/>
        <v>0.2</v>
      </c>
      <c r="BV112" s="139">
        <f t="shared" si="78"/>
        <v>0.2</v>
      </c>
      <c r="BW112" s="139">
        <f t="shared" si="78"/>
        <v>0.20000000000000004</v>
      </c>
      <c r="BX112" s="139">
        <f t="shared" si="78"/>
        <v>0.2</v>
      </c>
      <c r="BY112" s="140">
        <f t="shared" si="78"/>
        <v>0.20000000000000004</v>
      </c>
      <c r="BZ112" s="139">
        <f t="shared" si="78"/>
        <v>0.20499999999999999</v>
      </c>
      <c r="CA112" s="139">
        <f t="shared" si="78"/>
        <v>0.20499999999999999</v>
      </c>
      <c r="CB112" s="139">
        <f t="shared" si="78"/>
        <v>0.20499999999999999</v>
      </c>
      <c r="CC112" s="139">
        <f t="shared" si="78"/>
        <v>0.20499999999999999</v>
      </c>
      <c r="CD112" s="140">
        <f t="shared" si="78"/>
        <v>0.20499999999999999</v>
      </c>
      <c r="CE112" s="277"/>
      <c r="CL112" s="275"/>
      <c r="CM112" s="275"/>
    </row>
    <row r="113" spans="1:91" ht="12.75" customHeight="1">
      <c r="A113" s="272"/>
      <c r="B113" s="276"/>
      <c r="C113" s="273"/>
      <c r="D113" s="273"/>
      <c r="E113" s="273"/>
      <c r="F113" s="273"/>
      <c r="G113" s="215"/>
      <c r="H113" s="273"/>
      <c r="I113" s="273"/>
      <c r="J113" s="273"/>
      <c r="K113" s="273"/>
      <c r="L113" s="215"/>
      <c r="M113" s="273"/>
      <c r="N113" s="273"/>
      <c r="O113" s="273"/>
      <c r="P113" s="273"/>
      <c r="Q113" s="215"/>
      <c r="R113" s="273"/>
      <c r="S113" s="273"/>
      <c r="T113" s="273"/>
      <c r="U113" s="273"/>
      <c r="V113" s="215"/>
      <c r="W113" s="273"/>
      <c r="X113" s="273"/>
      <c r="Y113" s="273"/>
      <c r="Z113" s="273"/>
      <c r="AA113" s="215"/>
      <c r="AB113" s="273"/>
      <c r="AC113" s="273"/>
      <c r="AD113" s="273"/>
      <c r="AE113" s="273"/>
      <c r="AF113" s="215"/>
      <c r="AG113" s="273"/>
      <c r="AH113" s="273"/>
      <c r="AI113" s="273"/>
      <c r="AJ113" s="273"/>
      <c r="AK113" s="215"/>
      <c r="AL113" s="278"/>
      <c r="AM113" s="278"/>
      <c r="AN113" s="278"/>
      <c r="AO113" s="278"/>
      <c r="AP113" s="215"/>
      <c r="AQ113" s="278"/>
      <c r="AR113" s="278"/>
      <c r="AS113" s="278"/>
      <c r="AT113" s="278"/>
      <c r="AU113" s="215"/>
      <c r="AV113" s="278"/>
      <c r="AW113" s="278"/>
      <c r="AX113" s="278"/>
      <c r="AY113" s="278"/>
      <c r="AZ113" s="215"/>
      <c r="BA113" s="278"/>
      <c r="BB113" s="278"/>
      <c r="BC113" s="278"/>
      <c r="BD113" s="278"/>
      <c r="BE113" s="215"/>
      <c r="BF113" s="278"/>
      <c r="BG113" s="278"/>
      <c r="BH113" s="278"/>
      <c r="BI113" s="278"/>
      <c r="BJ113" s="215"/>
      <c r="BK113" s="278"/>
      <c r="BL113" s="278"/>
      <c r="BM113" s="278"/>
      <c r="BN113" s="278"/>
      <c r="BO113" s="215"/>
      <c r="BP113" s="278"/>
      <c r="BQ113" s="278"/>
      <c r="BR113" s="278"/>
      <c r="BS113" s="278"/>
      <c r="BT113" s="215"/>
      <c r="BU113" s="278"/>
      <c r="BV113" s="278"/>
      <c r="BW113" s="278"/>
      <c r="BX113" s="278"/>
      <c r="BY113" s="215"/>
      <c r="BZ113" s="278"/>
      <c r="CA113" s="278"/>
      <c r="CB113" s="278"/>
      <c r="CC113" s="278"/>
      <c r="CD113" s="215"/>
      <c r="CE113" s="277"/>
      <c r="CL113" s="275"/>
      <c r="CM113" s="275"/>
    </row>
    <row r="114" spans="1:91" ht="12.75" customHeight="1">
      <c r="A114" s="207"/>
      <c r="B114" s="151" t="s">
        <v>145</v>
      </c>
      <c r="C114" s="152"/>
      <c r="D114" s="152"/>
      <c r="E114" s="152"/>
      <c r="F114" s="152"/>
      <c r="G114" s="263"/>
      <c r="H114" s="152"/>
      <c r="I114" s="152"/>
      <c r="J114" s="152"/>
      <c r="K114" s="152"/>
      <c r="L114" s="263"/>
      <c r="M114" s="152"/>
      <c r="N114" s="152"/>
      <c r="O114" s="152"/>
      <c r="P114" s="152"/>
      <c r="Q114" s="263"/>
      <c r="R114" s="152"/>
      <c r="S114" s="152"/>
      <c r="T114" s="152"/>
      <c r="U114" s="152"/>
      <c r="V114" s="263"/>
      <c r="W114" s="152"/>
      <c r="X114" s="152"/>
      <c r="Y114" s="152"/>
      <c r="Z114" s="152"/>
      <c r="AA114" s="263"/>
      <c r="AB114" s="152"/>
      <c r="AC114" s="152"/>
      <c r="AD114" s="152"/>
      <c r="AE114" s="152"/>
      <c r="AF114" s="263"/>
      <c r="AG114" s="152"/>
      <c r="AH114" s="152"/>
      <c r="AI114" s="152"/>
      <c r="AJ114" s="152"/>
      <c r="AK114" s="263"/>
      <c r="AL114" s="155"/>
      <c r="AM114" s="155"/>
      <c r="AN114" s="155"/>
      <c r="AO114" s="155"/>
      <c r="AP114" s="263">
        <f>+AP108-AP111</f>
        <v>959.89510985116931</v>
      </c>
      <c r="AQ114" s="155">
        <f>+AQ108-AQ111</f>
        <v>272.6799007444169</v>
      </c>
      <c r="AR114" s="155">
        <f t="shared" ref="AR114:CD114" si="79">+AR108-AR111</f>
        <v>280.60765550239233</v>
      </c>
      <c r="AS114" s="155">
        <f t="shared" si="79"/>
        <v>226.16949152542372</v>
      </c>
      <c r="AT114" s="155">
        <f t="shared" si="79"/>
        <v>283.2</v>
      </c>
      <c r="AU114" s="263">
        <f t="shared" si="79"/>
        <v>1062.657047772233</v>
      </c>
      <c r="AV114" s="155">
        <f t="shared" si="79"/>
        <v>290.61637931034483</v>
      </c>
      <c r="AW114" s="155">
        <f t="shared" si="79"/>
        <v>326.55662188099808</v>
      </c>
      <c r="AX114" s="155">
        <f>+AX108-AX111</f>
        <v>299.62445414847161</v>
      </c>
      <c r="AY114" s="155">
        <f>+AY108-AY111</f>
        <v>369.02968460111316</v>
      </c>
      <c r="AZ114" s="263">
        <f t="shared" si="79"/>
        <v>1285.8271399409277</v>
      </c>
      <c r="BA114" s="155">
        <f t="shared" si="79"/>
        <v>374.21014492753625</v>
      </c>
      <c r="BB114" s="155">
        <f t="shared" si="79"/>
        <v>336.94599627560524</v>
      </c>
      <c r="BC114" s="155">
        <f>+BC108-BC111</f>
        <v>332.71912350597609</v>
      </c>
      <c r="BD114" s="155">
        <f t="shared" si="79"/>
        <v>408.45859872611464</v>
      </c>
      <c r="BE114" s="263">
        <f t="shared" si="79"/>
        <v>1452.3338634352322</v>
      </c>
      <c r="BF114" s="155">
        <f t="shared" si="79"/>
        <v>413.23384615384617</v>
      </c>
      <c r="BG114" s="155">
        <f t="shared" si="79"/>
        <v>396.6508875739645</v>
      </c>
      <c r="BH114" s="155">
        <f t="shared" si="79"/>
        <v>396.32047477744806</v>
      </c>
      <c r="BI114" s="155">
        <f t="shared" si="79"/>
        <v>489.55314009661834</v>
      </c>
      <c r="BJ114" s="263">
        <f t="shared" si="79"/>
        <v>1695.7583486018771</v>
      </c>
      <c r="BK114" s="155">
        <f t="shared" si="79"/>
        <v>494.16844602609729</v>
      </c>
      <c r="BL114" s="155">
        <f t="shared" si="79"/>
        <v>481.12526879983102</v>
      </c>
      <c r="BM114" s="155">
        <f t="shared" si="79"/>
        <v>450.50423435548254</v>
      </c>
      <c r="BN114" s="155">
        <f t="shared" si="79"/>
        <v>583.44379379785948</v>
      </c>
      <c r="BO114" s="263">
        <f t="shared" si="79"/>
        <v>2009.2417429792706</v>
      </c>
      <c r="BP114" s="155">
        <f t="shared" si="79"/>
        <v>547.01238661929051</v>
      </c>
      <c r="BQ114" s="155">
        <f t="shared" si="79"/>
        <v>576.16302064874958</v>
      </c>
      <c r="BR114" s="155">
        <f t="shared" si="79"/>
        <v>572.04336685723752</v>
      </c>
      <c r="BS114" s="155">
        <f t="shared" si="79"/>
        <v>736.06224812075936</v>
      </c>
      <c r="BT114" s="263">
        <f t="shared" si="79"/>
        <v>2431.2810222460371</v>
      </c>
      <c r="BU114" s="155">
        <f t="shared" si="79"/>
        <v>654.82070328288137</v>
      </c>
      <c r="BV114" s="155">
        <f t="shared" si="79"/>
        <v>696.9332386849062</v>
      </c>
      <c r="BW114" s="155">
        <f t="shared" si="79"/>
        <v>675.66537976551842</v>
      </c>
      <c r="BX114" s="155">
        <f t="shared" si="79"/>
        <v>877.86784368577605</v>
      </c>
      <c r="BY114" s="263">
        <f t="shared" si="79"/>
        <v>2905.2871654190822</v>
      </c>
      <c r="BZ114" s="155">
        <f t="shared" si="79"/>
        <v>813.42318565110486</v>
      </c>
      <c r="CA114" s="155">
        <f t="shared" si="79"/>
        <v>868.56539129382463</v>
      </c>
      <c r="CB114" s="155">
        <f t="shared" si="79"/>
        <v>866.89759965033454</v>
      </c>
      <c r="CC114" s="155">
        <f t="shared" si="79"/>
        <v>1120.0147073418441</v>
      </c>
      <c r="CD114" s="263">
        <f t="shared" si="79"/>
        <v>3668.9008839371081</v>
      </c>
      <c r="CE114" s="277"/>
    </row>
    <row r="115" spans="1:91" ht="12.75" customHeight="1" thickBot="1">
      <c r="A115" s="207"/>
      <c r="B115" s="265" t="s">
        <v>146</v>
      </c>
      <c r="C115" s="266"/>
      <c r="D115" s="266"/>
      <c r="E115" s="266"/>
      <c r="F115" s="266"/>
      <c r="G115" s="267"/>
      <c r="H115" s="266"/>
      <c r="I115" s="266"/>
      <c r="J115" s="266"/>
      <c r="K115" s="266"/>
      <c r="L115" s="267"/>
      <c r="M115" s="266"/>
      <c r="N115" s="266"/>
      <c r="O115" s="266"/>
      <c r="P115" s="266"/>
      <c r="Q115" s="267"/>
      <c r="R115" s="266"/>
      <c r="S115" s="266"/>
      <c r="T115" s="266"/>
      <c r="U115" s="266"/>
      <c r="V115" s="267"/>
      <c r="W115" s="266"/>
      <c r="X115" s="266"/>
      <c r="Y115" s="266"/>
      <c r="Z115" s="266"/>
      <c r="AA115" s="267"/>
      <c r="AB115" s="266"/>
      <c r="AC115" s="266"/>
      <c r="AD115" s="266"/>
      <c r="AE115" s="266"/>
      <c r="AF115" s="267"/>
      <c r="AG115" s="266"/>
      <c r="AH115" s="266"/>
      <c r="AI115" s="266"/>
      <c r="AJ115" s="266"/>
      <c r="AK115" s="268"/>
      <c r="AL115" s="269"/>
      <c r="AM115" s="269"/>
      <c r="AN115" s="269"/>
      <c r="AO115" s="269"/>
      <c r="AP115" s="268">
        <f t="shared" ref="AP115:CD115" si="80">+AP114/AP143</f>
        <v>0.73107015220957294</v>
      </c>
      <c r="AQ115" s="269">
        <f t="shared" si="80"/>
        <v>0.2136989817746214</v>
      </c>
      <c r="AR115" s="269">
        <f t="shared" si="80"/>
        <v>0.22147407695532148</v>
      </c>
      <c r="AS115" s="269">
        <f t="shared" si="80"/>
        <v>0.1807909604519774</v>
      </c>
      <c r="AT115" s="269">
        <f t="shared" si="80"/>
        <v>0.22820306204673649</v>
      </c>
      <c r="AU115" s="268">
        <f t="shared" si="80"/>
        <v>0.85629093293491776</v>
      </c>
      <c r="AV115" s="269">
        <f t="shared" si="80"/>
        <v>0.23646572767318538</v>
      </c>
      <c r="AW115" s="269">
        <f t="shared" si="80"/>
        <v>0.2667946257197697</v>
      </c>
      <c r="AX115" s="269">
        <f>+AX114/AX143</f>
        <v>0.24419270916745853</v>
      </c>
      <c r="AY115" s="269">
        <f>+AY114/AY143</f>
        <v>0.30002413382204324</v>
      </c>
      <c r="AZ115" s="268">
        <f t="shared" si="80"/>
        <v>1.0475170182818148</v>
      </c>
      <c r="BA115" s="269">
        <f t="shared" si="80"/>
        <v>0.30547766932860104</v>
      </c>
      <c r="BB115" s="269">
        <f t="shared" si="80"/>
        <v>0.27732180763424302</v>
      </c>
      <c r="BC115" s="269">
        <f>+BC114/BC143</f>
        <v>0.27406847076274798</v>
      </c>
      <c r="BD115" s="269">
        <f t="shared" si="80"/>
        <v>0.33590345289976531</v>
      </c>
      <c r="BE115" s="268">
        <f t="shared" si="80"/>
        <v>1.1928820233554269</v>
      </c>
      <c r="BF115" s="269">
        <f t="shared" si="80"/>
        <v>0.33983046558704455</v>
      </c>
      <c r="BG115" s="269">
        <f t="shared" si="80"/>
        <v>0.32646163586334526</v>
      </c>
      <c r="BH115" s="269">
        <f t="shared" si="80"/>
        <v>0.32405598918842848</v>
      </c>
      <c r="BI115" s="269">
        <f t="shared" si="80"/>
        <v>0.39865890887346772</v>
      </c>
      <c r="BJ115" s="268">
        <f t="shared" si="80"/>
        <v>1.3893964347413987</v>
      </c>
      <c r="BK115" s="269">
        <f t="shared" si="80"/>
        <v>0.40605459821372003</v>
      </c>
      <c r="BL115" s="269">
        <f t="shared" si="80"/>
        <v>0.39613583617181675</v>
      </c>
      <c r="BM115" s="269">
        <f t="shared" si="80"/>
        <v>0.37170736037226237</v>
      </c>
      <c r="BN115" s="269">
        <f t="shared" si="80"/>
        <v>0.48215352558006208</v>
      </c>
      <c r="BO115" s="268">
        <f t="shared" si="80"/>
        <v>1.6558736073233895</v>
      </c>
      <c r="BP115" s="269">
        <f t="shared" si="80"/>
        <v>0.45292777967095665</v>
      </c>
      <c r="BQ115" s="269">
        <f t="shared" si="80"/>
        <v>0.4779162967592685</v>
      </c>
      <c r="BR115" s="269">
        <f t="shared" si="80"/>
        <v>0.4752851154206198</v>
      </c>
      <c r="BS115" s="269">
        <f t="shared" si="80"/>
        <v>0.61225173327279792</v>
      </c>
      <c r="BT115" s="268">
        <f t="shared" si="80"/>
        <v>2.0180376409723104</v>
      </c>
      <c r="BU115" s="269">
        <f t="shared" si="80"/>
        <v>0.54596495481451823</v>
      </c>
      <c r="BV115" s="269">
        <f t="shared" si="80"/>
        <v>0.58233887869493528</v>
      </c>
      <c r="BW115" s="269">
        <f t="shared" si="80"/>
        <v>0.56574576406554478</v>
      </c>
      <c r="BX115" s="269">
        <f t="shared" si="80"/>
        <v>0.73615379112247847</v>
      </c>
      <c r="BY115" s="268">
        <f t="shared" si="80"/>
        <v>2.4296966295380682</v>
      </c>
      <c r="BZ115" s="269">
        <f t="shared" si="80"/>
        <v>0.68341084409877084</v>
      </c>
      <c r="CA115" s="269">
        <f t="shared" si="80"/>
        <v>0.7309898801377599</v>
      </c>
      <c r="CB115" s="269">
        <f t="shared" si="80"/>
        <v>0.73076441073984444</v>
      </c>
      <c r="CC115" s="269">
        <f t="shared" si="80"/>
        <v>0.94510773617095678</v>
      </c>
      <c r="CD115" s="268">
        <f t="shared" si="80"/>
        <v>3.0897313736487679</v>
      </c>
      <c r="CE115" s="156">
        <f>(BY115/BE115)^0.25-1</f>
        <v>0.19464436617440994</v>
      </c>
    </row>
    <row r="116" spans="1:91" ht="12.75" customHeight="1" thickTop="1">
      <c r="A116" s="279"/>
      <c r="B116" s="138" t="s">
        <v>21</v>
      </c>
      <c r="C116" s="280"/>
      <c r="D116" s="139"/>
      <c r="E116" s="139"/>
      <c r="F116" s="139"/>
      <c r="G116" s="140"/>
      <c r="H116" s="280"/>
      <c r="I116" s="139"/>
      <c r="J116" s="139"/>
      <c r="K116" s="139"/>
      <c r="L116" s="140"/>
      <c r="M116" s="280"/>
      <c r="N116" s="139"/>
      <c r="O116" s="139"/>
      <c r="P116" s="139"/>
      <c r="Q116" s="140"/>
      <c r="R116" s="280"/>
      <c r="S116" s="139"/>
      <c r="T116" s="139"/>
      <c r="U116" s="139"/>
      <c r="V116" s="140"/>
      <c r="W116" s="280"/>
      <c r="X116" s="139"/>
      <c r="Y116" s="139"/>
      <c r="Z116" s="139"/>
      <c r="AA116" s="140"/>
      <c r="AB116" s="280"/>
      <c r="AC116" s="139"/>
      <c r="AD116" s="139"/>
      <c r="AE116" s="139"/>
      <c r="AF116" s="140"/>
      <c r="AG116" s="280"/>
      <c r="AH116" s="139"/>
      <c r="AI116" s="139"/>
      <c r="AJ116" s="139"/>
      <c r="AK116" s="140"/>
      <c r="AL116" s="243"/>
      <c r="AM116" s="139"/>
      <c r="AN116" s="139"/>
      <c r="AO116" s="139"/>
      <c r="AP116" s="140"/>
      <c r="AQ116" s="139" t="str">
        <f t="shared" ref="AQ116:AY116" si="81">IF(ISERROR(AQ115/AL115-1), "NM", (AQ115/AL115-1))</f>
        <v>NM</v>
      </c>
      <c r="AR116" s="139" t="str">
        <f t="shared" si="81"/>
        <v>NM</v>
      </c>
      <c r="AS116" s="139" t="str">
        <f t="shared" si="81"/>
        <v>NM</v>
      </c>
      <c r="AT116" s="139" t="str">
        <f t="shared" si="81"/>
        <v>NM</v>
      </c>
      <c r="AU116" s="140">
        <f t="shared" si="81"/>
        <v>0.17128421991635112</v>
      </c>
      <c r="AV116" s="139">
        <f t="shared" si="81"/>
        <v>0.10653652024685378</v>
      </c>
      <c r="AW116" s="139">
        <f t="shared" si="81"/>
        <v>0.20463139247484419</v>
      </c>
      <c r="AX116" s="139">
        <f t="shared" si="81"/>
        <v>0.350690922582505</v>
      </c>
      <c r="AY116" s="139">
        <f t="shared" si="81"/>
        <v>0.31472439997583224</v>
      </c>
      <c r="AZ116" s="140">
        <f>+AZ115/AU115-1</f>
        <v>0.22331905896921489</v>
      </c>
      <c r="BA116" s="139">
        <f>IF(ISERROR(BA115/AV115-1), "NM", (BA115/AV115-1))</f>
        <v>0.29184754312809202</v>
      </c>
      <c r="BB116" s="139">
        <f>IF(ISERROR(BB115/AW115-1), "NM", (BB115/AW115-1))</f>
        <v>3.9457998398853222E-2</v>
      </c>
      <c r="BC116" s="139">
        <f>IF(ISERROR(BC115/AX115-1), "NM", (BC115/AX115-1))</f>
        <v>0.12234501880562587</v>
      </c>
      <c r="BD116" s="139">
        <f>IF(ISERROR(BD115/AY115-1), "NM", (BD115/AY115-1))</f>
        <v>0.1195881098652003</v>
      </c>
      <c r="BE116" s="140">
        <f>+BE115/AZ115-1</f>
        <v>0.13877101998022567</v>
      </c>
      <c r="BF116" s="139">
        <f>IF(ISERROR(BF115/BA115-1), "NM", (BF115/BA115-1))</f>
        <v>0.11245599828604935</v>
      </c>
      <c r="BG116" s="139">
        <f>IF(ISERROR(BG115/BB115-1), "NM", (BG115/BB115-1))</f>
        <v>0.17719424465137013</v>
      </c>
      <c r="BH116" s="139">
        <f>IF(ISERROR(BH115/BC115-1), "NM", (BH115/BC115-1))</f>
        <v>0.1823906204408059</v>
      </c>
      <c r="BI116" s="139">
        <f>IF(ISERROR(BI115/BD115-1), "NM", (BI115/BD115-1))</f>
        <v>0.18682587342270884</v>
      </c>
      <c r="BJ116" s="140">
        <f>+BJ115/BE115-1</f>
        <v>0.16473918420968525</v>
      </c>
      <c r="BK116" s="139">
        <f>IF(ISERROR(BK115/BF115-1), "NM", (BK115/BF115-1))</f>
        <v>0.19487403082674115</v>
      </c>
      <c r="BL116" s="139">
        <f>IF(ISERROR(BL115/BG115-1), "NM", (BL115/BG115-1))</f>
        <v>0.21342232181191623</v>
      </c>
      <c r="BM116" s="139">
        <f>IF(ISERROR(BM115/BH115-1), "NM", (BM115/BH115-1))</f>
        <v>0.14704672270731001</v>
      </c>
      <c r="BN116" s="139">
        <f>IF(ISERROR(BN115/BI115-1), "NM", (BN115/BI115-1))</f>
        <v>0.20943873283186831</v>
      </c>
      <c r="BO116" s="140">
        <f>+BO115/BJ115-1</f>
        <v>0.19179347659085422</v>
      </c>
      <c r="BP116" s="139">
        <f>IF(ISERROR(BP115/BK115-1), "NM", (BP115/BK115-1))</f>
        <v>0.11543566225684199</v>
      </c>
      <c r="BQ116" s="139">
        <f>IF(ISERROR(BQ115/BL115-1), "NM", (BQ115/BL115-1))</f>
        <v>0.20644549954824321</v>
      </c>
      <c r="BR116" s="139">
        <f>IF(ISERROR(BR115/BM115-1), "NM", (BR115/BM115-1))</f>
        <v>0.27865403295922087</v>
      </c>
      <c r="BS116" s="139">
        <f>IF(ISERROR(BS115/BN115-1), "NM", (BS115/BN115-1))</f>
        <v>0.26982734915444051</v>
      </c>
      <c r="BT116" s="140">
        <f>+BT115/BO115-1</f>
        <v>0.21871478115671827</v>
      </c>
      <c r="BU116" s="139">
        <f>IF(ISERROR(BU115/BP115-1), "NM", (BU115/BP115-1))</f>
        <v>0.20541282588396603</v>
      </c>
      <c r="BV116" s="139">
        <f>IF(ISERROR(BV115/BQ115-1), "NM", (BV115/BQ115-1))</f>
        <v>0.21849554544122518</v>
      </c>
      <c r="BW116" s="139">
        <f>IF(ISERROR(BW115/BR115-1), "NM", (BW115/BR115-1))</f>
        <v>0.19032922704694588</v>
      </c>
      <c r="BX116" s="139">
        <f>IF(ISERROR(BX115/BS115-1), "NM", (BX115/BS115-1))</f>
        <v>0.20237110181356432</v>
      </c>
      <c r="BY116" s="140">
        <f>+BY115/BT115-1</f>
        <v>0.20398974737032982</v>
      </c>
      <c r="BZ116" s="139">
        <f>IF(ISERROR(BZ115/BU115-1), "NM", (BZ115/BU115-1))</f>
        <v>0.25174855651851757</v>
      </c>
      <c r="CA116" s="139">
        <f>IF(ISERROR(CA115/BV115-1), "NM", (CA115/BV115-1))</f>
        <v>0.25526545947947454</v>
      </c>
      <c r="CB116" s="139">
        <f>IF(ISERROR(CB115/BW115-1), "NM", (CB115/BW115-1))</f>
        <v>0.29168339765983875</v>
      </c>
      <c r="CC116" s="139">
        <f>IF(ISERROR(CC115/BX115-1), "NM", (CC115/BX115-1))</f>
        <v>0.28384550561081512</v>
      </c>
      <c r="CD116" s="140">
        <f>+CD115/BY115-1</f>
        <v>0.27165315047425698</v>
      </c>
      <c r="CE116" s="274">
        <f>+(BT115/BE115)^(1/3)-1</f>
        <v>0.19154538677047261</v>
      </c>
      <c r="CL116" s="160"/>
      <c r="CM116" s="160"/>
    </row>
    <row r="117" spans="1:91" ht="12.75" customHeight="1">
      <c r="A117" s="279"/>
      <c r="B117" s="236"/>
      <c r="C117" s="280"/>
      <c r="D117" s="139"/>
      <c r="E117" s="139"/>
      <c r="F117" s="139"/>
      <c r="G117" s="140"/>
      <c r="H117" s="280"/>
      <c r="I117" s="139"/>
      <c r="J117" s="139"/>
      <c r="K117" s="139"/>
      <c r="L117" s="140"/>
      <c r="M117" s="280"/>
      <c r="N117" s="139"/>
      <c r="O117" s="139"/>
      <c r="P117" s="139"/>
      <c r="Q117" s="140"/>
      <c r="R117" s="280"/>
      <c r="S117" s="139"/>
      <c r="T117" s="139"/>
      <c r="U117" s="139"/>
      <c r="V117" s="140"/>
      <c r="W117" s="280"/>
      <c r="X117" s="139"/>
      <c r="Y117" s="139"/>
      <c r="Z117" s="139"/>
      <c r="AA117" s="140"/>
      <c r="AB117" s="280"/>
      <c r="AC117" s="139"/>
      <c r="AD117" s="139"/>
      <c r="AE117" s="139"/>
      <c r="AF117" s="140"/>
      <c r="AG117" s="280"/>
      <c r="AH117" s="139"/>
      <c r="AI117" s="139"/>
      <c r="AJ117" s="139"/>
      <c r="AK117" s="140"/>
      <c r="AL117" s="243"/>
      <c r="AM117" s="139"/>
      <c r="AN117" s="139"/>
      <c r="AO117" s="139"/>
      <c r="AP117" s="140"/>
      <c r="AQ117" s="139"/>
      <c r="AR117" s="139"/>
      <c r="AS117" s="139"/>
      <c r="AT117" s="139"/>
      <c r="AU117" s="140"/>
      <c r="AV117" s="139"/>
      <c r="AW117" s="139"/>
      <c r="AX117" s="139"/>
      <c r="AY117" s="139"/>
      <c r="AZ117" s="140"/>
      <c r="BA117" s="139"/>
      <c r="BB117" s="139"/>
      <c r="BC117" s="139"/>
      <c r="BD117" s="139"/>
      <c r="BE117" s="140"/>
      <c r="BF117" s="139"/>
      <c r="BG117" s="139"/>
      <c r="BH117" s="139"/>
      <c r="BI117" s="139"/>
      <c r="BJ117" s="140"/>
      <c r="BK117" s="139"/>
      <c r="BL117" s="139"/>
      <c r="BM117" s="139"/>
      <c r="BN117" s="139"/>
      <c r="BO117" s="140"/>
      <c r="BP117" s="139"/>
      <c r="BQ117" s="139"/>
      <c r="BR117" s="139"/>
      <c r="BS117" s="139"/>
      <c r="BT117" s="140"/>
      <c r="BU117" s="139"/>
      <c r="BV117" s="139"/>
      <c r="BW117" s="139"/>
      <c r="BX117" s="139"/>
      <c r="BY117" s="140"/>
      <c r="BZ117" s="139"/>
      <c r="CA117" s="139"/>
      <c r="CB117" s="139"/>
      <c r="CC117" s="139"/>
      <c r="CD117" s="140"/>
      <c r="CE117" s="274"/>
      <c r="CL117" s="160"/>
      <c r="CM117" s="160"/>
    </row>
    <row r="118" spans="1:91" ht="12.75" customHeight="1">
      <c r="A118" s="279"/>
      <c r="B118" s="281" t="s">
        <v>147</v>
      </c>
      <c r="C118" s="282"/>
      <c r="D118" s="282"/>
      <c r="E118" s="282"/>
      <c r="F118" s="282"/>
      <c r="G118" s="283"/>
      <c r="H118" s="282"/>
      <c r="I118" s="282"/>
      <c r="J118" s="282"/>
      <c r="K118" s="282"/>
      <c r="L118" s="283"/>
      <c r="M118" s="282"/>
      <c r="N118" s="282"/>
      <c r="O118" s="282"/>
      <c r="P118" s="282"/>
      <c r="Q118" s="283"/>
      <c r="R118" s="282"/>
      <c r="S118" s="282"/>
      <c r="T118" s="282"/>
      <c r="U118" s="282"/>
      <c r="V118" s="283"/>
      <c r="W118" s="282"/>
      <c r="X118" s="282"/>
      <c r="Y118" s="282"/>
      <c r="Z118" s="282"/>
      <c r="AA118" s="283"/>
      <c r="AB118" s="282"/>
      <c r="AC118" s="282"/>
      <c r="AD118" s="282"/>
      <c r="AE118" s="282"/>
      <c r="AF118" s="283"/>
      <c r="AG118" s="282"/>
      <c r="AH118" s="282"/>
      <c r="AI118" s="282"/>
      <c r="AJ118" s="282"/>
      <c r="AK118" s="283">
        <f>AK112-AK115</f>
        <v>0</v>
      </c>
      <c r="AL118" s="284"/>
      <c r="AM118" s="284"/>
      <c r="AN118" s="284"/>
      <c r="AO118" s="284"/>
      <c r="AP118" s="283">
        <f>AP112-AP115</f>
        <v>-0.57160877729816262</v>
      </c>
      <c r="AQ118" s="284">
        <f>AQ104-AQ80*(1-AQ102)</f>
        <v>272.67990074441684</v>
      </c>
      <c r="AR118" s="284">
        <f>AR104-AR80*(1-AR102)</f>
        <v>280.60765550239233</v>
      </c>
      <c r="AS118" s="284">
        <f>AS104-AS80*(1-AS102)</f>
        <v>226.16949152542372</v>
      </c>
      <c r="AT118" s="284">
        <f>AT104-AT80*(1-AT102)</f>
        <v>283.2</v>
      </c>
      <c r="AU118" s="283">
        <f>SUM(AQ118:AT118)</f>
        <v>1062.6570477722328</v>
      </c>
      <c r="AV118" s="284">
        <f>AV104-AV80*(1-AV102)</f>
        <v>290.61637931034483</v>
      </c>
      <c r="AW118" s="284">
        <f>AW104-AW80*(1-AW102)</f>
        <v>326.55662188099808</v>
      </c>
      <c r="AX118" s="284">
        <f>AX104-AX80*(1-AX102)</f>
        <v>299.62445414847161</v>
      </c>
      <c r="AY118" s="284">
        <f>AY104-AY80*(1-AY102)</f>
        <v>369.02968460111316</v>
      </c>
      <c r="AZ118" s="283">
        <f>SUM(AV118:AY118)</f>
        <v>1285.8271399409277</v>
      </c>
      <c r="BA118" s="284">
        <f>BA104-BA80*(1-BA102)</f>
        <v>374.21014492753625</v>
      </c>
      <c r="BB118" s="284">
        <f>BB104-BB80*(1-BB102)</f>
        <v>336.94599627560524</v>
      </c>
      <c r="BC118" s="284">
        <f>BC104-BC80*(1-BC102)</f>
        <v>332.71912350597609</v>
      </c>
      <c r="BD118" s="284">
        <f>BD104-BD80*(1-BD102)</f>
        <v>408.45859872611464</v>
      </c>
      <c r="BE118" s="283">
        <f>SUM(BA118:BD118)</f>
        <v>1452.3338634352322</v>
      </c>
      <c r="BF118" s="284">
        <f>BF104-BF80*(1-BF102)</f>
        <v>413.23384615384617</v>
      </c>
      <c r="BG118" s="284">
        <f>BG104-BG80*(1-BG102)</f>
        <v>396.6508875739645</v>
      </c>
      <c r="BH118" s="284">
        <f>BH104-BH80*(1-BH102)</f>
        <v>396.32047477744806</v>
      </c>
      <c r="BI118" s="284">
        <f>BI104-BI80*(1-BI102)</f>
        <v>489.55314009661834</v>
      </c>
      <c r="BJ118" s="283">
        <f>SUM(BF118:BI118)</f>
        <v>1695.7583486018771</v>
      </c>
      <c r="BK118" s="284">
        <f>BK104-BK80*(1-BK102)</f>
        <v>494.16844602609729</v>
      </c>
      <c r="BL118" s="284">
        <f>BL104-BL80*(1-BL102)</f>
        <v>481.12526879983102</v>
      </c>
      <c r="BM118" s="284">
        <f>BM104-BM80*(1-BM102)</f>
        <v>450.50423435548254</v>
      </c>
      <c r="BN118" s="284">
        <f>BN104-BN80*(1-BN102)</f>
        <v>583.44379379785937</v>
      </c>
      <c r="BO118" s="283">
        <f>SUM(BK118:BN118)</f>
        <v>2009.2417429792702</v>
      </c>
      <c r="BP118" s="284">
        <f>BP104-BP80*(1-BP102)</f>
        <v>547.01238661929051</v>
      </c>
      <c r="BQ118" s="284">
        <f>BQ104-BQ80*(1-BQ102)</f>
        <v>576.16302064874958</v>
      </c>
      <c r="BR118" s="284">
        <f>BR104-BR80*(1-BR102)</f>
        <v>572.04336685723763</v>
      </c>
      <c r="BS118" s="284">
        <f>BS104-BS80*(1-BS102)</f>
        <v>736.06224812075948</v>
      </c>
      <c r="BT118" s="283">
        <f>SUM(BP118:BS118)</f>
        <v>2431.2810222460375</v>
      </c>
      <c r="BU118" s="284">
        <f>BU104-BU80*(1-BU102)</f>
        <v>654.82070328288137</v>
      </c>
      <c r="BV118" s="284">
        <f>BV104-BV80*(1-BV102)</f>
        <v>696.9332386849062</v>
      </c>
      <c r="BW118" s="284">
        <f>BW104-BW80*(1-BW102)</f>
        <v>675.66537976551842</v>
      </c>
      <c r="BX118" s="284">
        <f>BX104-BX80*(1-BX102)</f>
        <v>877.86784368577628</v>
      </c>
      <c r="BY118" s="283">
        <f>SUM(BU118:BX118)</f>
        <v>2905.2871654190822</v>
      </c>
      <c r="BZ118" s="284">
        <f>BZ104-BZ80*(1-BZ102)</f>
        <v>813.42318565110497</v>
      </c>
      <c r="CA118" s="284">
        <f>CA104-CA80*(1-CA102)</f>
        <v>868.56539129382463</v>
      </c>
      <c r="CB118" s="284">
        <f>CB104-CB80*(1-CB102)</f>
        <v>866.89759965033466</v>
      </c>
      <c r="CC118" s="284">
        <f>CC104-CC80*(1-CC102)</f>
        <v>1120.0147073418441</v>
      </c>
      <c r="CD118" s="283">
        <f>SUM(BZ118:CC118)</f>
        <v>3668.9008839371081</v>
      </c>
      <c r="CE118" s="274"/>
      <c r="CL118" s="160"/>
      <c r="CM118" s="160"/>
    </row>
    <row r="119" spans="1:91" ht="12.75" customHeight="1">
      <c r="A119" s="279"/>
      <c r="B119" s="236"/>
      <c r="C119" s="280"/>
      <c r="D119" s="139"/>
      <c r="E119" s="139"/>
      <c r="F119" s="139"/>
      <c r="G119" s="140"/>
      <c r="H119" s="280"/>
      <c r="I119" s="139"/>
      <c r="J119" s="139"/>
      <c r="K119" s="139"/>
      <c r="L119" s="140"/>
      <c r="M119" s="280"/>
      <c r="N119" s="139"/>
      <c r="O119" s="139"/>
      <c r="P119" s="139"/>
      <c r="Q119" s="140"/>
      <c r="R119" s="280"/>
      <c r="S119" s="139"/>
      <c r="T119" s="139"/>
      <c r="U119" s="139"/>
      <c r="V119" s="140"/>
      <c r="W119" s="280"/>
      <c r="X119" s="139"/>
      <c r="Y119" s="139"/>
      <c r="Z119" s="139"/>
      <c r="AA119" s="140"/>
      <c r="AB119" s="280"/>
      <c r="AC119" s="139"/>
      <c r="AD119" s="139"/>
      <c r="AE119" s="139"/>
      <c r="AF119" s="140"/>
      <c r="AG119" s="280"/>
      <c r="AH119" s="139"/>
      <c r="AI119" s="139"/>
      <c r="AJ119" s="139"/>
      <c r="AK119" s="140"/>
      <c r="AL119" s="243"/>
      <c r="AM119" s="139"/>
      <c r="AN119" s="139"/>
      <c r="AO119" s="139"/>
      <c r="AP119" s="140"/>
      <c r="AQ119" s="285">
        <f t="shared" ref="AQ119:CD119" si="82">AQ118/AQ143</f>
        <v>0.21369898177462135</v>
      </c>
      <c r="AR119" s="285">
        <f t="shared" si="82"/>
        <v>0.22147407695532148</v>
      </c>
      <c r="AS119" s="285">
        <f t="shared" si="82"/>
        <v>0.1807909604519774</v>
      </c>
      <c r="AT119" s="285">
        <f t="shared" si="82"/>
        <v>0.22820306204673649</v>
      </c>
      <c r="AU119" s="286">
        <f t="shared" si="82"/>
        <v>0.85629093293491765</v>
      </c>
      <c r="AV119" s="285">
        <f t="shared" si="82"/>
        <v>0.23646572767318538</v>
      </c>
      <c r="AW119" s="285">
        <f t="shared" si="82"/>
        <v>0.2667946257197697</v>
      </c>
      <c r="AX119" s="285">
        <f>AX118/AX143</f>
        <v>0.24419270916745853</v>
      </c>
      <c r="AY119" s="285">
        <f>AY118/AY143</f>
        <v>0.30002413382204324</v>
      </c>
      <c r="AZ119" s="286">
        <f t="shared" si="82"/>
        <v>1.0475170182818148</v>
      </c>
      <c r="BA119" s="285">
        <f t="shared" si="82"/>
        <v>0.30547766932860104</v>
      </c>
      <c r="BB119" s="285">
        <f t="shared" si="82"/>
        <v>0.27732180763424302</v>
      </c>
      <c r="BC119" s="285">
        <f>BC118/BC143</f>
        <v>0.27406847076274798</v>
      </c>
      <c r="BD119" s="285">
        <f t="shared" si="82"/>
        <v>0.33590345289976531</v>
      </c>
      <c r="BE119" s="286">
        <f t="shared" si="82"/>
        <v>1.1928820233554269</v>
      </c>
      <c r="BF119" s="285">
        <f t="shared" si="82"/>
        <v>0.33983046558704455</v>
      </c>
      <c r="BG119" s="285">
        <f t="shared" si="82"/>
        <v>0.32646163586334526</v>
      </c>
      <c r="BH119" s="285">
        <f t="shared" si="82"/>
        <v>0.32405598918842848</v>
      </c>
      <c r="BI119" s="285">
        <f t="shared" si="82"/>
        <v>0.39865890887346772</v>
      </c>
      <c r="BJ119" s="286">
        <f t="shared" si="82"/>
        <v>1.3893964347413987</v>
      </c>
      <c r="BK119" s="285">
        <f t="shared" si="82"/>
        <v>0.40605459821372003</v>
      </c>
      <c r="BL119" s="285">
        <f t="shared" si="82"/>
        <v>0.39613583617181675</v>
      </c>
      <c r="BM119" s="285">
        <f t="shared" si="82"/>
        <v>0.37170736037226237</v>
      </c>
      <c r="BN119" s="285">
        <f t="shared" si="82"/>
        <v>0.48215352558006197</v>
      </c>
      <c r="BO119" s="286">
        <f t="shared" si="82"/>
        <v>1.6558736073233891</v>
      </c>
      <c r="BP119" s="285">
        <f t="shared" si="82"/>
        <v>0.45292777967095665</v>
      </c>
      <c r="BQ119" s="285">
        <f t="shared" si="82"/>
        <v>0.4779162967592685</v>
      </c>
      <c r="BR119" s="285">
        <f t="shared" si="82"/>
        <v>0.47528511542061991</v>
      </c>
      <c r="BS119" s="285">
        <f t="shared" si="82"/>
        <v>0.61225173327279803</v>
      </c>
      <c r="BT119" s="286">
        <f t="shared" si="82"/>
        <v>2.0180376409723109</v>
      </c>
      <c r="BU119" s="285">
        <f t="shared" si="82"/>
        <v>0.54596495481451823</v>
      </c>
      <c r="BV119" s="285">
        <f t="shared" si="82"/>
        <v>0.58233887869493528</v>
      </c>
      <c r="BW119" s="285">
        <f t="shared" si="82"/>
        <v>0.56574576406554478</v>
      </c>
      <c r="BX119" s="285">
        <f t="shared" si="82"/>
        <v>0.7361537911224787</v>
      </c>
      <c r="BY119" s="286">
        <f t="shared" si="82"/>
        <v>2.4296966295380682</v>
      </c>
      <c r="BZ119" s="285">
        <f t="shared" si="82"/>
        <v>0.68341084409877084</v>
      </c>
      <c r="CA119" s="285">
        <f t="shared" si="82"/>
        <v>0.7309898801377599</v>
      </c>
      <c r="CB119" s="285">
        <f t="shared" si="82"/>
        <v>0.73076441073984455</v>
      </c>
      <c r="CC119" s="285">
        <f t="shared" si="82"/>
        <v>0.94510773617095678</v>
      </c>
      <c r="CD119" s="286">
        <f t="shared" si="82"/>
        <v>3.0897313736487679</v>
      </c>
      <c r="CE119" s="274"/>
      <c r="CL119" s="160"/>
      <c r="CM119" s="160"/>
    </row>
    <row r="120" spans="1:91" ht="12.75" customHeight="1">
      <c r="A120" s="279"/>
      <c r="B120" s="236"/>
      <c r="C120" s="280"/>
      <c r="D120" s="139"/>
      <c r="E120" s="139"/>
      <c r="F120" s="139"/>
      <c r="G120" s="140"/>
      <c r="H120" s="280"/>
      <c r="I120" s="139"/>
      <c r="J120" s="139"/>
      <c r="K120" s="139"/>
      <c r="L120" s="140"/>
      <c r="M120" s="280"/>
      <c r="N120" s="139"/>
      <c r="O120" s="139"/>
      <c r="P120" s="139"/>
      <c r="Q120" s="140"/>
      <c r="R120" s="280"/>
      <c r="S120" s="139"/>
      <c r="T120" s="139"/>
      <c r="U120" s="139"/>
      <c r="V120" s="140"/>
      <c r="W120" s="280"/>
      <c r="X120" s="139"/>
      <c r="Y120" s="139"/>
      <c r="Z120" s="139"/>
      <c r="AA120" s="140"/>
      <c r="AB120" s="280"/>
      <c r="AC120" s="139"/>
      <c r="AD120" s="139"/>
      <c r="AE120" s="139"/>
      <c r="AF120" s="140"/>
      <c r="AG120" s="280"/>
      <c r="AH120" s="139"/>
      <c r="AI120" s="139"/>
      <c r="AJ120" s="139"/>
      <c r="AK120" s="140"/>
      <c r="AL120" s="243"/>
      <c r="AM120" s="139"/>
      <c r="AN120" s="139"/>
      <c r="AO120" s="139"/>
      <c r="AP120" s="140"/>
      <c r="AQ120" s="139"/>
      <c r="AR120" s="139"/>
      <c r="AS120" s="139"/>
      <c r="AT120" s="139"/>
      <c r="AU120" s="140"/>
      <c r="AV120" s="139"/>
      <c r="AW120" s="139"/>
      <c r="AX120" s="139"/>
      <c r="AY120" s="139"/>
      <c r="AZ120" s="140"/>
      <c r="BA120" s="139"/>
      <c r="BB120" s="139"/>
      <c r="BC120" s="139"/>
      <c r="BD120" s="139"/>
      <c r="BE120" s="140"/>
      <c r="BF120" s="139"/>
      <c r="BG120" s="139"/>
      <c r="BH120" s="139"/>
      <c r="BI120" s="309">
        <f>740-620</f>
        <v>120</v>
      </c>
      <c r="BJ120" s="140"/>
      <c r="BK120" s="139"/>
      <c r="BL120" s="139"/>
      <c r="BM120" s="139"/>
      <c r="BN120" s="139"/>
      <c r="BO120" s="140"/>
      <c r="BP120" s="139"/>
      <c r="BQ120" s="139"/>
      <c r="BR120" s="139"/>
      <c r="BS120" s="139"/>
      <c r="BT120" s="140"/>
      <c r="BU120" s="139"/>
      <c r="BV120" s="139"/>
      <c r="BW120" s="139"/>
      <c r="BX120" s="139"/>
      <c r="BY120" s="140"/>
      <c r="BZ120" s="139"/>
      <c r="CA120" s="139"/>
      <c r="CB120" s="139"/>
      <c r="CC120" s="139"/>
      <c r="CD120" s="140"/>
      <c r="CE120" s="274"/>
      <c r="CL120" s="160"/>
      <c r="CM120" s="160"/>
    </row>
    <row r="121" spans="1:91" ht="12.75" customHeight="1">
      <c r="A121" s="160"/>
      <c r="B121" s="287" t="s">
        <v>148</v>
      </c>
      <c r="C121" s="288"/>
      <c r="D121" s="288"/>
      <c r="E121" s="288"/>
      <c r="F121" s="288"/>
      <c r="G121" s="289"/>
      <c r="H121" s="288"/>
      <c r="I121" s="288"/>
      <c r="J121" s="288"/>
      <c r="K121" s="288"/>
      <c r="L121" s="289"/>
      <c r="M121" s="288"/>
      <c r="N121" s="288"/>
      <c r="O121" s="288"/>
      <c r="P121" s="288"/>
      <c r="Q121" s="289"/>
      <c r="R121" s="288"/>
      <c r="S121" s="288"/>
      <c r="T121" s="288"/>
      <c r="U121" s="288"/>
      <c r="V121" s="289"/>
      <c r="W121" s="288"/>
      <c r="X121" s="288"/>
      <c r="Y121" s="288"/>
      <c r="Z121" s="288"/>
      <c r="AA121" s="289"/>
      <c r="AB121" s="288"/>
      <c r="AC121" s="288"/>
      <c r="AD121" s="288"/>
      <c r="AE121" s="288"/>
      <c r="AF121" s="289"/>
      <c r="AG121" s="288"/>
      <c r="AH121" s="288"/>
      <c r="AI121" s="288"/>
      <c r="AJ121" s="288"/>
      <c r="AK121" s="289"/>
      <c r="AL121" s="290"/>
      <c r="AM121" s="290"/>
      <c r="AN121" s="290"/>
      <c r="AO121" s="290"/>
      <c r="AP121" s="291"/>
      <c r="AQ121" s="292"/>
      <c r="AR121" s="292"/>
      <c r="AS121" s="292"/>
      <c r="AT121" s="292"/>
      <c r="AU121" s="293"/>
      <c r="AV121" s="292"/>
      <c r="AW121" s="292"/>
      <c r="AX121" s="292"/>
      <c r="AY121" s="292"/>
      <c r="AZ121" s="293"/>
      <c r="BA121" s="292"/>
      <c r="BB121" s="292"/>
      <c r="BC121" s="292"/>
      <c r="BD121" s="292"/>
      <c r="BE121" s="293"/>
      <c r="BF121" s="292"/>
      <c r="BG121" s="292"/>
      <c r="BH121" s="292"/>
      <c r="BI121" s="292"/>
      <c r="BJ121" s="293"/>
      <c r="BK121" s="292"/>
      <c r="BL121" s="292"/>
      <c r="BM121" s="292"/>
      <c r="BN121" s="292"/>
      <c r="BO121" s="293"/>
      <c r="BP121" s="292"/>
      <c r="BQ121" s="292"/>
      <c r="BR121" s="292"/>
      <c r="BS121" s="292"/>
      <c r="BT121" s="293"/>
      <c r="BU121" s="292"/>
      <c r="BV121" s="292"/>
      <c r="BW121" s="292"/>
      <c r="BX121" s="292"/>
      <c r="BY121" s="293"/>
      <c r="BZ121" s="292"/>
      <c r="CA121" s="292"/>
      <c r="CB121" s="292"/>
      <c r="CC121" s="292"/>
      <c r="CD121" s="293"/>
      <c r="CE121" s="248"/>
    </row>
    <row r="122" spans="1:91" ht="12.75" customHeight="1" collapsed="1">
      <c r="A122" s="195"/>
      <c r="B122" s="131" t="s">
        <v>149</v>
      </c>
      <c r="C122" s="196"/>
      <c r="D122" s="196"/>
      <c r="E122" s="196"/>
      <c r="F122" s="196"/>
      <c r="G122" s="168"/>
      <c r="H122" s="196"/>
      <c r="I122" s="196"/>
      <c r="J122" s="196"/>
      <c r="K122" s="196"/>
      <c r="L122" s="168"/>
      <c r="M122" s="196"/>
      <c r="N122" s="196"/>
      <c r="O122" s="196"/>
      <c r="P122" s="196"/>
      <c r="Q122" s="168"/>
      <c r="R122" s="196"/>
      <c r="S122" s="196"/>
      <c r="T122" s="196"/>
      <c r="U122" s="196"/>
      <c r="V122" s="168"/>
      <c r="W122" s="196"/>
      <c r="X122" s="196"/>
      <c r="Y122" s="196"/>
      <c r="Z122" s="196"/>
      <c r="AA122" s="168"/>
      <c r="AB122" s="196"/>
      <c r="AC122" s="196"/>
      <c r="AD122" s="196"/>
      <c r="AE122" s="196"/>
      <c r="AF122" s="168"/>
      <c r="AG122" s="196"/>
      <c r="AH122" s="196"/>
      <c r="AI122" s="196"/>
      <c r="AJ122" s="196"/>
      <c r="AK122" s="169">
        <v>58</v>
      </c>
      <c r="AL122" s="116"/>
      <c r="AM122" s="116"/>
      <c r="AN122" s="116"/>
      <c r="AO122" s="116"/>
      <c r="AP122" s="169">
        <f>55+7</f>
        <v>62</v>
      </c>
      <c r="AQ122" s="196">
        <v>2</v>
      </c>
      <c r="AR122" s="196">
        <v>1</v>
      </c>
      <c r="AS122" s="196">
        <f>1-4</f>
        <v>-3</v>
      </c>
      <c r="AT122" s="196">
        <v>0</v>
      </c>
      <c r="AU122" s="224">
        <f t="shared" ref="AU122:AU135" si="83">SUM(AQ122:AT122)</f>
        <v>0</v>
      </c>
      <c r="AV122" s="116">
        <v>0</v>
      </c>
      <c r="AW122" s="116">
        <v>0</v>
      </c>
      <c r="AX122" s="116">
        <f>-12+1</f>
        <v>-11</v>
      </c>
      <c r="AY122" s="116">
        <v>0</v>
      </c>
      <c r="AZ122" s="169">
        <v>0</v>
      </c>
      <c r="BA122" s="116">
        <v>0</v>
      </c>
      <c r="BB122" s="116">
        <v>0</v>
      </c>
      <c r="BC122" s="116">
        <v>1</v>
      </c>
      <c r="BD122" s="116">
        <v>0</v>
      </c>
      <c r="BE122" s="144">
        <f>SUM(BA122:BD122)</f>
        <v>1</v>
      </c>
      <c r="BF122" s="116">
        <v>2</v>
      </c>
      <c r="BG122" s="116">
        <v>15</v>
      </c>
      <c r="BH122" s="116">
        <v>0</v>
      </c>
      <c r="BI122" s="116">
        <f>-317</f>
        <v>-317</v>
      </c>
      <c r="BJ122" s="144">
        <f>SUM(BF122:BI122)</f>
        <v>-300</v>
      </c>
      <c r="BK122" s="116">
        <v>25</v>
      </c>
      <c r="BL122" s="116">
        <v>0</v>
      </c>
      <c r="BM122" s="116">
        <v>0</v>
      </c>
      <c r="BN122" s="116">
        <v>0</v>
      </c>
      <c r="BO122" s="144">
        <f>SUM(BK122:BN122)</f>
        <v>25</v>
      </c>
      <c r="BP122" s="116">
        <v>0</v>
      </c>
      <c r="BQ122" s="116">
        <v>0</v>
      </c>
      <c r="BR122" s="116">
        <v>0</v>
      </c>
      <c r="BS122" s="116">
        <v>0</v>
      </c>
      <c r="BT122" s="144">
        <f>SUM(BP122:BS122)</f>
        <v>0</v>
      </c>
      <c r="BU122" s="116">
        <v>0</v>
      </c>
      <c r="BV122" s="116">
        <v>0</v>
      </c>
      <c r="BW122" s="116">
        <v>0</v>
      </c>
      <c r="BX122" s="116">
        <v>0</v>
      </c>
      <c r="BY122" s="144">
        <f>SUM(BU122:BX122)</f>
        <v>0</v>
      </c>
      <c r="BZ122" s="116">
        <v>0</v>
      </c>
      <c r="CA122" s="116">
        <v>0</v>
      </c>
      <c r="CB122" s="116">
        <v>0</v>
      </c>
      <c r="CC122" s="116">
        <v>0</v>
      </c>
      <c r="CD122" s="144">
        <f>SUM(BZ122:CC122)</f>
        <v>0</v>
      </c>
      <c r="CE122" s="205"/>
      <c r="CL122" s="160"/>
      <c r="CM122" s="160"/>
    </row>
    <row r="123" spans="1:91" ht="12.75" customHeight="1">
      <c r="A123" s="218"/>
      <c r="B123" s="131" t="s">
        <v>150</v>
      </c>
      <c r="C123" s="139"/>
      <c r="D123" s="139"/>
      <c r="E123" s="139"/>
      <c r="F123" s="139"/>
      <c r="G123" s="140"/>
      <c r="H123" s="139"/>
      <c r="I123" s="139"/>
      <c r="J123" s="139"/>
      <c r="K123" s="139"/>
      <c r="L123" s="140"/>
      <c r="M123" s="139"/>
      <c r="N123" s="139"/>
      <c r="O123" s="139"/>
      <c r="P123" s="139"/>
      <c r="Q123" s="140"/>
      <c r="R123" s="139"/>
      <c r="S123" s="139"/>
      <c r="T123" s="139"/>
      <c r="U123" s="139"/>
      <c r="V123" s="140"/>
      <c r="W123" s="139"/>
      <c r="X123" s="139"/>
      <c r="Y123" s="139"/>
      <c r="Z123" s="139"/>
      <c r="AA123" s="140"/>
      <c r="AB123" s="139"/>
      <c r="AC123" s="139"/>
      <c r="AD123" s="139"/>
      <c r="AE123" s="139"/>
      <c r="AF123" s="140"/>
      <c r="AG123" s="139"/>
      <c r="AH123" s="139"/>
      <c r="AI123" s="139"/>
      <c r="AJ123" s="139"/>
      <c r="AK123" s="140"/>
      <c r="AL123" s="139"/>
      <c r="AM123" s="139"/>
      <c r="AN123" s="139"/>
      <c r="AO123" s="139"/>
      <c r="AP123" s="140"/>
      <c r="AQ123" s="197">
        <v>21</v>
      </c>
      <c r="AR123" s="100">
        <v>16</v>
      </c>
      <c r="AS123" s="100">
        <v>16</v>
      </c>
      <c r="AT123" s="100">
        <v>17</v>
      </c>
      <c r="AU123" s="224">
        <f>+SUM(AQ123:AT123)</f>
        <v>70</v>
      </c>
      <c r="AV123" s="197">
        <v>16</v>
      </c>
      <c r="AW123" s="100">
        <v>20</v>
      </c>
      <c r="AX123" s="100">
        <v>20</v>
      </c>
      <c r="AY123" s="100">
        <v>29</v>
      </c>
      <c r="AZ123" s="144">
        <f>+SUM(AV123:AY123)</f>
        <v>85</v>
      </c>
      <c r="BA123" s="100">
        <v>34</v>
      </c>
      <c r="BB123" s="100">
        <v>35</v>
      </c>
      <c r="BC123" s="100">
        <v>32</v>
      </c>
      <c r="BD123" s="100">
        <f>BC123</f>
        <v>32</v>
      </c>
      <c r="BE123" s="144">
        <f>+SUM(BA123:BD123)</f>
        <v>133</v>
      </c>
      <c r="BF123" s="100">
        <v>23</v>
      </c>
      <c r="BG123" s="100">
        <v>22</v>
      </c>
      <c r="BH123" s="100">
        <v>26</v>
      </c>
      <c r="BI123" s="100">
        <v>58</v>
      </c>
      <c r="BJ123" s="144">
        <f>+SUM(BF123:BI123)</f>
        <v>129</v>
      </c>
      <c r="BK123" s="100">
        <v>29</v>
      </c>
      <c r="BL123" s="145">
        <v>15</v>
      </c>
      <c r="BM123" s="145">
        <v>15</v>
      </c>
      <c r="BN123" s="145">
        <v>15</v>
      </c>
      <c r="BO123" s="144">
        <f>+SUM(BK123:BN123)</f>
        <v>74</v>
      </c>
      <c r="BP123" s="145">
        <v>15</v>
      </c>
      <c r="BQ123" s="145">
        <v>15</v>
      </c>
      <c r="BR123" s="145">
        <v>15</v>
      </c>
      <c r="BS123" s="145">
        <v>15</v>
      </c>
      <c r="BT123" s="144">
        <f>+SUM(BP123:BS123)</f>
        <v>60</v>
      </c>
      <c r="BU123" s="145">
        <v>15</v>
      </c>
      <c r="BV123" s="145">
        <v>15</v>
      </c>
      <c r="BW123" s="145">
        <v>15</v>
      </c>
      <c r="BX123" s="145">
        <v>15</v>
      </c>
      <c r="BY123" s="144">
        <f>+SUM(BU123:BX123)</f>
        <v>60</v>
      </c>
      <c r="BZ123" s="145">
        <v>15</v>
      </c>
      <c r="CA123" s="145">
        <v>15</v>
      </c>
      <c r="CB123" s="145">
        <v>15</v>
      </c>
      <c r="CC123" s="145">
        <v>15</v>
      </c>
      <c r="CD123" s="144">
        <f>+SUM(BZ123:CC123)</f>
        <v>60</v>
      </c>
      <c r="CE123" s="222"/>
      <c r="CL123" s="160"/>
      <c r="CM123" s="160"/>
    </row>
    <row r="124" spans="1:91" ht="12.75" customHeight="1">
      <c r="A124" s="195"/>
      <c r="B124" s="131" t="s">
        <v>151</v>
      </c>
      <c r="C124" s="196"/>
      <c r="D124" s="196"/>
      <c r="E124" s="196"/>
      <c r="F124" s="196"/>
      <c r="G124" s="168"/>
      <c r="H124" s="196"/>
      <c r="I124" s="196"/>
      <c r="J124" s="196"/>
      <c r="K124" s="196"/>
      <c r="L124" s="168"/>
      <c r="M124" s="196"/>
      <c r="N124" s="196"/>
      <c r="O124" s="196"/>
      <c r="P124" s="196"/>
      <c r="Q124" s="168"/>
      <c r="R124" s="196"/>
      <c r="S124" s="196"/>
      <c r="T124" s="196"/>
      <c r="U124" s="196"/>
      <c r="V124" s="168"/>
      <c r="W124" s="196"/>
      <c r="X124" s="196"/>
      <c r="Y124" s="196"/>
      <c r="Z124" s="196"/>
      <c r="AA124" s="168"/>
      <c r="AB124" s="196"/>
      <c r="AC124" s="196"/>
      <c r="AD124" s="196"/>
      <c r="AE124" s="196"/>
      <c r="AF124" s="168"/>
      <c r="AG124" s="196"/>
      <c r="AH124" s="196"/>
      <c r="AI124" s="196"/>
      <c r="AJ124" s="196"/>
      <c r="AK124" s="169">
        <v>19</v>
      </c>
      <c r="AL124" s="116"/>
      <c r="AM124" s="116"/>
      <c r="AN124" s="116"/>
      <c r="AO124" s="116"/>
      <c r="AP124" s="169">
        <v>-4</v>
      </c>
      <c r="AQ124" s="116">
        <v>0</v>
      </c>
      <c r="AR124" s="116">
        <v>0</v>
      </c>
      <c r="AS124" s="116">
        <v>0</v>
      </c>
      <c r="AT124" s="116">
        <v>1</v>
      </c>
      <c r="AU124" s="224">
        <f t="shared" si="83"/>
        <v>1</v>
      </c>
      <c r="AV124" s="116">
        <v>48</v>
      </c>
      <c r="AW124" s="116">
        <v>1</v>
      </c>
      <c r="AX124" s="116">
        <v>0</v>
      </c>
      <c r="AY124" s="116">
        <v>1</v>
      </c>
      <c r="AZ124" s="144">
        <f>SUM(AV124:AY124)</f>
        <v>50</v>
      </c>
      <c r="BA124" s="116">
        <v>0</v>
      </c>
      <c r="BB124" s="116">
        <v>0</v>
      </c>
      <c r="BC124" s="116">
        <v>0</v>
      </c>
      <c r="BD124" s="116">
        <v>0</v>
      </c>
      <c r="BE124" s="144">
        <f>SUM(BA124:BD124)</f>
        <v>0</v>
      </c>
      <c r="BF124" s="116">
        <v>40</v>
      </c>
      <c r="BG124" s="116">
        <v>0</v>
      </c>
      <c r="BH124" s="116">
        <v>0</v>
      </c>
      <c r="BI124" s="116">
        <v>0</v>
      </c>
      <c r="BJ124" s="144">
        <f>SUM(BF124:BI124)</f>
        <v>40</v>
      </c>
      <c r="BK124" s="116">
        <v>0</v>
      </c>
      <c r="BL124" s="116">
        <v>0</v>
      </c>
      <c r="BM124" s="116">
        <v>0</v>
      </c>
      <c r="BN124" s="116">
        <v>0</v>
      </c>
      <c r="BO124" s="144">
        <f>SUM(BK124:BN124)</f>
        <v>0</v>
      </c>
      <c r="BP124" s="116">
        <v>0</v>
      </c>
      <c r="BQ124" s="116">
        <v>0</v>
      </c>
      <c r="BR124" s="116">
        <v>0</v>
      </c>
      <c r="BS124" s="116">
        <v>0</v>
      </c>
      <c r="BT124" s="144">
        <f>SUM(BP124:BS124)</f>
        <v>0</v>
      </c>
      <c r="BU124" s="116">
        <v>0</v>
      </c>
      <c r="BV124" s="116">
        <v>0</v>
      </c>
      <c r="BW124" s="116">
        <v>0</v>
      </c>
      <c r="BX124" s="116">
        <v>0</v>
      </c>
      <c r="BY124" s="144">
        <f>SUM(BU124:BX124)</f>
        <v>0</v>
      </c>
      <c r="BZ124" s="116">
        <v>0</v>
      </c>
      <c r="CA124" s="116">
        <v>0</v>
      </c>
      <c r="CB124" s="116">
        <v>0</v>
      </c>
      <c r="CC124" s="116">
        <v>0</v>
      </c>
      <c r="CD124" s="144">
        <f>SUM(BZ124:CC124)</f>
        <v>0</v>
      </c>
      <c r="CE124" s="205"/>
      <c r="CL124" s="160"/>
      <c r="CM124" s="160"/>
    </row>
    <row r="125" spans="1:91" ht="12.75" customHeight="1">
      <c r="A125" s="195"/>
      <c r="B125" s="131" t="s">
        <v>152</v>
      </c>
      <c r="C125" s="196"/>
      <c r="D125" s="196"/>
      <c r="E125" s="196"/>
      <c r="F125" s="196"/>
      <c r="G125" s="168"/>
      <c r="H125" s="196"/>
      <c r="I125" s="196"/>
      <c r="J125" s="196"/>
      <c r="K125" s="196"/>
      <c r="L125" s="168"/>
      <c r="M125" s="196"/>
      <c r="N125" s="196"/>
      <c r="O125" s="196"/>
      <c r="P125" s="196"/>
      <c r="Q125" s="168"/>
      <c r="R125" s="196"/>
      <c r="S125" s="196"/>
      <c r="T125" s="196"/>
      <c r="U125" s="196"/>
      <c r="V125" s="168"/>
      <c r="W125" s="196"/>
      <c r="X125" s="196"/>
      <c r="Y125" s="196"/>
      <c r="Z125" s="196"/>
      <c r="AA125" s="168"/>
      <c r="AB125" s="196"/>
      <c r="AC125" s="196"/>
      <c r="AD125" s="196"/>
      <c r="AE125" s="196"/>
      <c r="AF125" s="168"/>
      <c r="AG125" s="196"/>
      <c r="AH125" s="196"/>
      <c r="AI125" s="196"/>
      <c r="AJ125" s="196"/>
      <c r="AK125" s="169">
        <v>0</v>
      </c>
      <c r="AL125" s="116"/>
      <c r="AM125" s="116"/>
      <c r="AN125" s="116"/>
      <c r="AO125" s="116"/>
      <c r="AP125" s="169">
        <v>0</v>
      </c>
      <c r="AQ125" s="196">
        <v>0</v>
      </c>
      <c r="AR125" s="196">
        <v>0</v>
      </c>
      <c r="AS125" s="196">
        <v>0</v>
      </c>
      <c r="AT125" s="196">
        <v>0</v>
      </c>
      <c r="AU125" s="224">
        <f t="shared" si="83"/>
        <v>0</v>
      </c>
      <c r="AV125" s="116">
        <f>4+1</f>
        <v>5</v>
      </c>
      <c r="AW125" s="116">
        <v>9</v>
      </c>
      <c r="AX125" s="116">
        <f>3</f>
        <v>3</v>
      </c>
      <c r="AY125" s="116">
        <v>2</v>
      </c>
      <c r="AZ125" s="144">
        <f t="shared" ref="AZ125:AZ132" si="84">SUM(AV125:AY125)</f>
        <v>19</v>
      </c>
      <c r="BA125" s="116">
        <v>0</v>
      </c>
      <c r="BB125" s="116">
        <v>0</v>
      </c>
      <c r="BC125" s="116">
        <v>0</v>
      </c>
      <c r="BD125" s="116">
        <v>0</v>
      </c>
      <c r="BE125" s="144">
        <f t="shared" ref="BE125:BE131" si="85">SUM(BA125:BD125)</f>
        <v>0</v>
      </c>
      <c r="BF125" s="116">
        <v>0</v>
      </c>
      <c r="BG125" s="116">
        <v>0</v>
      </c>
      <c r="BH125" s="116">
        <v>0</v>
      </c>
      <c r="BI125" s="116">
        <v>0</v>
      </c>
      <c r="BJ125" s="144">
        <f t="shared" ref="BJ125:BJ131" si="86">SUM(BF125:BI125)</f>
        <v>0</v>
      </c>
      <c r="BK125" s="116">
        <v>0</v>
      </c>
      <c r="BL125" s="116">
        <v>0</v>
      </c>
      <c r="BM125" s="116">
        <v>0</v>
      </c>
      <c r="BN125" s="116">
        <v>0</v>
      </c>
      <c r="BO125" s="144">
        <f t="shared" ref="BO125:BO131" si="87">SUM(BK125:BN125)</f>
        <v>0</v>
      </c>
      <c r="BP125" s="116">
        <v>0</v>
      </c>
      <c r="BQ125" s="116">
        <v>0</v>
      </c>
      <c r="BR125" s="116">
        <v>0</v>
      </c>
      <c r="BS125" s="116">
        <v>0</v>
      </c>
      <c r="BT125" s="144">
        <f t="shared" ref="BT125:BT131" si="88">SUM(BP125:BS125)</f>
        <v>0</v>
      </c>
      <c r="BU125" s="116">
        <v>0</v>
      </c>
      <c r="BV125" s="116">
        <v>0</v>
      </c>
      <c r="BW125" s="116">
        <v>0</v>
      </c>
      <c r="BX125" s="116">
        <v>0</v>
      </c>
      <c r="BY125" s="144">
        <f t="shared" ref="BY125:BY131" si="89">SUM(BU125:BX125)</f>
        <v>0</v>
      </c>
      <c r="BZ125" s="116">
        <v>0</v>
      </c>
      <c r="CA125" s="116">
        <v>0</v>
      </c>
      <c r="CB125" s="116">
        <v>0</v>
      </c>
      <c r="CC125" s="116">
        <v>0</v>
      </c>
      <c r="CD125" s="144">
        <f t="shared" ref="CD125:CD131" si="90">SUM(BZ125:CC125)</f>
        <v>0</v>
      </c>
      <c r="CE125" s="205"/>
      <c r="CL125" s="160"/>
      <c r="CM125" s="160"/>
    </row>
    <row r="126" spans="1:91" ht="12.75" customHeight="1">
      <c r="A126" s="195"/>
      <c r="B126" s="131" t="s">
        <v>153</v>
      </c>
      <c r="C126" s="196"/>
      <c r="D126" s="196"/>
      <c r="E126" s="196"/>
      <c r="F126" s="196"/>
      <c r="G126" s="168"/>
      <c r="H126" s="196"/>
      <c r="I126" s="196"/>
      <c r="J126" s="196"/>
      <c r="K126" s="196"/>
      <c r="L126" s="168"/>
      <c r="M126" s="196"/>
      <c r="N126" s="196"/>
      <c r="O126" s="196"/>
      <c r="P126" s="196"/>
      <c r="Q126" s="168"/>
      <c r="R126" s="196"/>
      <c r="S126" s="196"/>
      <c r="T126" s="196"/>
      <c r="U126" s="196"/>
      <c r="V126" s="168"/>
      <c r="W126" s="196"/>
      <c r="X126" s="196"/>
      <c r="Y126" s="196"/>
      <c r="Z126" s="196"/>
      <c r="AA126" s="168"/>
      <c r="AB126" s="196"/>
      <c r="AC126" s="196"/>
      <c r="AD126" s="196"/>
      <c r="AE126" s="196"/>
      <c r="AF126" s="168"/>
      <c r="AG126" s="196"/>
      <c r="AH126" s="196"/>
      <c r="AI126" s="196"/>
      <c r="AJ126" s="196"/>
      <c r="AK126" s="169">
        <v>0</v>
      </c>
      <c r="AL126" s="116">
        <v>0</v>
      </c>
      <c r="AM126" s="116">
        <v>0</v>
      </c>
      <c r="AN126" s="116">
        <v>0</v>
      </c>
      <c r="AO126" s="116">
        <v>0</v>
      </c>
      <c r="AP126" s="169">
        <v>0</v>
      </c>
      <c r="AQ126" s="196">
        <v>-3</v>
      </c>
      <c r="AR126" s="196">
        <v>-2</v>
      </c>
      <c r="AS126" s="196">
        <v>-4</v>
      </c>
      <c r="AT126" s="196">
        <v>-4</v>
      </c>
      <c r="AU126" s="224">
        <f t="shared" si="83"/>
        <v>-13</v>
      </c>
      <c r="AV126" s="116">
        <v>-3</v>
      </c>
      <c r="AW126" s="116">
        <v>0</v>
      </c>
      <c r="AX126" s="116">
        <v>0</v>
      </c>
      <c r="AY126" s="116">
        <v>0</v>
      </c>
      <c r="AZ126" s="144">
        <f t="shared" si="84"/>
        <v>-3</v>
      </c>
      <c r="BA126" s="116">
        <v>0</v>
      </c>
      <c r="BB126" s="116">
        <v>0</v>
      </c>
      <c r="BC126" s="116">
        <v>0</v>
      </c>
      <c r="BD126" s="116">
        <v>0</v>
      </c>
      <c r="BE126" s="144">
        <f t="shared" si="85"/>
        <v>0</v>
      </c>
      <c r="BF126" s="116">
        <v>0</v>
      </c>
      <c r="BG126" s="116">
        <v>0</v>
      </c>
      <c r="BH126" s="116">
        <v>0</v>
      </c>
      <c r="BI126" s="116">
        <v>0</v>
      </c>
      <c r="BJ126" s="144">
        <f t="shared" si="86"/>
        <v>0</v>
      </c>
      <c r="BK126" s="116">
        <v>0</v>
      </c>
      <c r="BL126" s="116">
        <v>0</v>
      </c>
      <c r="BM126" s="116">
        <v>0</v>
      </c>
      <c r="BN126" s="116">
        <v>0</v>
      </c>
      <c r="BO126" s="144">
        <f t="shared" si="87"/>
        <v>0</v>
      </c>
      <c r="BP126" s="116">
        <v>0</v>
      </c>
      <c r="BQ126" s="116">
        <v>0</v>
      </c>
      <c r="BR126" s="116">
        <v>0</v>
      </c>
      <c r="BS126" s="116">
        <v>0</v>
      </c>
      <c r="BT126" s="144">
        <f t="shared" si="88"/>
        <v>0</v>
      </c>
      <c r="BU126" s="116">
        <v>0</v>
      </c>
      <c r="BV126" s="116">
        <v>0</v>
      </c>
      <c r="BW126" s="116">
        <v>0</v>
      </c>
      <c r="BX126" s="116">
        <v>0</v>
      </c>
      <c r="BY126" s="144">
        <f t="shared" si="89"/>
        <v>0</v>
      </c>
      <c r="BZ126" s="116">
        <v>0</v>
      </c>
      <c r="CA126" s="116">
        <v>0</v>
      </c>
      <c r="CB126" s="116">
        <v>0</v>
      </c>
      <c r="CC126" s="116">
        <v>0</v>
      </c>
      <c r="CD126" s="144">
        <f t="shared" si="90"/>
        <v>0</v>
      </c>
      <c r="CE126" s="205"/>
      <c r="CL126" s="160"/>
      <c r="CM126" s="160"/>
    </row>
    <row r="127" spans="1:91" ht="12.75" customHeight="1">
      <c r="A127" s="195"/>
      <c r="B127" s="131" t="s">
        <v>154</v>
      </c>
      <c r="C127" s="196"/>
      <c r="D127" s="196"/>
      <c r="E127" s="196"/>
      <c r="F127" s="196"/>
      <c r="G127" s="168"/>
      <c r="H127" s="196"/>
      <c r="I127" s="196"/>
      <c r="J127" s="196"/>
      <c r="K127" s="196"/>
      <c r="L127" s="168"/>
      <c r="M127" s="196"/>
      <c r="N127" s="196"/>
      <c r="O127" s="196"/>
      <c r="P127" s="196"/>
      <c r="Q127" s="168"/>
      <c r="R127" s="196"/>
      <c r="S127" s="196"/>
      <c r="T127" s="196"/>
      <c r="U127" s="196"/>
      <c r="V127" s="168"/>
      <c r="W127" s="196"/>
      <c r="X127" s="196"/>
      <c r="Y127" s="196"/>
      <c r="Z127" s="196"/>
      <c r="AA127" s="168"/>
      <c r="AB127" s="196"/>
      <c r="AC127" s="196"/>
      <c r="AD127" s="196"/>
      <c r="AE127" s="196"/>
      <c r="AF127" s="168"/>
      <c r="AG127" s="196"/>
      <c r="AH127" s="196"/>
      <c r="AI127" s="196"/>
      <c r="AJ127" s="196"/>
      <c r="AK127" s="169">
        <v>0</v>
      </c>
      <c r="AL127" s="116">
        <v>0</v>
      </c>
      <c r="AM127" s="116">
        <v>0</v>
      </c>
      <c r="AN127" s="116">
        <v>0</v>
      </c>
      <c r="AO127" s="116">
        <v>0</v>
      </c>
      <c r="AP127" s="169">
        <v>0</v>
      </c>
      <c r="AQ127" s="196">
        <f>-12-2-1</f>
        <v>-15</v>
      </c>
      <c r="AR127" s="196">
        <f>-10-2-1</f>
        <v>-13</v>
      </c>
      <c r="AS127" s="196">
        <f>-10-4-2</f>
        <v>-16</v>
      </c>
      <c r="AT127" s="196">
        <f>-11-5-2</f>
        <v>-18</v>
      </c>
      <c r="AU127" s="224">
        <f t="shared" si="83"/>
        <v>-62</v>
      </c>
      <c r="AV127" s="116">
        <f>-10-3-1</f>
        <v>-14</v>
      </c>
      <c r="AW127" s="116">
        <f>-12-5</f>
        <v>-17</v>
      </c>
      <c r="AX127" s="116">
        <v>0</v>
      </c>
      <c r="AY127" s="116">
        <v>0</v>
      </c>
      <c r="AZ127" s="144">
        <f t="shared" si="84"/>
        <v>-31</v>
      </c>
      <c r="BA127" s="116">
        <v>0</v>
      </c>
      <c r="BB127" s="116">
        <v>0</v>
      </c>
      <c r="BC127" s="116">
        <v>0</v>
      </c>
      <c r="BD127" s="116">
        <v>0</v>
      </c>
      <c r="BE127" s="144">
        <f t="shared" si="85"/>
        <v>0</v>
      </c>
      <c r="BF127" s="116">
        <v>0</v>
      </c>
      <c r="BG127" s="116">
        <v>0</v>
      </c>
      <c r="BH127" s="116">
        <v>0</v>
      </c>
      <c r="BI127" s="116">
        <v>0</v>
      </c>
      <c r="BJ127" s="144">
        <f t="shared" si="86"/>
        <v>0</v>
      </c>
      <c r="BK127" s="116">
        <v>0</v>
      </c>
      <c r="BL127" s="116">
        <v>0</v>
      </c>
      <c r="BM127" s="116">
        <v>0</v>
      </c>
      <c r="BN127" s="116">
        <v>0</v>
      </c>
      <c r="BO127" s="144">
        <f t="shared" si="87"/>
        <v>0</v>
      </c>
      <c r="BP127" s="116">
        <v>0</v>
      </c>
      <c r="BQ127" s="116">
        <v>0</v>
      </c>
      <c r="BR127" s="116">
        <v>0</v>
      </c>
      <c r="BS127" s="116">
        <v>0</v>
      </c>
      <c r="BT127" s="144">
        <f t="shared" si="88"/>
        <v>0</v>
      </c>
      <c r="BU127" s="116">
        <v>0</v>
      </c>
      <c r="BV127" s="116">
        <v>0</v>
      </c>
      <c r="BW127" s="116">
        <v>0</v>
      </c>
      <c r="BX127" s="116">
        <v>0</v>
      </c>
      <c r="BY127" s="144">
        <f t="shared" si="89"/>
        <v>0</v>
      </c>
      <c r="BZ127" s="116">
        <v>0</v>
      </c>
      <c r="CA127" s="116">
        <v>0</v>
      </c>
      <c r="CB127" s="116">
        <v>0</v>
      </c>
      <c r="CC127" s="116">
        <v>0</v>
      </c>
      <c r="CD127" s="144">
        <f t="shared" si="90"/>
        <v>0</v>
      </c>
      <c r="CE127" s="205"/>
      <c r="CL127" s="160"/>
      <c r="CM127" s="160"/>
    </row>
    <row r="128" spans="1:91" ht="12.75" customHeight="1">
      <c r="A128" s="195"/>
      <c r="B128" s="131" t="s">
        <v>155</v>
      </c>
      <c r="C128" s="196"/>
      <c r="D128" s="196"/>
      <c r="E128" s="196"/>
      <c r="F128" s="196"/>
      <c r="G128" s="168"/>
      <c r="H128" s="196"/>
      <c r="I128" s="196"/>
      <c r="J128" s="196"/>
      <c r="K128" s="196"/>
      <c r="L128" s="168"/>
      <c r="M128" s="196"/>
      <c r="N128" s="196"/>
      <c r="O128" s="196"/>
      <c r="P128" s="196"/>
      <c r="Q128" s="168"/>
      <c r="R128" s="196"/>
      <c r="S128" s="196"/>
      <c r="T128" s="196"/>
      <c r="U128" s="196"/>
      <c r="V128" s="168"/>
      <c r="W128" s="196"/>
      <c r="X128" s="196"/>
      <c r="Y128" s="196"/>
      <c r="Z128" s="196"/>
      <c r="AA128" s="168"/>
      <c r="AB128" s="196"/>
      <c r="AC128" s="196"/>
      <c r="AD128" s="196"/>
      <c r="AE128" s="196"/>
      <c r="AF128" s="168"/>
      <c r="AG128" s="196"/>
      <c r="AH128" s="196"/>
      <c r="AI128" s="196"/>
      <c r="AJ128" s="196"/>
      <c r="AK128" s="169">
        <v>0</v>
      </c>
      <c r="AL128" s="116">
        <v>0</v>
      </c>
      <c r="AM128" s="116">
        <v>0</v>
      </c>
      <c r="AN128" s="116">
        <v>0</v>
      </c>
      <c r="AO128" s="116">
        <v>0</v>
      </c>
      <c r="AP128" s="169">
        <v>0</v>
      </c>
      <c r="AQ128" s="196">
        <v>0</v>
      </c>
      <c r="AR128" s="196">
        <v>0</v>
      </c>
      <c r="AS128" s="196">
        <v>0</v>
      </c>
      <c r="AT128" s="196">
        <v>0</v>
      </c>
      <c r="AU128" s="224">
        <f t="shared" si="83"/>
        <v>0</v>
      </c>
      <c r="AV128" s="116">
        <v>0</v>
      </c>
      <c r="AW128" s="116">
        <v>0</v>
      </c>
      <c r="AX128" s="116">
        <v>0</v>
      </c>
      <c r="AY128" s="116">
        <v>0</v>
      </c>
      <c r="AZ128" s="144">
        <f t="shared" si="84"/>
        <v>0</v>
      </c>
      <c r="BA128" s="116">
        <v>0</v>
      </c>
      <c r="BB128" s="116">
        <v>0</v>
      </c>
      <c r="BC128" s="116">
        <v>0</v>
      </c>
      <c r="BD128" s="116">
        <v>0</v>
      </c>
      <c r="BE128" s="144">
        <f t="shared" si="85"/>
        <v>0</v>
      </c>
      <c r="BF128" s="116">
        <v>0</v>
      </c>
      <c r="BG128" s="116">
        <v>0</v>
      </c>
      <c r="BH128" s="116">
        <v>0</v>
      </c>
      <c r="BI128" s="116">
        <v>0</v>
      </c>
      <c r="BJ128" s="144">
        <f t="shared" si="86"/>
        <v>0</v>
      </c>
      <c r="BK128" s="116">
        <v>0</v>
      </c>
      <c r="BL128" s="116">
        <v>0</v>
      </c>
      <c r="BM128" s="116">
        <v>0</v>
      </c>
      <c r="BN128" s="116">
        <v>0</v>
      </c>
      <c r="BO128" s="144">
        <f t="shared" si="87"/>
        <v>0</v>
      </c>
      <c r="BP128" s="116">
        <v>0</v>
      </c>
      <c r="BQ128" s="116">
        <v>0</v>
      </c>
      <c r="BR128" s="116">
        <v>0</v>
      </c>
      <c r="BS128" s="116">
        <v>0</v>
      </c>
      <c r="BT128" s="144">
        <f t="shared" si="88"/>
        <v>0</v>
      </c>
      <c r="BU128" s="116">
        <v>0</v>
      </c>
      <c r="BV128" s="116">
        <v>0</v>
      </c>
      <c r="BW128" s="116">
        <v>0</v>
      </c>
      <c r="BX128" s="116">
        <v>0</v>
      </c>
      <c r="BY128" s="144">
        <f t="shared" si="89"/>
        <v>0</v>
      </c>
      <c r="BZ128" s="116">
        <v>0</v>
      </c>
      <c r="CA128" s="116">
        <v>0</v>
      </c>
      <c r="CB128" s="116">
        <v>0</v>
      </c>
      <c r="CC128" s="116">
        <v>0</v>
      </c>
      <c r="CD128" s="144">
        <f t="shared" si="90"/>
        <v>0</v>
      </c>
      <c r="CE128" s="205"/>
      <c r="CL128" s="160"/>
      <c r="CM128" s="160"/>
    </row>
    <row r="129" spans="1:91" ht="12.75" customHeight="1">
      <c r="A129" s="195"/>
      <c r="B129" s="131" t="s">
        <v>156</v>
      </c>
      <c r="C129" s="196"/>
      <c r="D129" s="196"/>
      <c r="E129" s="196"/>
      <c r="F129" s="196"/>
      <c r="G129" s="168"/>
      <c r="H129" s="196"/>
      <c r="I129" s="196"/>
      <c r="J129" s="196"/>
      <c r="K129" s="196"/>
      <c r="L129" s="168"/>
      <c r="M129" s="196"/>
      <c r="N129" s="196"/>
      <c r="O129" s="196"/>
      <c r="P129" s="196"/>
      <c r="Q129" s="168"/>
      <c r="R129" s="196"/>
      <c r="S129" s="196"/>
      <c r="T129" s="196"/>
      <c r="U129" s="196"/>
      <c r="V129" s="168"/>
      <c r="W129" s="196"/>
      <c r="X129" s="196"/>
      <c r="Y129" s="196"/>
      <c r="Z129" s="196"/>
      <c r="AA129" s="168"/>
      <c r="AB129" s="196"/>
      <c r="AC129" s="196"/>
      <c r="AD129" s="196"/>
      <c r="AE129" s="196"/>
      <c r="AF129" s="168"/>
      <c r="AG129" s="196"/>
      <c r="AH129" s="196"/>
      <c r="AI129" s="196"/>
      <c r="AJ129" s="196"/>
      <c r="AK129" s="169">
        <v>0</v>
      </c>
      <c r="AL129" s="116">
        <v>0</v>
      </c>
      <c r="AM129" s="116">
        <v>0</v>
      </c>
      <c r="AN129" s="116">
        <v>0</v>
      </c>
      <c r="AO129" s="116">
        <v>0</v>
      </c>
      <c r="AP129" s="169">
        <v>0</v>
      </c>
      <c r="AQ129" s="196">
        <v>0</v>
      </c>
      <c r="AR129" s="196">
        <v>0</v>
      </c>
      <c r="AS129" s="196">
        <v>0</v>
      </c>
      <c r="AT129" s="196">
        <v>0</v>
      </c>
      <c r="AU129" s="224">
        <f t="shared" si="83"/>
        <v>0</v>
      </c>
      <c r="AV129" s="116">
        <v>0</v>
      </c>
      <c r="AW129" s="116">
        <v>0</v>
      </c>
      <c r="AX129" s="116">
        <v>0</v>
      </c>
      <c r="AY129" s="116">
        <v>0</v>
      </c>
      <c r="AZ129" s="144">
        <f t="shared" si="84"/>
        <v>0</v>
      </c>
      <c r="BA129" s="116">
        <v>0</v>
      </c>
      <c r="BB129" s="116">
        <v>0</v>
      </c>
      <c r="BC129" s="116">
        <v>0</v>
      </c>
      <c r="BD129" s="116">
        <v>0</v>
      </c>
      <c r="BE129" s="144">
        <f t="shared" si="85"/>
        <v>0</v>
      </c>
      <c r="BF129" s="116">
        <v>0</v>
      </c>
      <c r="BG129" s="116">
        <v>0</v>
      </c>
      <c r="BH129" s="116">
        <v>0</v>
      </c>
      <c r="BI129" s="116">
        <v>0</v>
      </c>
      <c r="BJ129" s="144">
        <f t="shared" si="86"/>
        <v>0</v>
      </c>
      <c r="BK129" s="116">
        <v>0</v>
      </c>
      <c r="BL129" s="116">
        <v>0</v>
      </c>
      <c r="BM129" s="116">
        <v>0</v>
      </c>
      <c r="BN129" s="116">
        <v>0</v>
      </c>
      <c r="BO129" s="144">
        <f t="shared" si="87"/>
        <v>0</v>
      </c>
      <c r="BP129" s="116">
        <v>0</v>
      </c>
      <c r="BQ129" s="116">
        <v>0</v>
      </c>
      <c r="BR129" s="116">
        <v>0</v>
      </c>
      <c r="BS129" s="116">
        <v>0</v>
      </c>
      <c r="BT129" s="144">
        <f t="shared" si="88"/>
        <v>0</v>
      </c>
      <c r="BU129" s="116">
        <v>0</v>
      </c>
      <c r="BV129" s="116">
        <v>0</v>
      </c>
      <c r="BW129" s="116">
        <v>0</v>
      </c>
      <c r="BX129" s="116">
        <v>0</v>
      </c>
      <c r="BY129" s="144">
        <f t="shared" si="89"/>
        <v>0</v>
      </c>
      <c r="BZ129" s="116">
        <v>0</v>
      </c>
      <c r="CA129" s="116">
        <v>0</v>
      </c>
      <c r="CB129" s="116">
        <v>0</v>
      </c>
      <c r="CC129" s="116">
        <v>0</v>
      </c>
      <c r="CD129" s="144">
        <f t="shared" si="90"/>
        <v>0</v>
      </c>
      <c r="CE129" s="205"/>
      <c r="CL129" s="160"/>
      <c r="CM129" s="160"/>
    </row>
    <row r="130" spans="1:91" ht="12.75" customHeight="1">
      <c r="A130" s="195"/>
      <c r="B130" s="131" t="s">
        <v>157</v>
      </c>
      <c r="C130" s="196"/>
      <c r="D130" s="196"/>
      <c r="E130" s="196"/>
      <c r="F130" s="196"/>
      <c r="G130" s="168"/>
      <c r="H130" s="196"/>
      <c r="I130" s="196"/>
      <c r="J130" s="196"/>
      <c r="K130" s="196"/>
      <c r="L130" s="168"/>
      <c r="M130" s="196"/>
      <c r="N130" s="196"/>
      <c r="O130" s="196"/>
      <c r="P130" s="196"/>
      <c r="Q130" s="168"/>
      <c r="R130" s="196"/>
      <c r="S130" s="196"/>
      <c r="T130" s="196"/>
      <c r="U130" s="196"/>
      <c r="V130" s="168"/>
      <c r="W130" s="196"/>
      <c r="X130" s="196"/>
      <c r="Y130" s="196"/>
      <c r="Z130" s="196"/>
      <c r="AA130" s="168"/>
      <c r="AB130" s="196"/>
      <c r="AC130" s="196"/>
      <c r="AD130" s="196"/>
      <c r="AE130" s="196"/>
      <c r="AF130" s="168"/>
      <c r="AG130" s="196"/>
      <c r="AH130" s="196"/>
      <c r="AI130" s="196"/>
      <c r="AJ130" s="196"/>
      <c r="AK130" s="169">
        <v>0</v>
      </c>
      <c r="AL130" s="116">
        <v>0</v>
      </c>
      <c r="AM130" s="116">
        <v>0</v>
      </c>
      <c r="AN130" s="116">
        <v>0</v>
      </c>
      <c r="AO130" s="116">
        <v>0</v>
      </c>
      <c r="AP130" s="169">
        <v>0</v>
      </c>
      <c r="AQ130" s="196">
        <v>-4</v>
      </c>
      <c r="AR130" s="196">
        <v>-4</v>
      </c>
      <c r="AS130" s="196">
        <v>-4</v>
      </c>
      <c r="AT130" s="196">
        <v>-4</v>
      </c>
      <c r="AU130" s="224">
        <f t="shared" si="83"/>
        <v>-16</v>
      </c>
      <c r="AV130" s="116">
        <v>-4</v>
      </c>
      <c r="AW130" s="116">
        <v>0</v>
      </c>
      <c r="AX130" s="116">
        <v>0</v>
      </c>
      <c r="AY130" s="116">
        <v>0</v>
      </c>
      <c r="AZ130" s="144">
        <f t="shared" si="84"/>
        <v>-4</v>
      </c>
      <c r="BA130" s="116">
        <v>0</v>
      </c>
      <c r="BB130" s="116">
        <v>0</v>
      </c>
      <c r="BC130" s="116">
        <v>0</v>
      </c>
      <c r="BD130" s="116">
        <v>0</v>
      </c>
      <c r="BE130" s="144">
        <f t="shared" si="85"/>
        <v>0</v>
      </c>
      <c r="BF130" s="116">
        <v>0</v>
      </c>
      <c r="BG130" s="116">
        <v>0</v>
      </c>
      <c r="BH130" s="116">
        <v>0</v>
      </c>
      <c r="BI130" s="116">
        <v>0</v>
      </c>
      <c r="BJ130" s="144">
        <f t="shared" si="86"/>
        <v>0</v>
      </c>
      <c r="BK130" s="116">
        <v>0</v>
      </c>
      <c r="BL130" s="116">
        <v>0</v>
      </c>
      <c r="BM130" s="116">
        <v>0</v>
      </c>
      <c r="BN130" s="116">
        <v>0</v>
      </c>
      <c r="BO130" s="144">
        <f t="shared" si="87"/>
        <v>0</v>
      </c>
      <c r="BP130" s="116">
        <v>0</v>
      </c>
      <c r="BQ130" s="116">
        <v>0</v>
      </c>
      <c r="BR130" s="116">
        <v>0</v>
      </c>
      <c r="BS130" s="116">
        <v>0</v>
      </c>
      <c r="BT130" s="144">
        <f t="shared" si="88"/>
        <v>0</v>
      </c>
      <c r="BU130" s="116">
        <v>0</v>
      </c>
      <c r="BV130" s="116">
        <v>0</v>
      </c>
      <c r="BW130" s="116">
        <v>0</v>
      </c>
      <c r="BX130" s="116">
        <v>0</v>
      </c>
      <c r="BY130" s="144">
        <f t="shared" si="89"/>
        <v>0</v>
      </c>
      <c r="BZ130" s="116">
        <v>0</v>
      </c>
      <c r="CA130" s="116">
        <v>0</v>
      </c>
      <c r="CB130" s="116">
        <v>0</v>
      </c>
      <c r="CC130" s="116">
        <v>0</v>
      </c>
      <c r="CD130" s="144">
        <f t="shared" si="90"/>
        <v>0</v>
      </c>
      <c r="CE130" s="205"/>
      <c r="CL130" s="160"/>
      <c r="CM130" s="160"/>
    </row>
    <row r="131" spans="1:91" ht="12.75" customHeight="1">
      <c r="A131" s="195"/>
      <c r="B131" s="131" t="s">
        <v>158</v>
      </c>
      <c r="C131" s="196"/>
      <c r="D131" s="196"/>
      <c r="E131" s="196"/>
      <c r="F131" s="196"/>
      <c r="G131" s="168"/>
      <c r="H131" s="196"/>
      <c r="I131" s="196"/>
      <c r="J131" s="196"/>
      <c r="K131" s="196"/>
      <c r="L131" s="168"/>
      <c r="M131" s="196"/>
      <c r="N131" s="196"/>
      <c r="O131" s="196"/>
      <c r="P131" s="196"/>
      <c r="Q131" s="168"/>
      <c r="R131" s="196"/>
      <c r="S131" s="196"/>
      <c r="T131" s="196"/>
      <c r="U131" s="196"/>
      <c r="V131" s="168"/>
      <c r="W131" s="196"/>
      <c r="X131" s="196"/>
      <c r="Y131" s="196"/>
      <c r="Z131" s="196"/>
      <c r="AA131" s="168"/>
      <c r="AB131" s="196"/>
      <c r="AC131" s="196"/>
      <c r="AD131" s="196"/>
      <c r="AE131" s="196"/>
      <c r="AF131" s="168"/>
      <c r="AG131" s="196"/>
      <c r="AH131" s="196"/>
      <c r="AI131" s="196"/>
      <c r="AJ131" s="196"/>
      <c r="AK131" s="169">
        <v>0</v>
      </c>
      <c r="AL131" s="116">
        <v>0</v>
      </c>
      <c r="AM131" s="116">
        <v>0</v>
      </c>
      <c r="AN131" s="116">
        <v>0</v>
      </c>
      <c r="AO131" s="116">
        <v>0</v>
      </c>
      <c r="AP131" s="169">
        <v>0</v>
      </c>
      <c r="AQ131" s="196">
        <v>17</v>
      </c>
      <c r="AR131" s="196">
        <v>15</v>
      </c>
      <c r="AS131" s="196">
        <v>13</v>
      </c>
      <c r="AT131" s="196">
        <v>15</v>
      </c>
      <c r="AU131" s="224">
        <f t="shared" si="83"/>
        <v>60</v>
      </c>
      <c r="AV131" s="116">
        <v>13</v>
      </c>
      <c r="AW131" s="116">
        <v>0</v>
      </c>
      <c r="AX131" s="116">
        <v>0</v>
      </c>
      <c r="AY131" s="116">
        <v>0</v>
      </c>
      <c r="AZ131" s="144">
        <f t="shared" si="84"/>
        <v>13</v>
      </c>
      <c r="BA131" s="116">
        <v>0</v>
      </c>
      <c r="BB131" s="116">
        <v>0</v>
      </c>
      <c r="BC131" s="116">
        <v>0</v>
      </c>
      <c r="BD131" s="116">
        <v>0</v>
      </c>
      <c r="BE131" s="144">
        <f t="shared" si="85"/>
        <v>0</v>
      </c>
      <c r="BF131" s="116">
        <v>0</v>
      </c>
      <c r="BG131" s="116">
        <v>0</v>
      </c>
      <c r="BH131" s="116">
        <v>0</v>
      </c>
      <c r="BI131" s="116">
        <v>0</v>
      </c>
      <c r="BJ131" s="144">
        <f t="shared" si="86"/>
        <v>0</v>
      </c>
      <c r="BK131" s="116">
        <v>0</v>
      </c>
      <c r="BL131" s="116">
        <v>0</v>
      </c>
      <c r="BM131" s="116">
        <v>0</v>
      </c>
      <c r="BN131" s="116">
        <v>0</v>
      </c>
      <c r="BO131" s="144">
        <f t="shared" si="87"/>
        <v>0</v>
      </c>
      <c r="BP131" s="116">
        <v>0</v>
      </c>
      <c r="BQ131" s="116">
        <v>0</v>
      </c>
      <c r="BR131" s="116">
        <v>0</v>
      </c>
      <c r="BS131" s="116">
        <v>0</v>
      </c>
      <c r="BT131" s="144">
        <f t="shared" si="88"/>
        <v>0</v>
      </c>
      <c r="BU131" s="116">
        <v>0</v>
      </c>
      <c r="BV131" s="116">
        <v>0</v>
      </c>
      <c r="BW131" s="116">
        <v>0</v>
      </c>
      <c r="BX131" s="116">
        <v>0</v>
      </c>
      <c r="BY131" s="144">
        <f t="shared" si="89"/>
        <v>0</v>
      </c>
      <c r="BZ131" s="116">
        <v>0</v>
      </c>
      <c r="CA131" s="116">
        <v>0</v>
      </c>
      <c r="CB131" s="116">
        <v>0</v>
      </c>
      <c r="CC131" s="116">
        <v>0</v>
      </c>
      <c r="CD131" s="144">
        <f t="shared" si="90"/>
        <v>0</v>
      </c>
      <c r="CE131" s="205"/>
      <c r="CL131" s="160"/>
      <c r="CM131" s="160"/>
    </row>
    <row r="132" spans="1:91" ht="12.75" customHeight="1">
      <c r="A132" s="195"/>
      <c r="B132" s="131" t="s">
        <v>159</v>
      </c>
      <c r="C132" s="196"/>
      <c r="D132" s="196"/>
      <c r="E132" s="196"/>
      <c r="F132" s="196"/>
      <c r="G132" s="168"/>
      <c r="H132" s="196"/>
      <c r="I132" s="196"/>
      <c r="J132" s="196"/>
      <c r="K132" s="196"/>
      <c r="L132" s="168"/>
      <c r="M132" s="196"/>
      <c r="N132" s="196"/>
      <c r="O132" s="196"/>
      <c r="P132" s="196"/>
      <c r="Q132" s="168"/>
      <c r="R132" s="196"/>
      <c r="S132" s="196"/>
      <c r="T132" s="196"/>
      <c r="U132" s="196"/>
      <c r="V132" s="168"/>
      <c r="W132" s="196"/>
      <c r="X132" s="196"/>
      <c r="Y132" s="196"/>
      <c r="Z132" s="196"/>
      <c r="AA132" s="168"/>
      <c r="AB132" s="196"/>
      <c r="AC132" s="196"/>
      <c r="AD132" s="196"/>
      <c r="AE132" s="196"/>
      <c r="AF132" s="168"/>
      <c r="AG132" s="196"/>
      <c r="AH132" s="196"/>
      <c r="AI132" s="196"/>
      <c r="AJ132" s="196"/>
      <c r="AK132" s="169"/>
      <c r="AL132" s="116"/>
      <c r="AM132" s="116"/>
      <c r="AN132" s="116"/>
      <c r="AO132" s="116"/>
      <c r="AP132" s="169"/>
      <c r="AQ132" s="196"/>
      <c r="AR132" s="196"/>
      <c r="AS132" s="196"/>
      <c r="AT132" s="196"/>
      <c r="AU132" s="224"/>
      <c r="AV132" s="116"/>
      <c r="AW132" s="116">
        <v>3</v>
      </c>
      <c r="AX132" s="116">
        <v>2</v>
      </c>
      <c r="AY132" s="116">
        <v>5</v>
      </c>
      <c r="AZ132" s="144">
        <f t="shared" si="84"/>
        <v>10</v>
      </c>
      <c r="BA132" s="116"/>
      <c r="BB132" s="116"/>
      <c r="BC132" s="116"/>
      <c r="BD132" s="116"/>
      <c r="BE132" s="144"/>
      <c r="BF132" s="116"/>
      <c r="BG132" s="116"/>
      <c r="BH132" s="116"/>
      <c r="BI132" s="116"/>
      <c r="BJ132" s="144"/>
      <c r="BK132" s="116"/>
      <c r="BL132" s="116"/>
      <c r="BM132" s="116"/>
      <c r="BN132" s="116"/>
      <c r="BO132" s="144"/>
      <c r="BP132" s="116"/>
      <c r="BQ132" s="116"/>
      <c r="BR132" s="116"/>
      <c r="BS132" s="116"/>
      <c r="BT132" s="144"/>
      <c r="BU132" s="116"/>
      <c r="BV132" s="116"/>
      <c r="BW132" s="116"/>
      <c r="BX132" s="116"/>
      <c r="BY132" s="144"/>
      <c r="BZ132" s="116"/>
      <c r="CA132" s="116"/>
      <c r="CB132" s="116"/>
      <c r="CC132" s="116"/>
      <c r="CD132" s="144"/>
      <c r="CE132" s="205"/>
      <c r="CL132" s="160"/>
      <c r="CM132" s="160"/>
    </row>
    <row r="133" spans="1:91" ht="12.75" customHeight="1">
      <c r="A133" s="195"/>
      <c r="B133" s="1257"/>
      <c r="C133" s="196"/>
      <c r="D133" s="196"/>
      <c r="E133" s="196"/>
      <c r="F133" s="196"/>
      <c r="G133" s="168"/>
      <c r="H133" s="196"/>
      <c r="I133" s="196"/>
      <c r="J133" s="196"/>
      <c r="K133" s="196"/>
      <c r="L133" s="168"/>
      <c r="M133" s="196"/>
      <c r="N133" s="196"/>
      <c r="O133" s="196"/>
      <c r="P133" s="196"/>
      <c r="Q133" s="168"/>
      <c r="R133" s="196"/>
      <c r="S133" s="196"/>
      <c r="T133" s="196"/>
      <c r="U133" s="196"/>
      <c r="V133" s="168"/>
      <c r="W133" s="196"/>
      <c r="X133" s="196"/>
      <c r="Y133" s="196"/>
      <c r="Z133" s="196"/>
      <c r="AA133" s="168"/>
      <c r="AB133" s="196"/>
      <c r="AC133" s="196"/>
      <c r="AD133" s="196"/>
      <c r="AE133" s="196"/>
      <c r="AF133" s="168"/>
      <c r="AG133" s="196"/>
      <c r="AH133" s="196"/>
      <c r="AI133" s="196"/>
      <c r="AJ133" s="196"/>
      <c r="AK133" s="169"/>
      <c r="AL133" s="116"/>
      <c r="AM133" s="116"/>
      <c r="AN133" s="116"/>
      <c r="AO133" s="116"/>
      <c r="AP133" s="169"/>
      <c r="AQ133" s="196"/>
      <c r="AR133" s="196"/>
      <c r="AS133" s="196"/>
      <c r="AT133" s="196"/>
      <c r="AU133" s="224"/>
      <c r="AV133" s="116"/>
      <c r="AW133" s="116"/>
      <c r="AX133" s="116"/>
      <c r="AY133" s="116"/>
      <c r="AZ133" s="144"/>
      <c r="BA133" s="116"/>
      <c r="BB133" s="116"/>
      <c r="BC133" s="116"/>
      <c r="BD133" s="116"/>
      <c r="BE133" s="144"/>
      <c r="BF133" s="116"/>
      <c r="BG133" s="116"/>
      <c r="BH133" s="116"/>
      <c r="BI133" s="116"/>
      <c r="BJ133" s="144"/>
      <c r="BK133" s="116"/>
      <c r="BL133" s="116"/>
      <c r="BM133" s="116"/>
      <c r="BN133" s="116"/>
      <c r="BO133" s="144"/>
      <c r="BP133" s="116"/>
      <c r="BQ133" s="116"/>
      <c r="BR133" s="116"/>
      <c r="BS133" s="116"/>
      <c r="BT133" s="144"/>
      <c r="BU133" s="116"/>
      <c r="BV133" s="116"/>
      <c r="BW133" s="116"/>
      <c r="BX133" s="116"/>
      <c r="BY133" s="144"/>
      <c r="BZ133" s="116"/>
      <c r="CA133" s="116"/>
      <c r="CB133" s="116"/>
      <c r="CC133" s="116"/>
      <c r="CD133" s="144"/>
      <c r="CE133" s="205"/>
      <c r="CL133" s="160"/>
      <c r="CM133" s="160"/>
    </row>
    <row r="134" spans="1:91" ht="12.75" customHeight="1">
      <c r="A134" s="172"/>
      <c r="B134" s="239" t="s">
        <v>160</v>
      </c>
      <c r="C134" s="139"/>
      <c r="D134" s="139"/>
      <c r="E134" s="139"/>
      <c r="F134" s="139"/>
      <c r="G134" s="140"/>
      <c r="H134" s="139"/>
      <c r="I134" s="139"/>
      <c r="J134" s="139"/>
      <c r="K134" s="139"/>
      <c r="L134" s="140"/>
      <c r="M134" s="139"/>
      <c r="N134" s="139"/>
      <c r="O134" s="139"/>
      <c r="P134" s="139"/>
      <c r="Q134" s="140"/>
      <c r="R134" s="139"/>
      <c r="S134" s="139"/>
      <c r="T134" s="139"/>
      <c r="U134" s="139"/>
      <c r="V134" s="140"/>
      <c r="W134" s="139"/>
      <c r="X134" s="139"/>
      <c r="Y134" s="139"/>
      <c r="Z134" s="139"/>
      <c r="AA134" s="140"/>
      <c r="AB134" s="139"/>
      <c r="AC134" s="139"/>
      <c r="AD134" s="139"/>
      <c r="AE134" s="139"/>
      <c r="AF134" s="140"/>
      <c r="AG134" s="139"/>
      <c r="AH134" s="139"/>
      <c r="AI134" s="139"/>
      <c r="AJ134" s="139"/>
      <c r="AK134" s="294">
        <f t="shared" ref="AK134:CD134" si="91">AK108-AK122-AK123-AK124-AK125-AK126-AK127-AK128-AK129-AK130-AK131-AK132</f>
        <v>-77</v>
      </c>
      <c r="AL134" s="139">
        <f t="shared" si="91"/>
        <v>0</v>
      </c>
      <c r="AM134" s="139">
        <f t="shared" si="91"/>
        <v>0</v>
      </c>
      <c r="AN134" s="139">
        <f t="shared" si="91"/>
        <v>0</v>
      </c>
      <c r="AO134" s="139">
        <f t="shared" si="91"/>
        <v>0</v>
      </c>
      <c r="AP134" s="143">
        <f t="shared" si="91"/>
        <v>1084</v>
      </c>
      <c r="AQ134" s="142">
        <f t="shared" si="91"/>
        <v>312</v>
      </c>
      <c r="AR134" s="142">
        <f t="shared" si="91"/>
        <v>326</v>
      </c>
      <c r="AS134" s="142">
        <f t="shared" si="91"/>
        <v>276</v>
      </c>
      <c r="AT134" s="142">
        <f t="shared" si="91"/>
        <v>347</v>
      </c>
      <c r="AU134" s="224">
        <f t="shared" si="91"/>
        <v>1261</v>
      </c>
      <c r="AV134" s="295">
        <f t="shared" si="91"/>
        <v>321</v>
      </c>
      <c r="AW134" s="296">
        <f t="shared" si="91"/>
        <v>401</v>
      </c>
      <c r="AX134" s="296">
        <f t="shared" si="91"/>
        <v>350</v>
      </c>
      <c r="AY134" s="296">
        <f t="shared" si="91"/>
        <v>412</v>
      </c>
      <c r="AZ134" s="224">
        <f t="shared" si="91"/>
        <v>1473</v>
      </c>
      <c r="BA134" s="296">
        <f t="shared" si="91"/>
        <v>423</v>
      </c>
      <c r="BB134" s="296">
        <f t="shared" si="91"/>
        <v>380</v>
      </c>
      <c r="BC134" s="296">
        <f t="shared" si="91"/>
        <v>360</v>
      </c>
      <c r="BD134" s="296">
        <f t="shared" si="91"/>
        <v>469</v>
      </c>
      <c r="BE134" s="224">
        <f t="shared" si="91"/>
        <v>1632</v>
      </c>
      <c r="BF134" s="296">
        <f t="shared" si="91"/>
        <v>438</v>
      </c>
      <c r="BG134" s="296">
        <f t="shared" si="91"/>
        <v>447</v>
      </c>
      <c r="BH134" s="296">
        <f t="shared" si="91"/>
        <v>451</v>
      </c>
      <c r="BI134" s="296">
        <f>BI108-BI122-BI123-BI124-BI125-BI126-BI133-BI127-BI128-BI129-BI130-BI131-BI132</f>
        <v>864</v>
      </c>
      <c r="BJ134" s="224">
        <f>BJ108-BJ122-BJ123-BJ124-BJ125-BJ126-BJ133-BJ127-BJ128-BJ129-BJ130-BJ131-BJ132</f>
        <v>2200</v>
      </c>
      <c r="BK134" s="296">
        <f t="shared" si="91"/>
        <v>548</v>
      </c>
      <c r="BL134" s="296">
        <f t="shared" si="91"/>
        <v>571.73813268272079</v>
      </c>
      <c r="BM134" s="296">
        <f t="shared" si="91"/>
        <v>534.39540775058845</v>
      </c>
      <c r="BN134" s="296">
        <f t="shared" si="91"/>
        <v>696.51682170470667</v>
      </c>
      <c r="BO134" s="224">
        <f t="shared" si="91"/>
        <v>2350.6503621380161</v>
      </c>
      <c r="BP134" s="295">
        <f t="shared" si="91"/>
        <v>664.51849269477088</v>
      </c>
      <c r="BQ134" s="296">
        <f t="shared" si="91"/>
        <v>700.73046043322927</v>
      </c>
      <c r="BR134" s="296">
        <f t="shared" si="91"/>
        <v>695.61287808352495</v>
      </c>
      <c r="BS134" s="296">
        <f t="shared" si="91"/>
        <v>899.3630411438005</v>
      </c>
      <c r="BT134" s="224">
        <f t="shared" si="91"/>
        <v>2960.2248723553257</v>
      </c>
      <c r="BU134" s="295">
        <f t="shared" si="91"/>
        <v>803.52587910360171</v>
      </c>
      <c r="BV134" s="296">
        <f t="shared" si="91"/>
        <v>856.16654835613281</v>
      </c>
      <c r="BW134" s="296">
        <f t="shared" si="91"/>
        <v>829.58172470689806</v>
      </c>
      <c r="BX134" s="296">
        <f t="shared" si="91"/>
        <v>1082.3348046072201</v>
      </c>
      <c r="BY134" s="224">
        <f t="shared" si="91"/>
        <v>3571.6089567738527</v>
      </c>
      <c r="BZ134" s="295">
        <f t="shared" si="91"/>
        <v>1008.1738184290627</v>
      </c>
      <c r="CA134" s="296">
        <f t="shared" si="91"/>
        <v>1077.5350833884586</v>
      </c>
      <c r="CB134" s="296">
        <f t="shared" si="91"/>
        <v>1075.4372322645718</v>
      </c>
      <c r="CC134" s="296">
        <f t="shared" si="91"/>
        <v>1393.8235312476027</v>
      </c>
      <c r="CD134" s="224">
        <f t="shared" si="91"/>
        <v>4554.969665329696</v>
      </c>
      <c r="CE134" s="174"/>
      <c r="CL134" s="160"/>
      <c r="CM134" s="160"/>
    </row>
    <row r="135" spans="1:91" ht="12.75" customHeight="1">
      <c r="A135" s="297"/>
      <c r="B135" s="239" t="s">
        <v>161</v>
      </c>
      <c r="C135" s="196"/>
      <c r="D135" s="196"/>
      <c r="E135" s="196"/>
      <c r="F135" s="196"/>
      <c r="G135" s="240"/>
      <c r="H135" s="196"/>
      <c r="I135" s="196"/>
      <c r="J135" s="196"/>
      <c r="K135" s="196"/>
      <c r="L135" s="240"/>
      <c r="M135" s="196"/>
      <c r="N135" s="196"/>
      <c r="O135" s="196"/>
      <c r="P135" s="196"/>
      <c r="Q135" s="240"/>
      <c r="R135" s="196"/>
      <c r="S135" s="196"/>
      <c r="T135" s="196"/>
      <c r="U135" s="196"/>
      <c r="V135" s="240"/>
      <c r="W135" s="196"/>
      <c r="X135" s="196"/>
      <c r="Y135" s="196"/>
      <c r="Z135" s="196"/>
      <c r="AA135" s="240"/>
      <c r="AB135" s="196"/>
      <c r="AC135" s="196"/>
      <c r="AD135" s="196"/>
      <c r="AE135" s="196"/>
      <c r="AF135" s="240"/>
      <c r="AG135" s="196"/>
      <c r="AH135" s="196"/>
      <c r="AI135" s="196"/>
      <c r="AJ135" s="196"/>
      <c r="AK135" s="240">
        <f>-104</f>
        <v>-104</v>
      </c>
      <c r="AL135" s="116"/>
      <c r="AM135" s="116"/>
      <c r="AN135" s="116"/>
      <c r="AO135" s="116"/>
      <c r="AP135" s="240">
        <v>-96</v>
      </c>
      <c r="AQ135" s="116">
        <v>694</v>
      </c>
      <c r="AR135" s="116">
        <v>45</v>
      </c>
      <c r="AS135" s="116">
        <v>42</v>
      </c>
      <c r="AT135" s="116">
        <v>61</v>
      </c>
      <c r="AU135" s="224">
        <f t="shared" si="83"/>
        <v>842</v>
      </c>
      <c r="AV135" s="197">
        <v>66</v>
      </c>
      <c r="AW135" s="100">
        <v>94</v>
      </c>
      <c r="AX135" s="100">
        <v>49</v>
      </c>
      <c r="AY135" s="100">
        <v>51</v>
      </c>
      <c r="AZ135" s="224">
        <f>SUM(AV135:AY135)</f>
        <v>260</v>
      </c>
      <c r="BA135" s="100">
        <v>57</v>
      </c>
      <c r="BB135" s="100">
        <v>57</v>
      </c>
      <c r="BC135" s="100">
        <v>37</v>
      </c>
      <c r="BD135" s="100">
        <v>79</v>
      </c>
      <c r="BE135" s="224">
        <f>SUM(BA135:BD135)</f>
        <v>230</v>
      </c>
      <c r="BF135" s="100">
        <v>54</v>
      </c>
      <c r="BG135" s="100">
        <v>36</v>
      </c>
      <c r="BH135" s="100">
        <v>71</v>
      </c>
      <c r="BI135" s="100">
        <v>244</v>
      </c>
      <c r="BJ135" s="224">
        <f>SUM(BF135:BI135)</f>
        <v>405</v>
      </c>
      <c r="BK135" s="100">
        <v>37</v>
      </c>
      <c r="BL135" s="298">
        <f>+BL134*BL136</f>
        <v>120.06500786337136</v>
      </c>
      <c r="BM135" s="298">
        <f>+BM134*BM136</f>
        <v>112.22303562762357</v>
      </c>
      <c r="BN135" s="298">
        <f>+BN134*BN136</f>
        <v>146.26853255798841</v>
      </c>
      <c r="BO135" s="224">
        <f>SUM(BK135:BN135)</f>
        <v>415.55657604898335</v>
      </c>
      <c r="BP135" s="298">
        <f>+BP134*BP136</f>
        <v>139.54888346590187</v>
      </c>
      <c r="BQ135" s="298">
        <f>+BQ134*BQ136</f>
        <v>147.15339669097813</v>
      </c>
      <c r="BR135" s="298">
        <f>+BR134*BR136</f>
        <v>146.07870439754024</v>
      </c>
      <c r="BS135" s="298">
        <f>+BS134*BS136</f>
        <v>188.86623864019811</v>
      </c>
      <c r="BT135" s="224">
        <f>SUM(BP135:BS135)</f>
        <v>621.64722319461839</v>
      </c>
      <c r="BU135" s="298">
        <f>+BU134*BU136</f>
        <v>168.74043461175634</v>
      </c>
      <c r="BV135" s="298">
        <f>+BV134*BV136</f>
        <v>179.79497515478789</v>
      </c>
      <c r="BW135" s="298">
        <f>+BW134*BW136</f>
        <v>174.21216218844859</v>
      </c>
      <c r="BX135" s="298">
        <f>+BX134*BX136</f>
        <v>227.29030896751621</v>
      </c>
      <c r="BY135" s="224">
        <f>SUM(BU135:BX135)</f>
        <v>750.03788092250909</v>
      </c>
      <c r="BZ135" s="298">
        <f>+BZ134*BZ136</f>
        <v>211.71650187010317</v>
      </c>
      <c r="CA135" s="298">
        <f>+CA134*CA136</f>
        <v>226.2823675115763</v>
      </c>
      <c r="CB135" s="298">
        <f>+CB134*CB136</f>
        <v>225.84181877556006</v>
      </c>
      <c r="CC135" s="298">
        <f>+CC134*CC136</f>
        <v>292.70294156199657</v>
      </c>
      <c r="CD135" s="224">
        <f>SUM(BZ135:CC135)</f>
        <v>956.54362971923615</v>
      </c>
      <c r="CE135" s="299"/>
      <c r="CL135" s="160"/>
      <c r="CM135" s="160"/>
    </row>
    <row r="136" spans="1:91" ht="12.75" customHeight="1">
      <c r="A136" s="160"/>
      <c r="B136" s="236" t="s">
        <v>143</v>
      </c>
      <c r="C136" s="288"/>
      <c r="D136" s="288"/>
      <c r="E136" s="288"/>
      <c r="F136" s="288"/>
      <c r="G136" s="289"/>
      <c r="H136" s="288"/>
      <c r="I136" s="288"/>
      <c r="J136" s="288"/>
      <c r="K136" s="288"/>
      <c r="L136" s="289"/>
      <c r="M136" s="288"/>
      <c r="N136" s="288"/>
      <c r="O136" s="288"/>
      <c r="P136" s="288"/>
      <c r="Q136" s="289"/>
      <c r="R136" s="288"/>
      <c r="S136" s="288"/>
      <c r="T136" s="288"/>
      <c r="U136" s="288"/>
      <c r="V136" s="289"/>
      <c r="W136" s="288"/>
      <c r="X136" s="288"/>
      <c r="Y136" s="288"/>
      <c r="Z136" s="288"/>
      <c r="AA136" s="289"/>
      <c r="AB136" s="288"/>
      <c r="AC136" s="288"/>
      <c r="AD136" s="288"/>
      <c r="AE136" s="288"/>
      <c r="AF136" s="289"/>
      <c r="AG136" s="288"/>
      <c r="AH136" s="288"/>
      <c r="AI136" s="288"/>
      <c r="AJ136" s="288"/>
      <c r="AK136" s="289"/>
      <c r="AL136" s="290"/>
      <c r="AM136" s="290"/>
      <c r="AN136" s="290"/>
      <c r="AO136" s="290"/>
      <c r="AP136" s="291"/>
      <c r="AQ136" s="139">
        <f t="shared" ref="AQ136:BK136" si="92">+AQ135/AQ134</f>
        <v>2.2243589743589745</v>
      </c>
      <c r="AR136" s="139">
        <f t="shared" si="92"/>
        <v>0.13803680981595093</v>
      </c>
      <c r="AS136" s="139">
        <f t="shared" si="92"/>
        <v>0.15217391304347827</v>
      </c>
      <c r="AT136" s="139">
        <f t="shared" si="92"/>
        <v>0.17579250720461095</v>
      </c>
      <c r="AU136" s="140">
        <f t="shared" si="92"/>
        <v>0.66772402854877078</v>
      </c>
      <c r="AV136" s="139">
        <f t="shared" si="92"/>
        <v>0.20560747663551401</v>
      </c>
      <c r="AW136" s="139">
        <f t="shared" si="92"/>
        <v>0.23441396508728179</v>
      </c>
      <c r="AX136" s="139">
        <f t="shared" si="92"/>
        <v>0.14000000000000001</v>
      </c>
      <c r="AY136" s="139">
        <f t="shared" si="92"/>
        <v>0.12378640776699029</v>
      </c>
      <c r="AZ136" s="140">
        <f>+AZ135/AZ134</f>
        <v>0.17651052274270196</v>
      </c>
      <c r="BA136" s="139">
        <f t="shared" si="92"/>
        <v>0.13475177304964539</v>
      </c>
      <c r="BB136" s="139">
        <f t="shared" si="92"/>
        <v>0.15</v>
      </c>
      <c r="BC136" s="139">
        <f t="shared" si="92"/>
        <v>0.10277777777777777</v>
      </c>
      <c r="BD136" s="139">
        <f t="shared" si="92"/>
        <v>0.16844349680170576</v>
      </c>
      <c r="BE136" s="140">
        <f>+BE135/BE134</f>
        <v>0.14093137254901961</v>
      </c>
      <c r="BF136" s="139">
        <f t="shared" si="92"/>
        <v>0.12328767123287671</v>
      </c>
      <c r="BG136" s="139">
        <v>0.21</v>
      </c>
      <c r="BH136" s="139">
        <f t="shared" si="92"/>
        <v>0.1574279379157428</v>
      </c>
      <c r="BI136" s="139">
        <f t="shared" si="92"/>
        <v>0.28240740740740738</v>
      </c>
      <c r="BJ136" s="140">
        <f>+BJ135/BJ134</f>
        <v>0.18409090909090908</v>
      </c>
      <c r="BK136" s="139">
        <f t="shared" si="92"/>
        <v>6.7518248175182483E-2</v>
      </c>
      <c r="BL136" s="162">
        <v>0.21</v>
      </c>
      <c r="BM136" s="162">
        <v>0.21</v>
      </c>
      <c r="BN136" s="162">
        <v>0.21</v>
      </c>
      <c r="BO136" s="140">
        <f>+BO135/BO134</f>
        <v>0.17678366070189061</v>
      </c>
      <c r="BP136" s="162">
        <v>0.21</v>
      </c>
      <c r="BQ136" s="162">
        <v>0.21</v>
      </c>
      <c r="BR136" s="162">
        <v>0.21</v>
      </c>
      <c r="BS136" s="162">
        <v>0.21</v>
      </c>
      <c r="BT136" s="140">
        <f>+BT135/BT134</f>
        <v>0.21</v>
      </c>
      <c r="BU136" s="162">
        <v>0.21</v>
      </c>
      <c r="BV136" s="162">
        <v>0.21</v>
      </c>
      <c r="BW136" s="162">
        <v>0.21</v>
      </c>
      <c r="BX136" s="162">
        <v>0.21</v>
      </c>
      <c r="BY136" s="140">
        <f>+BY135/BY134</f>
        <v>0.21000000000000002</v>
      </c>
      <c r="BZ136" s="162">
        <v>0.21</v>
      </c>
      <c r="CA136" s="162">
        <v>0.21</v>
      </c>
      <c r="CB136" s="162">
        <v>0.21</v>
      </c>
      <c r="CC136" s="162">
        <v>0.21</v>
      </c>
      <c r="CD136" s="140">
        <f>+CD135/CD134</f>
        <v>0.21</v>
      </c>
      <c r="CE136" s="248"/>
    </row>
    <row r="137" spans="1:91" ht="12.75" customHeight="1">
      <c r="A137" s="195"/>
      <c r="B137" s="300" t="s">
        <v>162</v>
      </c>
      <c r="C137" s="301"/>
      <c r="D137" s="301"/>
      <c r="E137" s="301"/>
      <c r="F137" s="301"/>
      <c r="G137" s="153"/>
      <c r="H137" s="301"/>
      <c r="I137" s="301"/>
      <c r="J137" s="301"/>
      <c r="K137" s="301"/>
      <c r="L137" s="153"/>
      <c r="M137" s="301"/>
      <c r="N137" s="301"/>
      <c r="O137" s="301"/>
      <c r="P137" s="301"/>
      <c r="Q137" s="153"/>
      <c r="R137" s="301"/>
      <c r="S137" s="301"/>
      <c r="T137" s="301"/>
      <c r="U137" s="301"/>
      <c r="V137" s="153"/>
      <c r="W137" s="301"/>
      <c r="X137" s="301"/>
      <c r="Y137" s="301"/>
      <c r="Z137" s="301"/>
      <c r="AA137" s="153"/>
      <c r="AB137" s="301"/>
      <c r="AC137" s="301"/>
      <c r="AD137" s="301"/>
      <c r="AE137" s="301"/>
      <c r="AF137" s="153"/>
      <c r="AG137" s="301"/>
      <c r="AH137" s="301"/>
      <c r="AI137" s="301"/>
      <c r="AJ137" s="301"/>
      <c r="AK137" s="154">
        <f>+AK134-AK135</f>
        <v>27</v>
      </c>
      <c r="AL137" s="302"/>
      <c r="AM137" s="302"/>
      <c r="AN137" s="302"/>
      <c r="AO137" s="302"/>
      <c r="AP137" s="154">
        <f t="shared" ref="AP137:CD137" si="93">+AP134-AP135</f>
        <v>1180</v>
      </c>
      <c r="AQ137" s="302">
        <f t="shared" si="93"/>
        <v>-382</v>
      </c>
      <c r="AR137" s="302">
        <f t="shared" si="93"/>
        <v>281</v>
      </c>
      <c r="AS137" s="302">
        <f t="shared" si="93"/>
        <v>234</v>
      </c>
      <c r="AT137" s="302">
        <f t="shared" si="93"/>
        <v>286</v>
      </c>
      <c r="AU137" s="154">
        <f t="shared" si="93"/>
        <v>419</v>
      </c>
      <c r="AV137" s="302">
        <f>+AV134-AV135</f>
        <v>255</v>
      </c>
      <c r="AW137" s="302">
        <f t="shared" si="93"/>
        <v>307</v>
      </c>
      <c r="AX137" s="302">
        <f t="shared" si="93"/>
        <v>301</v>
      </c>
      <c r="AY137" s="302">
        <f t="shared" si="93"/>
        <v>361</v>
      </c>
      <c r="AZ137" s="154">
        <f t="shared" si="93"/>
        <v>1213</v>
      </c>
      <c r="BA137" s="302">
        <f t="shared" si="93"/>
        <v>366</v>
      </c>
      <c r="BB137" s="302">
        <f t="shared" si="93"/>
        <v>323</v>
      </c>
      <c r="BC137" s="302">
        <f t="shared" si="93"/>
        <v>323</v>
      </c>
      <c r="BD137" s="302">
        <f t="shared" si="93"/>
        <v>390</v>
      </c>
      <c r="BE137" s="154">
        <f t="shared" si="93"/>
        <v>1402</v>
      </c>
      <c r="BF137" s="302">
        <f t="shared" si="93"/>
        <v>384</v>
      </c>
      <c r="BG137" s="302">
        <f t="shared" si="93"/>
        <v>411</v>
      </c>
      <c r="BH137" s="302">
        <f t="shared" si="93"/>
        <v>380</v>
      </c>
      <c r="BI137" s="302">
        <f t="shared" si="93"/>
        <v>620</v>
      </c>
      <c r="BJ137" s="154">
        <f t="shared" si="93"/>
        <v>1795</v>
      </c>
      <c r="BK137" s="302">
        <f t="shared" si="93"/>
        <v>511</v>
      </c>
      <c r="BL137" s="302">
        <f t="shared" si="93"/>
        <v>451.67312481934943</v>
      </c>
      <c r="BM137" s="302">
        <f t="shared" si="93"/>
        <v>422.17237212296487</v>
      </c>
      <c r="BN137" s="302">
        <f t="shared" si="93"/>
        <v>550.24828914671821</v>
      </c>
      <c r="BO137" s="154">
        <f t="shared" si="93"/>
        <v>1935.0937860890328</v>
      </c>
      <c r="BP137" s="302">
        <f t="shared" si="93"/>
        <v>524.96960922886899</v>
      </c>
      <c r="BQ137" s="302">
        <f t="shared" si="93"/>
        <v>553.57706374225108</v>
      </c>
      <c r="BR137" s="302">
        <f t="shared" si="93"/>
        <v>549.53417368598468</v>
      </c>
      <c r="BS137" s="302">
        <f t="shared" si="93"/>
        <v>710.49680250360234</v>
      </c>
      <c r="BT137" s="154">
        <f t="shared" si="93"/>
        <v>2338.5776491607076</v>
      </c>
      <c r="BU137" s="302">
        <f t="shared" si="93"/>
        <v>634.7854444918454</v>
      </c>
      <c r="BV137" s="302">
        <f t="shared" si="93"/>
        <v>676.37157320134497</v>
      </c>
      <c r="BW137" s="302">
        <f t="shared" si="93"/>
        <v>655.36956251844947</v>
      </c>
      <c r="BX137" s="302">
        <f t="shared" si="93"/>
        <v>855.04449563970388</v>
      </c>
      <c r="BY137" s="154">
        <f t="shared" si="93"/>
        <v>2821.5710758513437</v>
      </c>
      <c r="BZ137" s="302">
        <f t="shared" si="93"/>
        <v>796.45731655895952</v>
      </c>
      <c r="CA137" s="302">
        <f t="shared" si="93"/>
        <v>851.25271587688235</v>
      </c>
      <c r="CB137" s="302">
        <f t="shared" si="93"/>
        <v>849.59541348901166</v>
      </c>
      <c r="CC137" s="302">
        <f t="shared" si="93"/>
        <v>1101.1205896856061</v>
      </c>
      <c r="CD137" s="154">
        <f t="shared" si="93"/>
        <v>3598.4260356104596</v>
      </c>
      <c r="CE137" s="303"/>
    </row>
    <row r="138" spans="1:91" ht="12.75" customHeight="1" thickBot="1">
      <c r="A138" s="304"/>
      <c r="B138" s="305" t="s">
        <v>163</v>
      </c>
      <c r="C138" s="306"/>
      <c r="D138" s="306"/>
      <c r="E138" s="306"/>
      <c r="F138" s="306"/>
      <c r="G138" s="268"/>
      <c r="H138" s="306"/>
      <c r="I138" s="306"/>
      <c r="J138" s="306"/>
      <c r="K138" s="306"/>
      <c r="L138" s="268"/>
      <c r="M138" s="306"/>
      <c r="N138" s="306"/>
      <c r="O138" s="306"/>
      <c r="P138" s="306"/>
      <c r="Q138" s="268"/>
      <c r="R138" s="306"/>
      <c r="S138" s="306"/>
      <c r="T138" s="306"/>
      <c r="U138" s="306"/>
      <c r="V138" s="268"/>
      <c r="W138" s="306"/>
      <c r="X138" s="306"/>
      <c r="Y138" s="306"/>
      <c r="Z138" s="306"/>
      <c r="AA138" s="268"/>
      <c r="AB138" s="306"/>
      <c r="AC138" s="306"/>
      <c r="AD138" s="306"/>
      <c r="AE138" s="306"/>
      <c r="AF138" s="268"/>
      <c r="AG138" s="306"/>
      <c r="AH138" s="306"/>
      <c r="AI138" s="306"/>
      <c r="AJ138" s="306"/>
      <c r="AK138" s="268" t="str">
        <f>IF(ISERROR(AK137/AK143),"NM",AK137/AK143)</f>
        <v>NM</v>
      </c>
      <c r="AL138" s="307"/>
      <c r="AM138" s="307"/>
      <c r="AN138" s="307"/>
      <c r="AO138" s="307"/>
      <c r="AP138" s="268">
        <f t="shared" ref="AP138:CD138" si="94">IF(ISERROR(AP137/AP143),"NM",AP137/AP143)</f>
        <v>0.89870525514089872</v>
      </c>
      <c r="AQ138" s="307">
        <f t="shared" si="94"/>
        <v>-0.29937304075235111</v>
      </c>
      <c r="AR138" s="307">
        <f t="shared" si="94"/>
        <v>0.22178374112075769</v>
      </c>
      <c r="AS138" s="307">
        <f t="shared" si="94"/>
        <v>0.18705035971223022</v>
      </c>
      <c r="AT138" s="307">
        <f t="shared" si="94"/>
        <v>0.23045930701047543</v>
      </c>
      <c r="AU138" s="268">
        <f t="shared" si="94"/>
        <v>0.33763094278807415</v>
      </c>
      <c r="AV138" s="307">
        <f t="shared" si="94"/>
        <v>0.20748576078112285</v>
      </c>
      <c r="AW138" s="307">
        <f t="shared" si="94"/>
        <v>0.25081699346405228</v>
      </c>
      <c r="AX138" s="307">
        <f t="shared" si="94"/>
        <v>0.24531377343113284</v>
      </c>
      <c r="AY138" s="307">
        <f t="shared" si="94"/>
        <v>0.29349593495934961</v>
      </c>
      <c r="AZ138" s="268">
        <f t="shared" si="94"/>
        <v>0.98818737270875767</v>
      </c>
      <c r="BA138" s="307">
        <f t="shared" si="94"/>
        <v>0.29877551020408161</v>
      </c>
      <c r="BB138" s="307">
        <f t="shared" si="94"/>
        <v>0.26584362139917694</v>
      </c>
      <c r="BC138" s="307">
        <f t="shared" si="94"/>
        <v>0.26606260296540363</v>
      </c>
      <c r="BD138" s="307">
        <f t="shared" si="94"/>
        <v>0.32072368421052633</v>
      </c>
      <c r="BE138" s="268">
        <f t="shared" si="94"/>
        <v>1.1515400410677619</v>
      </c>
      <c r="BF138" s="307">
        <f t="shared" si="94"/>
        <v>0.31578947368421051</v>
      </c>
      <c r="BG138" s="307">
        <f t="shared" si="94"/>
        <v>0.33827160493827163</v>
      </c>
      <c r="BH138" s="307">
        <f t="shared" si="94"/>
        <v>0.3107113654946852</v>
      </c>
      <c r="BI138" s="307">
        <f t="shared" si="94"/>
        <v>0.50488599348534202</v>
      </c>
      <c r="BJ138" s="268">
        <f t="shared" si="94"/>
        <v>1.4707087259319951</v>
      </c>
      <c r="BK138" s="307">
        <f t="shared" si="94"/>
        <v>0.41988496302382911</v>
      </c>
      <c r="BL138" s="307">
        <f t="shared" si="94"/>
        <v>0.37188633102347085</v>
      </c>
      <c r="BM138" s="307">
        <f t="shared" si="94"/>
        <v>0.34833097249003475</v>
      </c>
      <c r="BN138" s="307">
        <f t="shared" si="94"/>
        <v>0.45472101233526041</v>
      </c>
      <c r="BO138" s="268">
        <f t="shared" si="94"/>
        <v>1.5947661545838094</v>
      </c>
      <c r="BP138" s="307">
        <f t="shared" si="94"/>
        <v>0.4346762985976893</v>
      </c>
      <c r="BQ138" s="307">
        <f t="shared" si="94"/>
        <v>0.45918167392393955</v>
      </c>
      <c r="BR138" s="307">
        <f t="shared" si="94"/>
        <v>0.45658323878983309</v>
      </c>
      <c r="BS138" s="307">
        <f t="shared" si="94"/>
        <v>0.59098656387855408</v>
      </c>
      <c r="BT138" s="268">
        <f t="shared" si="94"/>
        <v>1.9410910047671426</v>
      </c>
      <c r="BU138" s="307">
        <f t="shared" si="94"/>
        <v>0.52926030710606042</v>
      </c>
      <c r="BV138" s="307">
        <f t="shared" si="94"/>
        <v>0.56515809787238225</v>
      </c>
      <c r="BW138" s="307">
        <f t="shared" si="94"/>
        <v>0.54875174161057982</v>
      </c>
      <c r="BX138" s="307">
        <f t="shared" si="94"/>
        <v>0.71701481216218099</v>
      </c>
      <c r="BY138" s="268">
        <f t="shared" si="94"/>
        <v>2.3596847205323366</v>
      </c>
      <c r="BZ138" s="307">
        <f t="shared" si="94"/>
        <v>0.66915669063761596</v>
      </c>
      <c r="CA138" s="307">
        <f t="shared" si="94"/>
        <v>0.71641942792455005</v>
      </c>
      <c r="CB138" s="307">
        <f t="shared" si="94"/>
        <v>0.71617927187247399</v>
      </c>
      <c r="CC138" s="307">
        <f t="shared" si="94"/>
        <v>0.92916421627967327</v>
      </c>
      <c r="CD138" s="268">
        <f t="shared" si="94"/>
        <v>3.0303816237328429</v>
      </c>
      <c r="CE138" s="308"/>
      <c r="CL138" s="160"/>
      <c r="CM138" s="160"/>
    </row>
    <row r="139" spans="1:91" thickTop="1">
      <c r="A139" s="172"/>
      <c r="B139" s="236" t="s">
        <v>21</v>
      </c>
      <c r="C139" s="139"/>
      <c r="D139" s="139"/>
      <c r="E139" s="139"/>
      <c r="F139" s="139"/>
      <c r="G139" s="140"/>
      <c r="H139" s="139"/>
      <c r="I139" s="139"/>
      <c r="J139" s="139"/>
      <c r="K139" s="139"/>
      <c r="L139" s="140"/>
      <c r="M139" s="139"/>
      <c r="N139" s="139"/>
      <c r="O139" s="139"/>
      <c r="P139" s="139"/>
      <c r="Q139" s="140"/>
      <c r="R139" s="139"/>
      <c r="S139" s="139"/>
      <c r="T139" s="139"/>
      <c r="U139" s="139"/>
      <c r="V139" s="140"/>
      <c r="W139" s="139"/>
      <c r="X139" s="139"/>
      <c r="Y139" s="139"/>
      <c r="Z139" s="139"/>
      <c r="AA139" s="140"/>
      <c r="AB139" s="139"/>
      <c r="AC139" s="139"/>
      <c r="AD139" s="139"/>
      <c r="AE139" s="139"/>
      <c r="AF139" s="140"/>
      <c r="AG139" s="139"/>
      <c r="AH139" s="139"/>
      <c r="AI139" s="139"/>
      <c r="AJ139" s="139"/>
      <c r="AK139" s="140"/>
      <c r="AL139" s="139"/>
      <c r="AM139" s="139"/>
      <c r="AN139" s="139"/>
      <c r="AO139" s="139"/>
      <c r="AP139" s="140" t="str">
        <f>IF(ISERROR(AP138/AK138-1), "NM", (AP138/AK138-1))</f>
        <v>NM</v>
      </c>
      <c r="AQ139" s="139"/>
      <c r="AR139" s="309"/>
      <c r="AS139" s="309"/>
      <c r="AT139" s="139"/>
      <c r="AU139" s="140">
        <f t="shared" ref="AU139:CD139" si="95">IF(ISERROR(AU138/AP138-1), "NM", (AU138/AP138-1))</f>
        <v>-0.62431404416886327</v>
      </c>
      <c r="AV139" s="139">
        <f t="shared" si="95"/>
        <v>-1.6930676197819705</v>
      </c>
      <c r="AW139" s="139">
        <f t="shared" si="95"/>
        <v>0.13090793850161653</v>
      </c>
      <c r="AX139" s="139">
        <f t="shared" si="95"/>
        <v>0.3114851733433639</v>
      </c>
      <c r="AY139" s="139">
        <f t="shared" si="95"/>
        <v>0.27352606742850649</v>
      </c>
      <c r="AZ139" s="140">
        <f t="shared" si="95"/>
        <v>1.9268270394548166</v>
      </c>
      <c r="BA139" s="139">
        <f t="shared" si="95"/>
        <v>0.43998079231692677</v>
      </c>
      <c r="BB139" s="139">
        <f t="shared" si="95"/>
        <v>5.991072505730477E-2</v>
      </c>
      <c r="BC139" s="139">
        <f t="shared" si="95"/>
        <v>8.4580776872259955E-2</v>
      </c>
      <c r="BD139" s="139">
        <f t="shared" si="95"/>
        <v>9.2770447587111837E-2</v>
      </c>
      <c r="BE139" s="140">
        <f t="shared" si="95"/>
        <v>0.16530535895356779</v>
      </c>
      <c r="BF139" s="139">
        <f t="shared" si="95"/>
        <v>5.6945642795513507E-2</v>
      </c>
      <c r="BG139" s="139">
        <f t="shared" si="95"/>
        <v>0.27244582043343679</v>
      </c>
      <c r="BH139" s="139">
        <f t="shared" si="95"/>
        <v>0.16781299600788802</v>
      </c>
      <c r="BI139" s="139">
        <f t="shared" si="95"/>
        <v>0.57420863609788686</v>
      </c>
      <c r="BJ139" s="140">
        <f t="shared" si="95"/>
        <v>0.27716681442382596</v>
      </c>
      <c r="BK139" s="139">
        <f t="shared" si="95"/>
        <v>0.32963571624212551</v>
      </c>
      <c r="BL139" s="139">
        <f t="shared" si="95"/>
        <v>9.937200047084449E-2</v>
      </c>
      <c r="BM139" s="139">
        <f t="shared" si="95"/>
        <v>0.12107573514555914</v>
      </c>
      <c r="BN139" s="139">
        <f t="shared" si="95"/>
        <v>-9.9359027181129433E-2</v>
      </c>
      <c r="BO139" s="140">
        <f t="shared" si="95"/>
        <v>8.4352140205871562E-2</v>
      </c>
      <c r="BP139" s="139">
        <f t="shared" si="95"/>
        <v>3.5227114272774696E-2</v>
      </c>
      <c r="BQ139" s="139">
        <f t="shared" si="95"/>
        <v>0.23473662680804264</v>
      </c>
      <c r="BR139" s="139">
        <f t="shared" si="95"/>
        <v>0.31077416264755287</v>
      </c>
      <c r="BS139" s="139">
        <f t="shared" si="95"/>
        <v>0.29966847329858304</v>
      </c>
      <c r="BT139" s="140">
        <f t="shared" si="95"/>
        <v>0.2171634061758192</v>
      </c>
      <c r="BU139" s="139">
        <f t="shared" si="95"/>
        <v>0.21759642477289165</v>
      </c>
      <c r="BV139" s="139">
        <f t="shared" si="95"/>
        <v>0.23079410605136008</v>
      </c>
      <c r="BW139" s="139">
        <f t="shared" si="95"/>
        <v>0.20186571689542943</v>
      </c>
      <c r="BX139" s="139">
        <f t="shared" si="95"/>
        <v>0.21325061513500887</v>
      </c>
      <c r="BY139" s="140">
        <f t="shared" si="95"/>
        <v>0.21564868145654481</v>
      </c>
      <c r="BZ139" s="139">
        <f t="shared" si="95"/>
        <v>0.2643243440954306</v>
      </c>
      <c r="CA139" s="139">
        <f t="shared" si="95"/>
        <v>0.2676442762151201</v>
      </c>
      <c r="CB139" s="139">
        <f t="shared" si="95"/>
        <v>0.30510614831124983</v>
      </c>
      <c r="CC139" s="139">
        <f t="shared" si="95"/>
        <v>0.29587869109391063</v>
      </c>
      <c r="CD139" s="140">
        <f t="shared" si="95"/>
        <v>0.28423157439829483</v>
      </c>
      <c r="CE139" s="274"/>
      <c r="CL139" s="160"/>
      <c r="CM139" s="160"/>
    </row>
    <row r="140" spans="1:91" ht="12.75" customHeight="1">
      <c r="A140" s="310"/>
      <c r="B140" s="287"/>
      <c r="C140" s="311"/>
      <c r="D140" s="311"/>
      <c r="E140" s="311"/>
      <c r="F140" s="311"/>
      <c r="G140" s="312"/>
      <c r="H140" s="311"/>
      <c r="I140" s="311"/>
      <c r="J140" s="311"/>
      <c r="K140" s="311"/>
      <c r="L140" s="312"/>
      <c r="M140" s="311"/>
      <c r="N140" s="311"/>
      <c r="O140" s="311"/>
      <c r="P140" s="311"/>
      <c r="Q140" s="312"/>
      <c r="R140" s="311"/>
      <c r="S140" s="311"/>
      <c r="T140" s="311"/>
      <c r="U140" s="311"/>
      <c r="V140" s="312"/>
      <c r="W140" s="311"/>
      <c r="X140" s="311"/>
      <c r="Y140" s="311"/>
      <c r="Z140" s="311"/>
      <c r="AA140" s="312"/>
      <c r="AB140" s="311"/>
      <c r="AC140" s="311"/>
      <c r="AD140" s="311"/>
      <c r="AE140" s="311"/>
      <c r="AF140" s="312"/>
      <c r="AG140" s="311"/>
      <c r="AH140" s="311"/>
      <c r="AI140" s="311"/>
      <c r="AJ140" s="311"/>
      <c r="AK140" s="312"/>
      <c r="AL140" s="292"/>
      <c r="AM140" s="292"/>
      <c r="AN140" s="292"/>
      <c r="AO140" s="292"/>
      <c r="AP140" s="312"/>
      <c r="AQ140" s="292"/>
      <c r="AR140" s="292"/>
      <c r="AS140" s="292"/>
      <c r="AT140" s="292"/>
      <c r="AU140" s="293"/>
      <c r="AV140" s="292"/>
      <c r="AW140" s="292"/>
      <c r="AX140" s="292"/>
      <c r="AY140" s="292"/>
      <c r="AZ140" s="293"/>
      <c r="BA140" s="292"/>
      <c r="BB140" s="292"/>
      <c r="BC140" s="292"/>
      <c r="BD140" s="292"/>
      <c r="BE140" s="293"/>
      <c r="BF140" s="292"/>
      <c r="BG140" s="292"/>
      <c r="BH140" s="292"/>
      <c r="BI140" s="292"/>
      <c r="BJ140" s="293"/>
      <c r="BK140" s="292"/>
      <c r="BL140" s="313"/>
      <c r="BM140" s="292"/>
      <c r="BN140" s="292"/>
      <c r="BO140" s="293"/>
      <c r="BP140" s="292"/>
      <c r="BQ140" s="313"/>
      <c r="BR140" s="292"/>
      <c r="BS140" s="292"/>
      <c r="BT140" s="293"/>
      <c r="BU140" s="292"/>
      <c r="BV140" s="313"/>
      <c r="BW140" s="292"/>
      <c r="BX140" s="292"/>
      <c r="BY140" s="293"/>
      <c r="BZ140" s="292"/>
      <c r="CA140" s="313"/>
      <c r="CB140" s="292"/>
      <c r="CC140" s="292"/>
      <c r="CD140" s="293"/>
      <c r="CE140" s="314"/>
      <c r="CL140" s="310"/>
      <c r="CM140" s="310"/>
    </row>
    <row r="141" spans="1:91" ht="12.75" customHeight="1">
      <c r="A141" s="160"/>
      <c r="B141" s="239" t="s">
        <v>164</v>
      </c>
      <c r="C141" s="142"/>
      <c r="D141" s="142"/>
      <c r="E141" s="196"/>
      <c r="F141" s="315"/>
      <c r="G141" s="316"/>
      <c r="H141" s="142"/>
      <c r="I141" s="142"/>
      <c r="J141" s="196"/>
      <c r="K141" s="315"/>
      <c r="L141" s="316"/>
      <c r="M141" s="142"/>
      <c r="N141" s="142"/>
      <c r="O141" s="196"/>
      <c r="P141" s="315"/>
      <c r="Q141" s="316"/>
      <c r="R141" s="142"/>
      <c r="S141" s="142"/>
      <c r="T141" s="196"/>
      <c r="U141" s="315"/>
      <c r="V141" s="316"/>
      <c r="W141" s="142"/>
      <c r="X141" s="142"/>
      <c r="Y141" s="196"/>
      <c r="Z141" s="315"/>
      <c r="AA141" s="316"/>
      <c r="AB141" s="142"/>
      <c r="AC141" s="142"/>
      <c r="AD141" s="196"/>
      <c r="AE141" s="315"/>
      <c r="AF141" s="316"/>
      <c r="AG141" s="142"/>
      <c r="AH141" s="142"/>
      <c r="AI141" s="196"/>
      <c r="AJ141" s="315"/>
      <c r="AK141" s="316" t="s">
        <v>165</v>
      </c>
      <c r="AL141" s="145"/>
      <c r="AM141" s="145"/>
      <c r="AN141" s="116"/>
      <c r="AO141" s="315"/>
      <c r="AP141" s="316">
        <v>1294.6549660000001</v>
      </c>
      <c r="AQ141" s="196">
        <v>1268.8370791256252</v>
      </c>
      <c r="AR141" s="196">
        <v>1241</v>
      </c>
      <c r="AS141" s="196">
        <v>1242</v>
      </c>
      <c r="AT141" s="196">
        <v>1243</v>
      </c>
      <c r="AU141" s="169">
        <f>+AT141</f>
        <v>1243</v>
      </c>
      <c r="AV141" s="170">
        <v>1224</v>
      </c>
      <c r="AW141" s="170">
        <f>AV141+(AW195+AW196+AW80)/AW151</f>
        <v>1226.2249999999999</v>
      </c>
      <c r="AX141" s="170">
        <v>1228.3486373734067</v>
      </c>
      <c r="AY141" s="170">
        <f>AX141+(AY195+AY196+AY80)/AY151</f>
        <v>1231.4182388011284</v>
      </c>
      <c r="AZ141" s="144">
        <f>AY141</f>
        <v>1231.4182388011284</v>
      </c>
      <c r="BA141" s="170">
        <f>AY141+(BA195+BA196+BA80)/BA151</f>
        <v>1219.9268210909966</v>
      </c>
      <c r="BB141" s="170">
        <f>BA141+(BB195+BB196+BB80)/BB151</f>
        <v>1217.0504277937573</v>
      </c>
      <c r="BC141" s="170">
        <f>BB141+(BC195+BC196+BC80)/BC151</f>
        <v>1218.3983055823619</v>
      </c>
      <c r="BD141" s="170">
        <f>BC141+(BD195+BD196+BD80)/BD151</f>
        <v>1220.6618348555082</v>
      </c>
      <c r="BE141" s="144">
        <f>BD141</f>
        <v>1220.6618348555082</v>
      </c>
      <c r="BF141" s="170">
        <f>BD141+(BF195+BF196+BF80)/BF151</f>
        <v>1213.1325110015116</v>
      </c>
      <c r="BG141" s="170">
        <f>BF141+(BG195+BG196+BG80)/BG151</f>
        <v>1216.9941042767821</v>
      </c>
      <c r="BH141" s="170">
        <f>BG141+(BH195+BH196+BH80)/BH151</f>
        <v>1218.9078973802305</v>
      </c>
      <c r="BI141" s="170">
        <f>BH141+(BI195+BI196+BI80)/BI151</f>
        <v>1218.3528090707266</v>
      </c>
      <c r="BJ141" s="144">
        <f>BI141</f>
        <v>1218.3528090707266</v>
      </c>
      <c r="BK141" s="145">
        <f>BJ141+(BK195+BK196+BK80)/BK151</f>
        <v>1192.5717674083335</v>
      </c>
      <c r="BL141" s="145">
        <f>BK141+(BL195+BL196+BL80)/BL151</f>
        <v>1190.1683600367921</v>
      </c>
      <c r="BM141" s="145">
        <f>BL141+(BM195+BM196+BM80)/BM151</f>
        <v>1187.6610761685745</v>
      </c>
      <c r="BN141" s="145">
        <f>BM141+(BN195+BN196+BN80)/BN151</f>
        <v>1185.7928142633236</v>
      </c>
      <c r="BO141" s="144">
        <f>BN141</f>
        <v>1185.7928142633236</v>
      </c>
      <c r="BP141" s="145">
        <f>BO141+(BP195+BP196+BP80)/BP151</f>
        <v>1183.4876951194174</v>
      </c>
      <c r="BQ141" s="145">
        <f>BP141+(BQ195+BQ196+BQ80)/BQ151</f>
        <v>1181.3795803280707</v>
      </c>
      <c r="BR141" s="145">
        <f>BQ141+(BR195+BR196+BR80)/BR151</f>
        <v>1179.4268428139242</v>
      </c>
      <c r="BS141" s="145">
        <f>BR141+(BS195+BS196+BS80)/BS151</f>
        <v>1178.0969335793002</v>
      </c>
      <c r="BT141" s="144">
        <f>BS141</f>
        <v>1178.0969335793002</v>
      </c>
      <c r="BU141" s="145">
        <f>BT141+(BU195+BU196+BU80)/BU151</f>
        <v>1175.3159758937375</v>
      </c>
      <c r="BV141" s="145">
        <f>BU141+(BV195+BV196+BV80)/BV151</f>
        <v>1172.7700183253364</v>
      </c>
      <c r="BW141" s="145">
        <f>BV141+(BW195+BW196+BW80)/BW151</f>
        <v>1170.3297917116904</v>
      </c>
      <c r="BX141" s="145">
        <f>BW141+(BX195+BX196+BX80)/BX151</f>
        <v>1168.5809719706151</v>
      </c>
      <c r="BY141" s="144">
        <f>BX141</f>
        <v>1168.5809719706151</v>
      </c>
      <c r="BZ141" s="145">
        <f>BY141+(BZ195+BZ196+BZ80)/BZ151</f>
        <v>1166.3618561300379</v>
      </c>
      <c r="CA141" s="145">
        <f>BZ141+(CA195+CA196+CA80)/CA151</f>
        <v>1164.3676948974037</v>
      </c>
      <c r="CB141" s="145">
        <f>CA141+(CB195+CB196+CB80)/CB151</f>
        <v>1162.4913980343492</v>
      </c>
      <c r="CC141" s="145">
        <f>CB141+(CC195+CC196+CC80)/CC151</f>
        <v>1161.2934163805808</v>
      </c>
      <c r="CD141" s="144">
        <f>CC141</f>
        <v>1161.2934163805808</v>
      </c>
      <c r="CE141" s="317"/>
      <c r="CL141" s="160"/>
      <c r="CM141" s="160"/>
    </row>
    <row r="142" spans="1:91" ht="12.75" customHeight="1">
      <c r="A142" s="160"/>
      <c r="B142" s="239" t="s">
        <v>166</v>
      </c>
      <c r="C142" s="142"/>
      <c r="D142" s="142"/>
      <c r="E142" s="142"/>
      <c r="F142" s="318"/>
      <c r="G142" s="316"/>
      <c r="H142" s="142"/>
      <c r="I142" s="142"/>
      <c r="J142" s="142"/>
      <c r="K142" s="318"/>
      <c r="L142" s="316"/>
      <c r="M142" s="142"/>
      <c r="N142" s="142"/>
      <c r="O142" s="142"/>
      <c r="P142" s="318"/>
      <c r="Q142" s="316"/>
      <c r="R142" s="142"/>
      <c r="S142" s="142"/>
      <c r="T142" s="142"/>
      <c r="U142" s="318"/>
      <c r="V142" s="316"/>
      <c r="W142" s="142"/>
      <c r="X142" s="142"/>
      <c r="Y142" s="142"/>
      <c r="Z142" s="318"/>
      <c r="AA142" s="316"/>
      <c r="AB142" s="142"/>
      <c r="AC142" s="142"/>
      <c r="AD142" s="142"/>
      <c r="AE142" s="318"/>
      <c r="AF142" s="316"/>
      <c r="AG142" s="142"/>
      <c r="AH142" s="142"/>
      <c r="AI142" s="142"/>
      <c r="AJ142" s="318"/>
      <c r="AK142" s="316" t="s">
        <v>165</v>
      </c>
      <c r="AL142" s="145"/>
      <c r="AM142" s="145"/>
      <c r="AN142" s="145"/>
      <c r="AO142" s="318"/>
      <c r="AP142" s="316">
        <v>1295</v>
      </c>
      <c r="AQ142" s="196">
        <v>1276</v>
      </c>
      <c r="AR142" s="196">
        <v>1258</v>
      </c>
      <c r="AS142" s="196">
        <v>1242</v>
      </c>
      <c r="AT142" s="196">
        <v>1241</v>
      </c>
      <c r="AU142" s="169">
        <f>+AT142</f>
        <v>1241</v>
      </c>
      <c r="AV142" s="170">
        <v>1216</v>
      </c>
      <c r="AW142" s="170">
        <v>1217</v>
      </c>
      <c r="AX142" s="170">
        <v>1221</v>
      </c>
      <c r="AY142" s="170">
        <v>1223</v>
      </c>
      <c r="AZ142" s="144">
        <f>AVERAGE(AV142:AY142)</f>
        <v>1219.25</v>
      </c>
      <c r="BA142" s="170">
        <v>1216</v>
      </c>
      <c r="BB142" s="170">
        <f>BA142+(BB195+BB196+BB80)/BB151</f>
        <v>1213.1236067027608</v>
      </c>
      <c r="BC142" s="170">
        <v>1207</v>
      </c>
      <c r="BD142" s="170">
        <f>BC142+(BD195+BD196+BD80)/BD151</f>
        <v>1209.2635292731463</v>
      </c>
      <c r="BE142" s="144">
        <f>AVERAGE(BA142:BD142)</f>
        <v>1211.3467839939767</v>
      </c>
      <c r="BF142" s="170">
        <f>BD142+(BF195+BF196+BF80)/BF151</f>
        <v>1201.7342054191497</v>
      </c>
      <c r="BG142" s="170">
        <v>1202</v>
      </c>
      <c r="BH142" s="170">
        <v>1202</v>
      </c>
      <c r="BI142" s="170">
        <v>1203</v>
      </c>
      <c r="BJ142" s="144">
        <f>AVERAGE(BF142:BI142)</f>
        <v>1202.1835513547874</v>
      </c>
      <c r="BK142" s="145">
        <v>1192</v>
      </c>
      <c r="BL142" s="145">
        <f>BK142+(BL195+BL196+BL80)/BL151</f>
        <v>1189.5965926284587</v>
      </c>
      <c r="BM142" s="145">
        <f>BL142+(BM195+BM196+BM80)/BM151</f>
        <v>1187.089308760241</v>
      </c>
      <c r="BN142" s="145">
        <f>BM142+(BN195+BN196+BN80)/BN151</f>
        <v>1185.2210468549902</v>
      </c>
      <c r="BO142" s="144">
        <f>AVERAGE(BK142:BN142)</f>
        <v>1188.4767370609225</v>
      </c>
      <c r="BP142" s="145">
        <f>BN142+(BP195+BP196+BP80)/BP151</f>
        <v>1182.9159277110839</v>
      </c>
      <c r="BQ142" s="145">
        <f>BP142+(BQ195+BQ196+BQ80)/BQ151</f>
        <v>1180.8078129197372</v>
      </c>
      <c r="BR142" s="145">
        <f>BQ142+(BR195+BR196+BR80)/BR151</f>
        <v>1178.8550754055907</v>
      </c>
      <c r="BS142" s="145">
        <f>BR142+(BS195+BS196+BS80)/BS151</f>
        <v>1177.5251661709667</v>
      </c>
      <c r="BT142" s="144">
        <f>AVERAGE(BP142:BS142)</f>
        <v>1180.0259955518445</v>
      </c>
      <c r="BU142" s="145">
        <f>BS142+(BU195+BU196+BU80)/BU151</f>
        <v>1174.744208485404</v>
      </c>
      <c r="BV142" s="145">
        <f>BU142+(BV195+BV196+BV80)/BV151</f>
        <v>1172.198250917003</v>
      </c>
      <c r="BW142" s="145">
        <f>BV142+(BW195+BW196+BW80)/BW151</f>
        <v>1169.7580243033569</v>
      </c>
      <c r="BX142" s="145">
        <f>BW142+(BX195+BX196+BX80)/BX151</f>
        <v>1168.0092045622816</v>
      </c>
      <c r="BY142" s="144">
        <f>AVERAGE(BU142:BX142)</f>
        <v>1171.1774220670113</v>
      </c>
      <c r="BZ142" s="145">
        <f>BX142+(BZ195+BZ196+BZ80)/BZ151</f>
        <v>1165.7900887217045</v>
      </c>
      <c r="CA142" s="145">
        <f>BZ142+(CA195+CA196+CA80)/CA151</f>
        <v>1163.7959274890702</v>
      </c>
      <c r="CB142" s="145">
        <f>CA142+(CB195+CB196+CB80)/CB151</f>
        <v>1161.9196306260158</v>
      </c>
      <c r="CC142" s="145">
        <f>CB142+(CC195+CC196+CC80)/CC151</f>
        <v>1160.7216489722473</v>
      </c>
      <c r="CD142" s="144">
        <f>AVERAGE(BZ142:CC142)</f>
        <v>1163.0568239522595</v>
      </c>
      <c r="CE142" s="248"/>
      <c r="CL142" s="160"/>
      <c r="CM142" s="160"/>
    </row>
    <row r="143" spans="1:91" ht="12.75" customHeight="1">
      <c r="A143" s="160"/>
      <c r="B143" s="239" t="s">
        <v>167</v>
      </c>
      <c r="C143" s="196"/>
      <c r="D143" s="142"/>
      <c r="E143" s="142"/>
      <c r="F143" s="318"/>
      <c r="G143" s="316"/>
      <c r="H143" s="196"/>
      <c r="I143" s="142"/>
      <c r="J143" s="142"/>
      <c r="K143" s="318"/>
      <c r="L143" s="316"/>
      <c r="M143" s="196"/>
      <c r="N143" s="142"/>
      <c r="O143" s="142"/>
      <c r="P143" s="318"/>
      <c r="Q143" s="316"/>
      <c r="R143" s="196"/>
      <c r="S143" s="142"/>
      <c r="T143" s="142"/>
      <c r="U143" s="318"/>
      <c r="V143" s="316"/>
      <c r="W143" s="196"/>
      <c r="X143" s="142"/>
      <c r="Y143" s="142"/>
      <c r="Z143" s="318"/>
      <c r="AA143" s="316"/>
      <c r="AB143" s="196"/>
      <c r="AC143" s="142"/>
      <c r="AD143" s="142"/>
      <c r="AE143" s="318"/>
      <c r="AF143" s="316"/>
      <c r="AG143" s="196"/>
      <c r="AH143" s="142"/>
      <c r="AI143" s="142"/>
      <c r="AJ143" s="318"/>
      <c r="AK143" s="316" t="s">
        <v>165</v>
      </c>
      <c r="AL143" s="116"/>
      <c r="AM143" s="145"/>
      <c r="AN143" s="145"/>
      <c r="AO143" s="318"/>
      <c r="AP143" s="316">
        <v>1313</v>
      </c>
      <c r="AQ143" s="196">
        <v>1276</v>
      </c>
      <c r="AR143" s="196">
        <v>1267</v>
      </c>
      <c r="AS143" s="196">
        <v>1251</v>
      </c>
      <c r="AT143" s="196">
        <v>1241</v>
      </c>
      <c r="AU143" s="169">
        <f>+AT143</f>
        <v>1241</v>
      </c>
      <c r="AV143" s="170">
        <v>1229</v>
      </c>
      <c r="AW143" s="170">
        <v>1224</v>
      </c>
      <c r="AX143" s="170">
        <v>1227</v>
      </c>
      <c r="AY143" s="170">
        <v>1230</v>
      </c>
      <c r="AZ143" s="144">
        <f>AVERAGE(AV143:AY143)</f>
        <v>1227.5</v>
      </c>
      <c r="BA143" s="170">
        <v>1225</v>
      </c>
      <c r="BB143" s="170">
        <v>1215</v>
      </c>
      <c r="BC143" s="170">
        <v>1214</v>
      </c>
      <c r="BD143" s="170">
        <v>1216</v>
      </c>
      <c r="BE143" s="144">
        <f>AVERAGE(BA143:BD143)</f>
        <v>1217.5</v>
      </c>
      <c r="BF143" s="170">
        <v>1216</v>
      </c>
      <c r="BG143" s="170">
        <v>1215</v>
      </c>
      <c r="BH143" s="170">
        <v>1223</v>
      </c>
      <c r="BI143" s="170">
        <v>1228</v>
      </c>
      <c r="BJ143" s="144">
        <f>AVERAGE(BF143:BI143)</f>
        <v>1220.5</v>
      </c>
      <c r="BK143" s="145">
        <v>1217</v>
      </c>
      <c r="BL143" s="145">
        <f>(BK143/BK142)*BL142</f>
        <v>1214.5461855946596</v>
      </c>
      <c r="BM143" s="145">
        <f>(BL143/BL142)*BM142</f>
        <v>1211.9863160748434</v>
      </c>
      <c r="BN143" s="145">
        <f>(BM143/BM142)*BN142</f>
        <v>1210.0788708242642</v>
      </c>
      <c r="BO143" s="144">
        <f>AVERAGE(BK143:BN143)</f>
        <v>1213.4028431234419</v>
      </c>
      <c r="BP143" s="145">
        <f>(BN143/BN142)*BP142</f>
        <v>1207.725406060729</v>
      </c>
      <c r="BQ143" s="145">
        <f>(BP143/BP142)*BQ142</f>
        <v>1205.5730774524498</v>
      </c>
      <c r="BR143" s="145">
        <f>(BQ143/BQ142)*BR142</f>
        <v>1203.5793848729897</v>
      </c>
      <c r="BS143" s="145">
        <f>(BR143/BR142)*BS142</f>
        <v>1202.2215832467</v>
      </c>
      <c r="BT143" s="144">
        <f>AVERAGE(BP143:BS143)</f>
        <v>1204.7748629082171</v>
      </c>
      <c r="BU143" s="145">
        <f>(BS143/BS142)*BU142</f>
        <v>1199.3823001063226</v>
      </c>
      <c r="BV143" s="145">
        <f>(BU143/BU142)*BV142</f>
        <v>1196.7829457768394</v>
      </c>
      <c r="BW143" s="145">
        <f>(BV143/BV142)*BW142</f>
        <v>1194.2915399137462</v>
      </c>
      <c r="BX143" s="145">
        <f>(BW143/BW142)*BX142</f>
        <v>1192.5060419062893</v>
      </c>
      <c r="BY143" s="144">
        <f>AVERAGE(BU143:BX143)</f>
        <v>1195.7407069257995</v>
      </c>
      <c r="BZ143" s="145">
        <f>(BX143/BX142)*BZ142</f>
        <v>1190.2403842066396</v>
      </c>
      <c r="CA143" s="145">
        <f>(BZ143/BZ142)*CA142</f>
        <v>1188.2043991226496</v>
      </c>
      <c r="CB143" s="145">
        <f>(CA143/CA142)*CB142</f>
        <v>1186.2887503958566</v>
      </c>
      <c r="CC143" s="145">
        <f>(CB143/CB142)*CC142</f>
        <v>1185.0656432879405</v>
      </c>
      <c r="CD143" s="144">
        <f>AVERAGE(BZ143:CC143)</f>
        <v>1187.4497942532716</v>
      </c>
      <c r="CE143" s="248"/>
      <c r="CL143" s="160"/>
      <c r="CM143" s="160"/>
    </row>
    <row r="144" spans="1:91" ht="12.75" hidden="1" customHeight="1" outlineLevel="1">
      <c r="A144" s="160"/>
      <c r="B144" s="319"/>
      <c r="C144" s="142"/>
      <c r="D144" s="142"/>
      <c r="E144" s="142"/>
      <c r="F144" s="320"/>
      <c r="G144" s="321"/>
      <c r="H144" s="142"/>
      <c r="I144" s="142"/>
      <c r="J144" s="142"/>
      <c r="K144" s="320"/>
      <c r="L144" s="321"/>
      <c r="M144" s="142"/>
      <c r="N144" s="142"/>
      <c r="O144" s="142"/>
      <c r="P144" s="320"/>
      <c r="Q144" s="321"/>
      <c r="R144" s="142"/>
      <c r="S144" s="142"/>
      <c r="T144" s="142"/>
      <c r="U144" s="320"/>
      <c r="V144" s="321"/>
      <c r="W144" s="142"/>
      <c r="X144" s="142"/>
      <c r="Y144" s="142"/>
      <c r="Z144" s="320"/>
      <c r="AA144" s="321"/>
      <c r="AB144" s="142"/>
      <c r="AC144" s="142"/>
      <c r="AD144" s="142"/>
      <c r="AE144" s="320"/>
      <c r="AF144" s="321"/>
      <c r="AG144" s="142"/>
      <c r="AH144" s="142"/>
      <c r="AI144" s="142"/>
      <c r="AJ144" s="320"/>
      <c r="AK144" s="321"/>
      <c r="AL144" s="145"/>
      <c r="AM144" s="145"/>
      <c r="AN144" s="145"/>
      <c r="AO144" s="320"/>
      <c r="AP144" s="321"/>
      <c r="AQ144" s="322"/>
      <c r="AR144" s="322"/>
      <c r="AS144" s="322"/>
      <c r="AT144" s="322"/>
      <c r="AU144" s="323"/>
      <c r="AV144" s="322"/>
      <c r="AW144" s="322"/>
      <c r="AX144" s="322"/>
      <c r="AY144" s="322"/>
      <c r="AZ144" s="323"/>
      <c r="BA144" s="322"/>
      <c r="BB144" s="322"/>
      <c r="BC144" s="322"/>
      <c r="BD144" s="322"/>
      <c r="BE144" s="323"/>
      <c r="BF144" s="322"/>
      <c r="BG144" s="322"/>
      <c r="BH144" s="322"/>
      <c r="BI144" s="322"/>
      <c r="BJ144" s="323"/>
      <c r="BK144" s="322"/>
      <c r="BL144" s="322"/>
      <c r="BM144" s="322"/>
      <c r="BN144" s="322"/>
      <c r="BO144" s="323"/>
      <c r="BP144" s="322"/>
      <c r="BQ144" s="322"/>
      <c r="BR144" s="322"/>
      <c r="BS144" s="322"/>
      <c r="BT144" s="323"/>
      <c r="BU144" s="322"/>
      <c r="BV144" s="322"/>
      <c r="BW144" s="322"/>
      <c r="BX144" s="322"/>
      <c r="BY144" s="323"/>
      <c r="BZ144" s="322"/>
      <c r="CA144" s="322"/>
      <c r="CB144" s="322"/>
      <c r="CC144" s="322"/>
      <c r="CD144" s="323"/>
      <c r="CE144" s="248"/>
      <c r="CL144" s="297"/>
      <c r="CM144" s="297"/>
    </row>
    <row r="145" spans="1:91" ht="12.75" hidden="1" customHeight="1" outlineLevel="1">
      <c r="A145" s="160"/>
      <c r="B145" s="319" t="s">
        <v>168</v>
      </c>
      <c r="C145" s="142"/>
      <c r="D145" s="142"/>
      <c r="E145" s="142"/>
      <c r="F145" s="320"/>
      <c r="G145" s="321"/>
      <c r="H145" s="142"/>
      <c r="I145" s="142"/>
      <c r="J145" s="142"/>
      <c r="K145" s="320"/>
      <c r="L145" s="321"/>
      <c r="M145" s="142"/>
      <c r="N145" s="142"/>
      <c r="O145" s="142"/>
      <c r="P145" s="320"/>
      <c r="Q145" s="321"/>
      <c r="R145" s="142"/>
      <c r="S145" s="142"/>
      <c r="T145" s="142"/>
      <c r="U145" s="320"/>
      <c r="V145" s="321"/>
      <c r="W145" s="142"/>
      <c r="X145" s="142"/>
      <c r="Y145" s="142"/>
      <c r="Z145" s="320"/>
      <c r="AA145" s="321"/>
      <c r="AB145" s="142"/>
      <c r="AC145" s="142"/>
      <c r="AD145" s="142"/>
      <c r="AE145" s="320"/>
      <c r="AF145" s="321"/>
      <c r="AG145" s="142"/>
      <c r="AH145" s="142"/>
      <c r="AI145" s="142"/>
      <c r="AJ145" s="320"/>
      <c r="AK145" s="321"/>
      <c r="AL145" s="145"/>
      <c r="AM145" s="145"/>
      <c r="AN145" s="145"/>
      <c r="AO145" s="320"/>
      <c r="AP145" s="321"/>
      <c r="AQ145" s="322"/>
      <c r="AR145" s="322"/>
      <c r="AS145" s="322"/>
      <c r="AT145" s="322"/>
      <c r="AU145" s="323"/>
      <c r="AV145" s="322"/>
      <c r="AW145" s="322"/>
      <c r="AX145" s="322"/>
      <c r="AY145" s="322"/>
      <c r="AZ145" s="323"/>
      <c r="BA145" s="322"/>
      <c r="BB145" s="322"/>
      <c r="BC145" s="322"/>
      <c r="BD145" s="322"/>
      <c r="BE145" s="323"/>
      <c r="BF145" s="318">
        <f>-BF196</f>
        <v>517</v>
      </c>
      <c r="BG145" s="318">
        <f>-BG196</f>
        <v>89</v>
      </c>
      <c r="BH145" s="318">
        <f>CHOOSE(_Switch,BH146,BH147,BH148)</f>
        <v>0</v>
      </c>
      <c r="BI145" s="322"/>
      <c r="BJ145" s="323">
        <f>+SUM(BF145:BI145)</f>
        <v>606</v>
      </c>
      <c r="BK145" s="324">
        <f>CHOOSE(_Switch,BK146,BK147,BK148)</f>
        <v>400</v>
      </c>
      <c r="BL145" s="324">
        <f>CHOOSE(_Switch,BL146,BL147,BL148)</f>
        <v>400</v>
      </c>
      <c r="BM145" s="324">
        <f>CHOOSE(_Switch,BM146,BM147,BM148)</f>
        <v>400</v>
      </c>
      <c r="BN145" s="324">
        <f>CHOOSE(_Switch,BN146,BN147,BN148)</f>
        <v>400</v>
      </c>
      <c r="BO145" s="323">
        <f>+SUM(BK145:BN145)</f>
        <v>1600</v>
      </c>
      <c r="BP145" s="324">
        <f>CHOOSE(_Switch,BP146,BP147,BP148)</f>
        <v>400</v>
      </c>
      <c r="BQ145" s="324">
        <f>CHOOSE(_Switch,BQ146,BQ147,BQ148)</f>
        <v>400</v>
      </c>
      <c r="BR145" s="324">
        <f>CHOOSE(_Switch,BR146,BR147,BR148)</f>
        <v>400</v>
      </c>
      <c r="BS145" s="324">
        <f>CHOOSE(_Switch,BS146,BS147,BS148)</f>
        <v>400</v>
      </c>
      <c r="BT145" s="323">
        <f>+SUM(BP145:BS145)</f>
        <v>1600</v>
      </c>
      <c r="BU145" s="324">
        <f>CHOOSE(_Switch,BU146,BU147,BU148)</f>
        <v>500</v>
      </c>
      <c r="BV145" s="324">
        <f>CHOOSE(_Switch,BV146,BV147,BV148)</f>
        <v>500</v>
      </c>
      <c r="BW145" s="324">
        <f>CHOOSE(_Switch,BW146,BW147,BW148)</f>
        <v>500</v>
      </c>
      <c r="BX145" s="324">
        <f>CHOOSE(_Switch,BX146,BX147,BX148)</f>
        <v>500</v>
      </c>
      <c r="BY145" s="323">
        <f>+SUM(BU145:BX145)</f>
        <v>2000</v>
      </c>
      <c r="BZ145" s="324">
        <f>CHOOSE(_Switch,BZ146,BZ147,BZ148)</f>
        <v>500</v>
      </c>
      <c r="CA145" s="324">
        <f>CHOOSE(_Switch,CA146,CA147,CA148)</f>
        <v>500</v>
      </c>
      <c r="CB145" s="324">
        <f>CHOOSE(_Switch,CB146,CB147,CB148)</f>
        <v>500</v>
      </c>
      <c r="CC145" s="324">
        <f>CHOOSE(_Switch,CC146,CC147,CC148)</f>
        <v>500</v>
      </c>
      <c r="CD145" s="323">
        <f>+SUM(BZ145:CC145)</f>
        <v>2000</v>
      </c>
      <c r="CE145" s="248"/>
      <c r="CL145" s="297"/>
      <c r="CM145" s="297"/>
    </row>
    <row r="146" spans="1:91" ht="12.75" hidden="1" customHeight="1" outlineLevel="1">
      <c r="A146" s="160"/>
      <c r="B146" s="185" t="s">
        <v>121</v>
      </c>
      <c r="C146" s="142"/>
      <c r="D146" s="142"/>
      <c r="E146" s="142"/>
      <c r="F146" s="320"/>
      <c r="G146" s="321"/>
      <c r="H146" s="142"/>
      <c r="I146" s="142"/>
      <c r="J146" s="142"/>
      <c r="K146" s="320"/>
      <c r="L146" s="321"/>
      <c r="M146" s="142"/>
      <c r="N146" s="142"/>
      <c r="O146" s="142"/>
      <c r="P146" s="320"/>
      <c r="Q146" s="321"/>
      <c r="R146" s="142"/>
      <c r="S146" s="142"/>
      <c r="T146" s="142"/>
      <c r="U146" s="320"/>
      <c r="V146" s="321"/>
      <c r="W146" s="142"/>
      <c r="X146" s="142"/>
      <c r="Y146" s="142"/>
      <c r="Z146" s="320"/>
      <c r="AA146" s="321"/>
      <c r="AB146" s="142"/>
      <c r="AC146" s="142"/>
      <c r="AD146" s="142"/>
      <c r="AE146" s="320"/>
      <c r="AF146" s="321"/>
      <c r="AG146" s="142"/>
      <c r="AH146" s="142"/>
      <c r="AI146" s="142"/>
      <c r="AJ146" s="320"/>
      <c r="AK146" s="321"/>
      <c r="AL146" s="145"/>
      <c r="AM146" s="145"/>
      <c r="AN146" s="145"/>
      <c r="AO146" s="320"/>
      <c r="AP146" s="321"/>
      <c r="AQ146" s="322"/>
      <c r="AR146" s="322"/>
      <c r="AS146" s="322"/>
      <c r="AT146" s="322"/>
      <c r="AU146" s="323"/>
      <c r="AV146" s="322"/>
      <c r="AW146" s="322"/>
      <c r="AX146" s="322"/>
      <c r="AY146" s="322"/>
      <c r="AZ146" s="323"/>
      <c r="BA146" s="322"/>
      <c r="BB146" s="322"/>
      <c r="BC146" s="322"/>
      <c r="BD146" s="322"/>
      <c r="BE146" s="323"/>
      <c r="BF146" s="322"/>
      <c r="BG146" s="322"/>
      <c r="BH146" s="322"/>
      <c r="BI146" s="322"/>
      <c r="BJ146" s="323"/>
      <c r="BK146" s="325">
        <f>+BK147+125</f>
        <v>525</v>
      </c>
      <c r="BL146" s="325">
        <f>+BL147+125</f>
        <v>525</v>
      </c>
      <c r="BM146" s="325">
        <f>+BM147+125</f>
        <v>525</v>
      </c>
      <c r="BN146" s="325">
        <f>+BN147+125</f>
        <v>525</v>
      </c>
      <c r="BO146" s="323"/>
      <c r="BP146" s="325">
        <f>+BP147+125</f>
        <v>525</v>
      </c>
      <c r="BQ146" s="325">
        <f>+BQ147+125</f>
        <v>525</v>
      </c>
      <c r="BR146" s="325">
        <f>+BR147+125</f>
        <v>525</v>
      </c>
      <c r="BS146" s="325">
        <f>+BS147+125</f>
        <v>525</v>
      </c>
      <c r="BT146" s="323"/>
      <c r="BU146" s="325">
        <f>+BU147+125</f>
        <v>625</v>
      </c>
      <c r="BV146" s="325">
        <f>+BV147+125</f>
        <v>625</v>
      </c>
      <c r="BW146" s="325">
        <f>+BW147+125</f>
        <v>625</v>
      </c>
      <c r="BX146" s="325">
        <f>+BX147+125</f>
        <v>625</v>
      </c>
      <c r="BY146" s="323"/>
      <c r="BZ146" s="325">
        <f>+BZ147+125</f>
        <v>625</v>
      </c>
      <c r="CA146" s="325">
        <f>+CA147+125</f>
        <v>625</v>
      </c>
      <c r="CB146" s="325">
        <f>+CB147+125</f>
        <v>625</v>
      </c>
      <c r="CC146" s="325">
        <f>+CC147+125</f>
        <v>625</v>
      </c>
      <c r="CD146" s="323"/>
      <c r="CE146" s="248"/>
      <c r="CL146" s="297"/>
      <c r="CM146" s="297"/>
    </row>
    <row r="147" spans="1:91" ht="12.75" hidden="1" customHeight="1" outlineLevel="1">
      <c r="A147" s="160"/>
      <c r="B147" s="185" t="s">
        <v>122</v>
      </c>
      <c r="C147" s="142"/>
      <c r="D147" s="142"/>
      <c r="E147" s="142"/>
      <c r="F147" s="320"/>
      <c r="G147" s="321"/>
      <c r="H147" s="142"/>
      <c r="I147" s="142"/>
      <c r="J147" s="142"/>
      <c r="K147" s="320"/>
      <c r="L147" s="321"/>
      <c r="M147" s="142"/>
      <c r="N147" s="142"/>
      <c r="O147" s="142"/>
      <c r="P147" s="320"/>
      <c r="Q147" s="321"/>
      <c r="R147" s="142"/>
      <c r="S147" s="142"/>
      <c r="T147" s="142"/>
      <c r="U147" s="320"/>
      <c r="V147" s="321"/>
      <c r="W147" s="142"/>
      <c r="X147" s="142"/>
      <c r="Y147" s="142"/>
      <c r="Z147" s="320"/>
      <c r="AA147" s="321"/>
      <c r="AB147" s="142"/>
      <c r="AC147" s="142"/>
      <c r="AD147" s="142"/>
      <c r="AE147" s="320"/>
      <c r="AF147" s="321"/>
      <c r="AG147" s="142"/>
      <c r="AH147" s="142"/>
      <c r="AI147" s="142"/>
      <c r="AJ147" s="320"/>
      <c r="AK147" s="321"/>
      <c r="AL147" s="145"/>
      <c r="AM147" s="145"/>
      <c r="AN147" s="145"/>
      <c r="AO147" s="320"/>
      <c r="AP147" s="321"/>
      <c r="AQ147" s="322"/>
      <c r="AR147" s="322"/>
      <c r="AS147" s="322"/>
      <c r="AT147" s="322"/>
      <c r="AU147" s="323"/>
      <c r="AV147" s="322"/>
      <c r="AW147" s="322"/>
      <c r="AX147" s="322"/>
      <c r="AY147" s="322"/>
      <c r="AZ147" s="323"/>
      <c r="BA147" s="322"/>
      <c r="BB147" s="322"/>
      <c r="BC147" s="322"/>
      <c r="BD147" s="322"/>
      <c r="BE147" s="323"/>
      <c r="BF147" s="322"/>
      <c r="BG147" s="322"/>
      <c r="BH147" s="322"/>
      <c r="BI147" s="322"/>
      <c r="BJ147" s="323"/>
      <c r="BK147" s="325">
        <v>400</v>
      </c>
      <c r="BL147" s="325">
        <f t="shared" ref="BL147:BN148" si="96">+BK147</f>
        <v>400</v>
      </c>
      <c r="BM147" s="325">
        <f t="shared" si="96"/>
        <v>400</v>
      </c>
      <c r="BN147" s="325">
        <f t="shared" si="96"/>
        <v>400</v>
      </c>
      <c r="BO147" s="323"/>
      <c r="BP147" s="325">
        <v>400</v>
      </c>
      <c r="BQ147" s="325">
        <f t="shared" ref="BQ147:BS148" si="97">+BP147</f>
        <v>400</v>
      </c>
      <c r="BR147" s="325">
        <f t="shared" si="97"/>
        <v>400</v>
      </c>
      <c r="BS147" s="325">
        <f t="shared" si="97"/>
        <v>400</v>
      </c>
      <c r="BT147" s="323"/>
      <c r="BU147" s="325">
        <v>500</v>
      </c>
      <c r="BV147" s="325">
        <f t="shared" ref="BV147:BX148" si="98">+BU147</f>
        <v>500</v>
      </c>
      <c r="BW147" s="325">
        <f t="shared" si="98"/>
        <v>500</v>
      </c>
      <c r="BX147" s="325">
        <f t="shared" si="98"/>
        <v>500</v>
      </c>
      <c r="BY147" s="323"/>
      <c r="BZ147" s="325">
        <v>500</v>
      </c>
      <c r="CA147" s="325">
        <f t="shared" ref="CA147:CC148" si="99">+BZ147</f>
        <v>500</v>
      </c>
      <c r="CB147" s="325">
        <f t="shared" si="99"/>
        <v>500</v>
      </c>
      <c r="CC147" s="325">
        <f t="shared" si="99"/>
        <v>500</v>
      </c>
      <c r="CD147" s="323"/>
      <c r="CE147" s="248"/>
      <c r="CL147" s="297"/>
      <c r="CM147" s="297"/>
    </row>
    <row r="148" spans="1:91" ht="12.75" hidden="1" customHeight="1" outlineLevel="1">
      <c r="A148" s="160"/>
      <c r="B148" s="185" t="s">
        <v>123</v>
      </c>
      <c r="C148" s="142"/>
      <c r="D148" s="142"/>
      <c r="E148" s="142"/>
      <c r="F148" s="320"/>
      <c r="G148" s="321"/>
      <c r="H148" s="142"/>
      <c r="I148" s="142"/>
      <c r="J148" s="142"/>
      <c r="K148" s="320"/>
      <c r="L148" s="321"/>
      <c r="M148" s="142"/>
      <c r="N148" s="142"/>
      <c r="O148" s="142"/>
      <c r="P148" s="320"/>
      <c r="Q148" s="321"/>
      <c r="R148" s="142"/>
      <c r="S148" s="142"/>
      <c r="T148" s="142"/>
      <c r="U148" s="320"/>
      <c r="V148" s="321"/>
      <c r="W148" s="142"/>
      <c r="X148" s="142"/>
      <c r="Y148" s="142"/>
      <c r="Z148" s="320"/>
      <c r="AA148" s="321"/>
      <c r="AB148" s="142"/>
      <c r="AC148" s="142"/>
      <c r="AD148" s="142"/>
      <c r="AE148" s="320"/>
      <c r="AF148" s="321"/>
      <c r="AG148" s="142"/>
      <c r="AH148" s="142"/>
      <c r="AI148" s="142"/>
      <c r="AJ148" s="320"/>
      <c r="AK148" s="321"/>
      <c r="AL148" s="145"/>
      <c r="AM148" s="145"/>
      <c r="AN148" s="145"/>
      <c r="AO148" s="320"/>
      <c r="AP148" s="321"/>
      <c r="AQ148" s="322"/>
      <c r="AR148" s="322"/>
      <c r="AS148" s="322"/>
      <c r="AT148" s="322"/>
      <c r="AU148" s="323"/>
      <c r="AV148" s="322"/>
      <c r="AW148" s="322"/>
      <c r="AX148" s="322"/>
      <c r="AY148" s="322"/>
      <c r="AZ148" s="323"/>
      <c r="BA148" s="322"/>
      <c r="BB148" s="322"/>
      <c r="BC148" s="322"/>
      <c r="BD148" s="322"/>
      <c r="BE148" s="323"/>
      <c r="BF148" s="322"/>
      <c r="BG148" s="322"/>
      <c r="BH148" s="322"/>
      <c r="BI148" s="322"/>
      <c r="BJ148" s="323"/>
      <c r="BK148" s="325">
        <v>0</v>
      </c>
      <c r="BL148" s="325">
        <f t="shared" si="96"/>
        <v>0</v>
      </c>
      <c r="BM148" s="325">
        <f t="shared" si="96"/>
        <v>0</v>
      </c>
      <c r="BN148" s="325">
        <f t="shared" si="96"/>
        <v>0</v>
      </c>
      <c r="BO148" s="323"/>
      <c r="BP148" s="325">
        <v>0</v>
      </c>
      <c r="BQ148" s="325">
        <f t="shared" si="97"/>
        <v>0</v>
      </c>
      <c r="BR148" s="325">
        <f t="shared" si="97"/>
        <v>0</v>
      </c>
      <c r="BS148" s="325">
        <f t="shared" si="97"/>
        <v>0</v>
      </c>
      <c r="BT148" s="323"/>
      <c r="BU148" s="325">
        <v>0</v>
      </c>
      <c r="BV148" s="325">
        <f t="shared" si="98"/>
        <v>0</v>
      </c>
      <c r="BW148" s="325">
        <f t="shared" si="98"/>
        <v>0</v>
      </c>
      <c r="BX148" s="325">
        <f t="shared" si="98"/>
        <v>0</v>
      </c>
      <c r="BY148" s="323"/>
      <c r="BZ148" s="325">
        <v>0</v>
      </c>
      <c r="CA148" s="325">
        <f t="shared" si="99"/>
        <v>0</v>
      </c>
      <c r="CB148" s="325">
        <f t="shared" si="99"/>
        <v>0</v>
      </c>
      <c r="CC148" s="325">
        <f t="shared" si="99"/>
        <v>0</v>
      </c>
      <c r="CD148" s="323"/>
      <c r="CE148" s="248"/>
      <c r="CL148" s="297"/>
      <c r="CM148" s="297"/>
    </row>
    <row r="149" spans="1:91" ht="12.75" hidden="1" customHeight="1" outlineLevel="1">
      <c r="A149" s="160"/>
      <c r="B149" s="326" t="s">
        <v>169</v>
      </c>
      <c r="C149" s="142"/>
      <c r="D149" s="142"/>
      <c r="E149" s="142"/>
      <c r="F149" s="320"/>
      <c r="G149" s="321"/>
      <c r="H149" s="142"/>
      <c r="I149" s="142"/>
      <c r="J149" s="142"/>
      <c r="K149" s="320"/>
      <c r="L149" s="321"/>
      <c r="M149" s="142"/>
      <c r="N149" s="142"/>
      <c r="O149" s="142"/>
      <c r="P149" s="320"/>
      <c r="Q149" s="321"/>
      <c r="R149" s="142"/>
      <c r="S149" s="142"/>
      <c r="T149" s="142"/>
      <c r="U149" s="320"/>
      <c r="V149" s="321"/>
      <c r="W149" s="142"/>
      <c r="X149" s="142"/>
      <c r="Y149" s="142"/>
      <c r="Z149" s="320"/>
      <c r="AA149" s="321"/>
      <c r="AB149" s="142"/>
      <c r="AC149" s="142"/>
      <c r="AD149" s="142"/>
      <c r="AE149" s="320"/>
      <c r="AF149" s="321"/>
      <c r="AG149" s="142"/>
      <c r="AH149" s="142"/>
      <c r="AI149" s="142"/>
      <c r="AJ149" s="320"/>
      <c r="AK149" s="321"/>
      <c r="AL149" s="145"/>
      <c r="AM149" s="145"/>
      <c r="AN149" s="145"/>
      <c r="AO149" s="320"/>
      <c r="AP149" s="321"/>
      <c r="AQ149" s="322"/>
      <c r="AR149" s="322"/>
      <c r="AS149" s="322"/>
      <c r="AT149" s="322"/>
      <c r="AU149" s="323"/>
      <c r="AV149" s="322"/>
      <c r="AW149" s="322"/>
      <c r="AX149" s="322"/>
      <c r="AY149" s="322"/>
      <c r="AZ149" s="323"/>
      <c r="BA149" s="322"/>
      <c r="BB149" s="322"/>
      <c r="BC149" s="322"/>
      <c r="BD149" s="322"/>
      <c r="BE149" s="323"/>
      <c r="BF149" s="322"/>
      <c r="BG149" s="322"/>
      <c r="BH149" s="322"/>
      <c r="BI149" s="322"/>
      <c r="BJ149" s="323"/>
      <c r="BK149" s="327">
        <f>+BK145/BK150</f>
        <v>4.7619047619047619</v>
      </c>
      <c r="BL149" s="327">
        <f>+BL145/BL150</f>
        <v>4.7619047619047619</v>
      </c>
      <c r="BM149" s="327">
        <f>+BM145/BM150</f>
        <v>4.7619047619047619</v>
      </c>
      <c r="BN149" s="327">
        <f>+BN145/BN150</f>
        <v>4.7619047619047619</v>
      </c>
      <c r="BO149" s="323"/>
      <c r="BP149" s="327">
        <f>+BP145/BP150</f>
        <v>4.5351473922902494</v>
      </c>
      <c r="BQ149" s="327">
        <f>+BQ145/BQ150</f>
        <v>4.5351473922902494</v>
      </c>
      <c r="BR149" s="327">
        <f>+BR145/BR150</f>
        <v>4.5351473922902494</v>
      </c>
      <c r="BS149" s="327">
        <f>+BS145/BS150</f>
        <v>4.5351473922902494</v>
      </c>
      <c r="BT149" s="323"/>
      <c r="BU149" s="327">
        <f>+BU145/BU150</f>
        <v>5.3989849908217247</v>
      </c>
      <c r="BV149" s="327">
        <f>+BV145/BV150</f>
        <v>5.3989849908217247</v>
      </c>
      <c r="BW149" s="327">
        <f>+BW145/BW150</f>
        <v>5.3989849908217247</v>
      </c>
      <c r="BX149" s="327">
        <f>+BX145/BX150</f>
        <v>5.3989849908217247</v>
      </c>
      <c r="BY149" s="323"/>
      <c r="BZ149" s="327">
        <f>+BZ145/BZ150</f>
        <v>5.1418904674492616</v>
      </c>
      <c r="CA149" s="327">
        <f>+CA145/CA150</f>
        <v>5.1418904674492616</v>
      </c>
      <c r="CB149" s="327">
        <f>+CB145/CB150</f>
        <v>5.1418904674492616</v>
      </c>
      <c r="CC149" s="327">
        <f>+CC145/CC150</f>
        <v>5.1418904674492616</v>
      </c>
      <c r="CD149" s="323"/>
      <c r="CE149" s="248"/>
      <c r="CL149" s="297"/>
      <c r="CM149" s="297"/>
    </row>
    <row r="150" spans="1:91" ht="12.75" hidden="1" customHeight="1" outlineLevel="1">
      <c r="A150" s="160"/>
      <c r="B150" s="326" t="s">
        <v>170</v>
      </c>
      <c r="C150" s="142"/>
      <c r="D150" s="142"/>
      <c r="E150" s="142"/>
      <c r="F150" s="320"/>
      <c r="G150" s="321"/>
      <c r="H150" s="142"/>
      <c r="I150" s="142"/>
      <c r="J150" s="142"/>
      <c r="K150" s="320"/>
      <c r="L150" s="321"/>
      <c r="M150" s="142"/>
      <c r="N150" s="142"/>
      <c r="O150" s="142"/>
      <c r="P150" s="320"/>
      <c r="Q150" s="321"/>
      <c r="R150" s="142"/>
      <c r="S150" s="142"/>
      <c r="T150" s="142"/>
      <c r="U150" s="320"/>
      <c r="V150" s="321"/>
      <c r="W150" s="142"/>
      <c r="X150" s="142"/>
      <c r="Y150" s="142"/>
      <c r="Z150" s="320"/>
      <c r="AA150" s="321"/>
      <c r="AB150" s="142"/>
      <c r="AC150" s="142"/>
      <c r="AD150" s="142"/>
      <c r="AE150" s="320"/>
      <c r="AF150" s="321"/>
      <c r="AG150" s="142"/>
      <c r="AH150" s="142"/>
      <c r="AI150" s="142"/>
      <c r="AJ150" s="320"/>
      <c r="AK150" s="321"/>
      <c r="AL150" s="145"/>
      <c r="AM150" s="145"/>
      <c r="AN150" s="145"/>
      <c r="AO150" s="320"/>
      <c r="AP150" s="321"/>
      <c r="AQ150" s="322"/>
      <c r="AR150" s="322"/>
      <c r="AS150" s="322"/>
      <c r="AT150" s="322"/>
      <c r="AU150" s="323"/>
      <c r="AV150" s="322"/>
      <c r="AW150" s="322"/>
      <c r="AX150" s="322"/>
      <c r="AY150" s="322"/>
      <c r="AZ150" s="323"/>
      <c r="BA150" s="322"/>
      <c r="BB150" s="322"/>
      <c r="BC150" s="322"/>
      <c r="BD150" s="322"/>
      <c r="BE150" s="323"/>
      <c r="BF150" s="322"/>
      <c r="BG150" s="322"/>
      <c r="BH150" s="328">
        <v>80</v>
      </c>
      <c r="BI150" s="328">
        <f>+BH150</f>
        <v>80</v>
      </c>
      <c r="BJ150" s="329"/>
      <c r="BK150" s="328">
        <f>+BI150*1.05</f>
        <v>84</v>
      </c>
      <c r="BL150" s="328">
        <f>+BK150</f>
        <v>84</v>
      </c>
      <c r="BM150" s="328">
        <f>+BL150</f>
        <v>84</v>
      </c>
      <c r="BN150" s="328">
        <f>+BM150</f>
        <v>84</v>
      </c>
      <c r="BO150" s="323"/>
      <c r="BP150" s="328">
        <f>+BN150*1.05</f>
        <v>88.2</v>
      </c>
      <c r="BQ150" s="328">
        <f>+BP150</f>
        <v>88.2</v>
      </c>
      <c r="BR150" s="328">
        <f>+BQ150</f>
        <v>88.2</v>
      </c>
      <c r="BS150" s="328">
        <f>+BR150</f>
        <v>88.2</v>
      </c>
      <c r="BT150" s="323"/>
      <c r="BU150" s="328">
        <f>+BS150*1.05</f>
        <v>92.610000000000014</v>
      </c>
      <c r="BV150" s="328">
        <f>+BU150</f>
        <v>92.610000000000014</v>
      </c>
      <c r="BW150" s="328">
        <f>+BV150</f>
        <v>92.610000000000014</v>
      </c>
      <c r="BX150" s="328">
        <f>+BW150</f>
        <v>92.610000000000014</v>
      </c>
      <c r="BY150" s="323"/>
      <c r="BZ150" s="328">
        <f>+BX150*1.05</f>
        <v>97.240500000000011</v>
      </c>
      <c r="CA150" s="328">
        <f>+BZ150</f>
        <v>97.240500000000011</v>
      </c>
      <c r="CB150" s="328">
        <f>+CA150</f>
        <v>97.240500000000011</v>
      </c>
      <c r="CC150" s="328">
        <f>+CB150</f>
        <v>97.240500000000011</v>
      </c>
      <c r="CD150" s="323"/>
      <c r="CE150" s="248"/>
      <c r="CL150" s="297"/>
      <c r="CM150" s="297"/>
    </row>
    <row r="151" spans="1:91" ht="13.5" hidden="1" customHeight="1" outlineLevel="1">
      <c r="A151" s="330"/>
      <c r="B151" s="239" t="s">
        <v>171</v>
      </c>
      <c r="C151" s="331"/>
      <c r="D151" s="331"/>
      <c r="E151" s="332"/>
      <c r="F151" s="332"/>
      <c r="G151" s="333"/>
      <c r="H151" s="331"/>
      <c r="I151" s="331"/>
      <c r="J151" s="332"/>
      <c r="K151" s="332"/>
      <c r="L151" s="333"/>
      <c r="M151" s="331"/>
      <c r="N151" s="331"/>
      <c r="O151" s="332"/>
      <c r="P151" s="332"/>
      <c r="Q151" s="333"/>
      <c r="R151" s="331"/>
      <c r="S151" s="331"/>
      <c r="T151" s="332"/>
      <c r="U151" s="332"/>
      <c r="V151" s="333"/>
      <c r="W151" s="331"/>
      <c r="X151" s="331"/>
      <c r="Y151" s="332"/>
      <c r="Z151" s="332"/>
      <c r="AA151" s="333"/>
      <c r="AB151" s="331"/>
      <c r="AC151" s="331"/>
      <c r="AD151" s="332"/>
      <c r="AE151" s="332"/>
      <c r="AF151" s="333"/>
      <c r="AG151" s="331"/>
      <c r="AH151" s="331"/>
      <c r="AI151" s="332"/>
      <c r="AJ151" s="332"/>
      <c r="AK151" s="333"/>
      <c r="AL151" s="331"/>
      <c r="AM151" s="331"/>
      <c r="AN151" s="332"/>
      <c r="AO151" s="332"/>
      <c r="AP151" s="333"/>
      <c r="AQ151" s="331">
        <f>AO151*1.025</f>
        <v>0</v>
      </c>
      <c r="AR151" s="332"/>
      <c r="AS151" s="332"/>
      <c r="AT151" s="334">
        <v>20</v>
      </c>
      <c r="AU151" s="333">
        <f>AVERAGE(AQ151:AT151)</f>
        <v>10</v>
      </c>
      <c r="AV151" s="331">
        <f>AT151*1.025</f>
        <v>20.5</v>
      </c>
      <c r="AW151" s="331">
        <v>40</v>
      </c>
      <c r="AX151" s="331">
        <f>AW151*1.025</f>
        <v>41</v>
      </c>
      <c r="AY151" s="331">
        <f>AX151*1.025</f>
        <v>42.024999999999999</v>
      </c>
      <c r="AZ151" s="333">
        <f>AVERAGE(AV151:AY151)</f>
        <v>35.881250000000001</v>
      </c>
      <c r="BA151" s="331">
        <f>AY151*1.025</f>
        <v>43.075624999999995</v>
      </c>
      <c r="BB151" s="331">
        <f>BA151*1.025</f>
        <v>44.152515624999992</v>
      </c>
      <c r="BC151" s="331">
        <f>BB151*1.025</f>
        <v>45.256328515624986</v>
      </c>
      <c r="BD151" s="331">
        <f>BC151*1.025</f>
        <v>46.387736728515605</v>
      </c>
      <c r="BE151" s="333">
        <f>AVERAGE(BA151:BD151)</f>
        <v>44.71805146728515</v>
      </c>
      <c r="BF151" s="331">
        <f>BD151*1.025</f>
        <v>47.547430146728495</v>
      </c>
      <c r="BG151" s="331">
        <f>BE151*1.025</f>
        <v>45.836002753967271</v>
      </c>
      <c r="BH151" s="331">
        <v>58</v>
      </c>
      <c r="BI151" s="331">
        <f>BH151*1.025</f>
        <v>59.449999999999996</v>
      </c>
      <c r="BJ151" s="333">
        <f>AVERAGE(BF151:BI151)</f>
        <v>52.708358225173939</v>
      </c>
      <c r="BK151" s="331">
        <f>BI151*1.025</f>
        <v>60.936249999999987</v>
      </c>
      <c r="BL151" s="331">
        <f>BK151*1.025</f>
        <v>62.459656249999981</v>
      </c>
      <c r="BM151" s="331">
        <f>BL151*1.025</f>
        <v>64.02114765624998</v>
      </c>
      <c r="BN151" s="331">
        <f>BM151*1.025</f>
        <v>65.621676347656219</v>
      </c>
      <c r="BO151" s="333">
        <f>AVERAGE(BK151:BN151)</f>
        <v>63.259682563476545</v>
      </c>
      <c r="BP151" s="331">
        <f>BN151*1.025</f>
        <v>67.262218256347623</v>
      </c>
      <c r="BQ151" s="331">
        <f>BP151*1.025</f>
        <v>68.943773712756311</v>
      </c>
      <c r="BR151" s="331">
        <f>BQ151*1.025</f>
        <v>70.66736805557521</v>
      </c>
      <c r="BS151" s="331">
        <f>BR151*1.025</f>
        <v>72.434052256964577</v>
      </c>
      <c r="BT151" s="333">
        <f>AVERAGE(BP151:BS151)</f>
        <v>69.82685307041092</v>
      </c>
      <c r="BU151" s="331">
        <f>BS151*1.025</f>
        <v>74.244903563388689</v>
      </c>
      <c r="BV151" s="331">
        <f>BU151*1.025</f>
        <v>76.101026152473395</v>
      </c>
      <c r="BW151" s="331">
        <f>BV151*1.025</f>
        <v>78.003551806285216</v>
      </c>
      <c r="BX151" s="331">
        <f>BW151*1.025</f>
        <v>79.953640601442345</v>
      </c>
      <c r="BY151" s="333">
        <f>AVERAGE(BU151:BX151)</f>
        <v>77.075780530897418</v>
      </c>
      <c r="BZ151" s="331">
        <f>BX151*1.025</f>
        <v>81.952481616478394</v>
      </c>
      <c r="CA151" s="331">
        <f>BZ151*1.025</f>
        <v>84.00129365689034</v>
      </c>
      <c r="CB151" s="331">
        <f>CA151*1.025</f>
        <v>86.101325998312589</v>
      </c>
      <c r="CC151" s="331">
        <f>CB151*1.025</f>
        <v>88.253859148270394</v>
      </c>
      <c r="CD151" s="333">
        <f>AVERAGE(BZ151:CC151)</f>
        <v>85.077240104987936</v>
      </c>
      <c r="CE151" s="335"/>
      <c r="CL151" s="336"/>
      <c r="CM151" s="336"/>
    </row>
    <row r="152" spans="1:91" ht="13.5" customHeight="1" collapsed="1">
      <c r="A152" s="337"/>
      <c r="B152" s="338"/>
      <c r="C152" s="339"/>
      <c r="D152" s="339"/>
      <c r="E152" s="339"/>
      <c r="F152" s="340"/>
      <c r="G152" s="221"/>
      <c r="H152" s="339"/>
      <c r="I152" s="339"/>
      <c r="J152" s="339"/>
      <c r="K152" s="340"/>
      <c r="L152" s="221"/>
      <c r="M152" s="339"/>
      <c r="N152" s="339"/>
      <c r="O152" s="339"/>
      <c r="P152" s="340"/>
      <c r="Q152" s="221"/>
      <c r="R152" s="339"/>
      <c r="S152" s="339"/>
      <c r="T152" s="339"/>
      <c r="U152" s="340"/>
      <c r="V152" s="221"/>
      <c r="W152" s="339"/>
      <c r="X152" s="339"/>
      <c r="Y152" s="339"/>
      <c r="Z152" s="340"/>
      <c r="AA152" s="221"/>
      <c r="AB152" s="339"/>
      <c r="AC152" s="339"/>
      <c r="AD152" s="339"/>
      <c r="AE152" s="340"/>
      <c r="AF152" s="221"/>
      <c r="AG152" s="339"/>
      <c r="AH152" s="339"/>
      <c r="AI152" s="339"/>
      <c r="AJ152" s="340"/>
      <c r="AK152" s="221"/>
      <c r="AL152" s="341"/>
      <c r="AM152" s="341"/>
      <c r="AN152" s="341"/>
      <c r="AO152" s="340"/>
      <c r="AP152" s="342"/>
      <c r="AQ152" s="340"/>
      <c r="AR152" s="340"/>
      <c r="AS152" s="340"/>
      <c r="AT152" s="340"/>
      <c r="AU152" s="342"/>
      <c r="AV152" s="340"/>
      <c r="AW152" s="340"/>
      <c r="AX152" s="340"/>
      <c r="AY152" s="340"/>
      <c r="AZ152" s="342"/>
      <c r="BA152" s="340"/>
      <c r="BB152" s="340"/>
      <c r="BC152" s="340"/>
      <c r="BD152" s="340"/>
      <c r="BE152" s="342"/>
      <c r="BF152" s="340"/>
      <c r="BG152" s="340"/>
      <c r="BH152" s="340"/>
      <c r="BI152" s="340"/>
      <c r="BJ152" s="342"/>
      <c r="BK152" s="340"/>
      <c r="BL152" s="340"/>
      <c r="BM152" s="340"/>
      <c r="BN152" s="340"/>
      <c r="BO152" s="342"/>
      <c r="BP152" s="340"/>
      <c r="BQ152" s="340"/>
      <c r="BR152" s="340"/>
      <c r="BS152" s="340"/>
      <c r="BT152" s="342"/>
      <c r="BU152" s="340"/>
      <c r="BV152" s="340"/>
      <c r="BW152" s="340"/>
      <c r="BX152" s="340"/>
      <c r="BY152" s="342"/>
      <c r="BZ152" s="340"/>
      <c r="CA152" s="340"/>
      <c r="CB152" s="340"/>
      <c r="CC152" s="340"/>
      <c r="CD152" s="342"/>
      <c r="CE152" s="343"/>
      <c r="CL152" s="160"/>
      <c r="CM152" s="160"/>
    </row>
    <row r="153" spans="1:91" ht="13.5" customHeight="1">
      <c r="A153" s="147"/>
      <c r="B153" s="150"/>
      <c r="C153" s="343"/>
      <c r="D153" s="343"/>
      <c r="E153" s="343"/>
      <c r="F153" s="343"/>
      <c r="G153" s="343"/>
      <c r="H153" s="343"/>
      <c r="I153" s="343"/>
      <c r="J153" s="343"/>
      <c r="K153" s="343"/>
      <c r="L153" s="343"/>
      <c r="M153" s="343"/>
      <c r="N153" s="343"/>
      <c r="O153" s="343"/>
      <c r="P153" s="343"/>
      <c r="Q153" s="343"/>
      <c r="R153" s="343"/>
      <c r="S153" s="343"/>
      <c r="T153" s="343"/>
      <c r="U153" s="343"/>
      <c r="V153" s="343"/>
      <c r="W153" s="343"/>
      <c r="X153" s="343"/>
      <c r="Y153" s="343"/>
      <c r="Z153" s="343"/>
      <c r="AA153" s="343"/>
      <c r="AB153" s="343"/>
      <c r="AC153" s="343"/>
      <c r="AD153" s="343"/>
      <c r="AE153" s="343"/>
      <c r="AF153" s="343"/>
      <c r="AG153" s="343"/>
      <c r="AH153" s="343"/>
      <c r="AI153" s="343"/>
      <c r="AJ153" s="343"/>
      <c r="AK153" s="343"/>
      <c r="AL153" s="343"/>
      <c r="AM153" s="343"/>
      <c r="AN153" s="343"/>
      <c r="AO153" s="343"/>
      <c r="AP153" s="97"/>
      <c r="AQ153" s="344"/>
      <c r="AR153" s="344"/>
      <c r="AS153" s="344"/>
      <c r="AT153" s="343"/>
      <c r="AU153" s="345"/>
      <c r="AV153" s="343"/>
      <c r="AW153" s="343"/>
      <c r="AX153" s="343"/>
      <c r="AY153" s="343"/>
      <c r="AZ153" s="97"/>
      <c r="BA153" s="343"/>
      <c r="BB153" s="343"/>
      <c r="BC153" s="343"/>
      <c r="BD153" s="343"/>
      <c r="BE153" s="346"/>
      <c r="BF153" s="343"/>
      <c r="BG153" s="343"/>
      <c r="BH153" s="343"/>
      <c r="BI153" s="343"/>
      <c r="BJ153" s="97"/>
      <c r="BK153" s="343"/>
      <c r="BL153" s="343"/>
      <c r="BM153" s="343"/>
      <c r="BN153" s="343"/>
      <c r="BO153" s="97"/>
      <c r="BP153" s="343"/>
      <c r="BQ153" s="343"/>
      <c r="BR153" s="343"/>
      <c r="BS153" s="343"/>
      <c r="BT153" s="97"/>
      <c r="BU153" s="343"/>
      <c r="BV153" s="343"/>
      <c r="BW153" s="343"/>
      <c r="BX153" s="343"/>
      <c r="BY153" s="97"/>
      <c r="BZ153" s="343"/>
      <c r="CA153" s="343"/>
      <c r="CB153" s="343"/>
      <c r="CC153" s="343"/>
      <c r="CD153" s="97"/>
      <c r="CE153" s="147"/>
    </row>
    <row r="154" spans="1:91" ht="12.75">
      <c r="A154" s="150"/>
      <c r="C154" s="94"/>
      <c r="D154" s="94"/>
      <c r="E154" s="94"/>
      <c r="F154" s="99"/>
      <c r="G154" s="346"/>
      <c r="H154" s="94"/>
      <c r="I154" s="94"/>
      <c r="J154" s="94"/>
      <c r="K154" s="99"/>
      <c r="L154" s="346"/>
      <c r="M154" s="94"/>
      <c r="N154" s="94"/>
      <c r="O154" s="94"/>
      <c r="P154" s="99"/>
      <c r="Q154" s="346"/>
      <c r="R154" s="94"/>
      <c r="S154" s="94"/>
      <c r="T154" s="94"/>
      <c r="U154" s="99"/>
      <c r="V154" s="346"/>
      <c r="W154" s="94"/>
      <c r="X154" s="94"/>
      <c r="Y154" s="94"/>
      <c r="Z154" s="99"/>
      <c r="AA154" s="346"/>
      <c r="AB154" s="94"/>
      <c r="AC154" s="94"/>
      <c r="AD154" s="94"/>
      <c r="AE154" s="99"/>
      <c r="AF154" s="346"/>
      <c r="AG154" s="94"/>
      <c r="AH154" s="94"/>
      <c r="AI154" s="94"/>
      <c r="AJ154" s="99"/>
      <c r="AK154" s="346"/>
      <c r="AL154" s="97"/>
      <c r="AM154" s="97"/>
      <c r="AN154" s="97"/>
      <c r="AO154" s="99"/>
      <c r="AP154" s="346"/>
      <c r="AQ154" s="99"/>
      <c r="AR154" s="99"/>
      <c r="AS154" s="99"/>
      <c r="AT154" s="99"/>
      <c r="AU154" s="346"/>
      <c r="AV154" s="347"/>
      <c r="AW154" s="347"/>
      <c r="AX154" s="347"/>
      <c r="AY154" s="347"/>
      <c r="AZ154" s="347"/>
      <c r="BA154" s="347"/>
      <c r="BB154" s="347"/>
      <c r="BC154" s="347"/>
      <c r="BD154" s="347"/>
      <c r="BE154" s="347"/>
      <c r="BF154" s="347"/>
      <c r="BG154" s="347"/>
      <c r="BH154" s="347"/>
      <c r="BI154" s="347"/>
      <c r="BJ154" s="347"/>
      <c r="BK154" s="347"/>
      <c r="BL154" s="347"/>
      <c r="BM154" s="347"/>
      <c r="BN154" s="347"/>
      <c r="BO154" s="347"/>
      <c r="BP154" s="347"/>
      <c r="BQ154" s="347"/>
      <c r="BR154" s="347"/>
      <c r="BS154" s="347"/>
      <c r="BT154" s="347"/>
      <c r="BU154" s="347"/>
      <c r="BV154" s="347"/>
      <c r="BW154" s="347"/>
      <c r="BX154" s="347"/>
      <c r="BY154" s="347"/>
      <c r="BZ154" s="347"/>
      <c r="CA154" s="347"/>
      <c r="CB154" s="347"/>
      <c r="CC154" s="347"/>
      <c r="CD154" s="347"/>
      <c r="CE154" s="150"/>
    </row>
    <row r="155" spans="1:91" ht="12.75">
      <c r="A155" s="150"/>
      <c r="C155" s="94"/>
      <c r="D155" s="94"/>
      <c r="E155" s="94"/>
      <c r="F155" s="99"/>
      <c r="G155" s="346"/>
      <c r="H155" s="94"/>
      <c r="I155" s="94"/>
      <c r="J155" s="94"/>
      <c r="K155" s="99"/>
      <c r="L155" s="346"/>
      <c r="M155" s="94"/>
      <c r="N155" s="94"/>
      <c r="O155" s="94"/>
      <c r="P155" s="99"/>
      <c r="Q155" s="346"/>
      <c r="R155" s="94"/>
      <c r="S155" s="94"/>
      <c r="T155" s="94"/>
      <c r="U155" s="99"/>
      <c r="V155" s="346"/>
      <c r="W155" s="94"/>
      <c r="X155" s="94"/>
      <c r="Y155" s="94"/>
      <c r="Z155" s="99"/>
      <c r="AA155" s="346"/>
      <c r="AB155" s="94"/>
      <c r="AC155" s="94"/>
      <c r="AD155" s="94"/>
      <c r="AE155" s="99"/>
      <c r="AF155" s="346"/>
      <c r="AG155" s="94"/>
      <c r="AH155" s="94"/>
      <c r="AI155" s="94"/>
      <c r="AJ155" s="99"/>
      <c r="AK155" s="346"/>
      <c r="AL155" s="97"/>
      <c r="AM155" s="97"/>
      <c r="AN155" s="97"/>
      <c r="AO155" s="99"/>
      <c r="AP155" s="346"/>
      <c r="AQ155" s="99"/>
      <c r="AR155" s="99"/>
      <c r="AS155" s="99"/>
      <c r="AT155" s="99"/>
      <c r="AU155" s="346"/>
      <c r="AV155" s="99"/>
      <c r="AW155" s="99"/>
      <c r="AX155" s="99"/>
      <c r="AY155" s="99"/>
      <c r="AZ155" s="346"/>
      <c r="BA155" s="99"/>
      <c r="BB155" s="99"/>
      <c r="BC155" s="99"/>
      <c r="BD155" s="99"/>
      <c r="BE155" s="346"/>
      <c r="BF155" s="105"/>
      <c r="BG155" s="99"/>
      <c r="BH155" s="99"/>
      <c r="BI155" s="99"/>
      <c r="BJ155" s="105"/>
      <c r="BK155" s="105"/>
      <c r="BL155" s="105"/>
      <c r="BM155" s="105"/>
      <c r="BN155" s="105"/>
      <c r="BO155" s="105"/>
      <c r="BP155" s="105"/>
      <c r="BQ155" s="105"/>
      <c r="BR155" s="105"/>
      <c r="BS155" s="105"/>
      <c r="BT155" s="105"/>
      <c r="BU155" s="105"/>
      <c r="BV155" s="105"/>
      <c r="BW155" s="105"/>
      <c r="BX155" s="105"/>
      <c r="BY155" s="105"/>
      <c r="BZ155" s="105"/>
      <c r="CA155" s="105"/>
      <c r="CB155" s="105"/>
      <c r="CC155" s="105"/>
      <c r="CD155" s="105"/>
      <c r="CE155" s="150"/>
    </row>
    <row r="156" spans="1:91" ht="18">
      <c r="A156" s="348"/>
      <c r="B156" s="349" t="s">
        <v>172</v>
      </c>
      <c r="C156" s="196"/>
      <c r="D156" s="94"/>
      <c r="E156" s="94"/>
      <c r="F156" s="99"/>
      <c r="G156" s="350"/>
      <c r="H156" s="196"/>
      <c r="I156" s="94"/>
      <c r="J156" s="94"/>
      <c r="K156" s="99"/>
      <c r="L156" s="350"/>
      <c r="M156" s="196"/>
      <c r="N156" s="94"/>
      <c r="O156" s="94"/>
      <c r="P156" s="99"/>
      <c r="Q156" s="350"/>
      <c r="R156" s="196"/>
      <c r="S156" s="94"/>
      <c r="T156" s="94"/>
      <c r="U156" s="99"/>
      <c r="V156" s="350"/>
      <c r="W156" s="196"/>
      <c r="X156" s="94"/>
      <c r="Y156" s="94"/>
      <c r="Z156" s="99"/>
      <c r="AA156" s="350"/>
      <c r="AB156" s="196"/>
      <c r="AC156" s="94"/>
      <c r="AD156" s="94"/>
      <c r="AE156" s="99"/>
      <c r="AF156" s="350"/>
      <c r="AG156" s="196"/>
      <c r="AH156" s="94"/>
      <c r="AI156" s="94"/>
      <c r="AJ156" s="99"/>
      <c r="AK156" s="350"/>
      <c r="AL156" s="116"/>
      <c r="AM156" s="97"/>
      <c r="AN156" s="97"/>
      <c r="AO156" s="99"/>
      <c r="AP156" s="350"/>
      <c r="AQ156" s="99"/>
      <c r="AR156" s="99"/>
      <c r="AS156" s="99"/>
      <c r="AT156" s="99"/>
      <c r="AU156" s="99"/>
      <c r="AV156" s="99"/>
      <c r="AW156" s="99"/>
      <c r="AX156" s="99"/>
      <c r="AY156" s="99"/>
      <c r="AZ156" s="346"/>
      <c r="BA156" s="99"/>
      <c r="BB156" s="99"/>
      <c r="BC156" s="99"/>
      <c r="BD156" s="99"/>
      <c r="BE156" s="351"/>
      <c r="BF156" s="99"/>
      <c r="BG156" s="99"/>
      <c r="BH156" s="99"/>
      <c r="BI156" s="99"/>
      <c r="BJ156" s="99"/>
      <c r="BK156" s="99"/>
      <c r="BL156" s="99"/>
      <c r="BM156" s="99"/>
      <c r="BN156" s="99"/>
      <c r="BO156" s="99"/>
      <c r="BP156" s="99"/>
      <c r="BQ156" s="99"/>
      <c r="BR156" s="99"/>
      <c r="BS156" s="99"/>
      <c r="BT156" s="99"/>
      <c r="BU156" s="99"/>
      <c r="BV156" s="99"/>
      <c r="BW156" s="99"/>
      <c r="BX156" s="99"/>
      <c r="BY156" s="99"/>
      <c r="BZ156" s="99"/>
      <c r="CA156" s="99"/>
      <c r="CB156" s="99"/>
      <c r="CC156" s="99"/>
      <c r="CD156" s="99"/>
      <c r="CE156" s="348"/>
    </row>
    <row r="157" spans="1:91" ht="13.5" customHeight="1">
      <c r="A157" s="92"/>
      <c r="B157" s="93" t="s">
        <v>115</v>
      </c>
      <c r="C157" s="196"/>
      <c r="D157" s="94"/>
      <c r="E157" s="94"/>
      <c r="F157" s="99"/>
      <c r="G157" s="350"/>
      <c r="H157" s="196"/>
      <c r="I157" s="94"/>
      <c r="J157" s="94"/>
      <c r="K157" s="99"/>
      <c r="L157" s="350"/>
      <c r="M157" s="196"/>
      <c r="N157" s="94"/>
      <c r="O157" s="94"/>
      <c r="P157" s="99"/>
      <c r="Q157" s="350"/>
      <c r="R157" s="196"/>
      <c r="S157" s="94"/>
      <c r="T157" s="94"/>
      <c r="U157" s="99"/>
      <c r="V157" s="350"/>
      <c r="W157" s="196"/>
      <c r="X157" s="94"/>
      <c r="Y157" s="94"/>
      <c r="Z157" s="99"/>
      <c r="AA157" s="350"/>
      <c r="AB157" s="196"/>
      <c r="AC157" s="94"/>
      <c r="AD157" s="94"/>
      <c r="AE157" s="99"/>
      <c r="AF157" s="350"/>
      <c r="AG157" s="196"/>
      <c r="AH157" s="94"/>
      <c r="AI157" s="94"/>
      <c r="AJ157" s="99"/>
      <c r="AK157" s="350"/>
      <c r="AL157" s="116"/>
      <c r="AM157" s="97"/>
      <c r="AN157" s="97"/>
      <c r="AO157" s="99"/>
      <c r="AP157" s="350"/>
      <c r="AQ157" s="99"/>
      <c r="AR157" s="99"/>
      <c r="AS157" s="99"/>
      <c r="AT157" s="99"/>
      <c r="AU157" s="99"/>
      <c r="AV157" s="99"/>
      <c r="AW157" s="99"/>
      <c r="AX157" s="99"/>
      <c r="AY157" s="99"/>
      <c r="AZ157" s="99"/>
      <c r="BA157" s="99"/>
      <c r="BB157" s="99"/>
      <c r="BC157" s="99"/>
      <c r="BD157" s="99"/>
      <c r="BE157" s="107"/>
      <c r="BF157" s="99"/>
      <c r="BG157" s="99"/>
      <c r="BH157" s="99"/>
      <c r="BI157" s="99"/>
      <c r="BJ157" s="99"/>
      <c r="BK157" s="99"/>
      <c r="BL157" s="99"/>
      <c r="BM157" s="99"/>
      <c r="BN157" s="99"/>
      <c r="BO157" s="99"/>
      <c r="BP157" s="99"/>
      <c r="BQ157" s="99"/>
      <c r="BR157" s="99"/>
      <c r="BS157" s="99"/>
      <c r="BT157" s="99"/>
      <c r="BU157" s="99"/>
      <c r="BV157" s="99"/>
      <c r="BW157" s="99"/>
      <c r="BX157" s="99"/>
      <c r="BY157" s="99"/>
      <c r="BZ157" s="99"/>
      <c r="CA157" s="99"/>
      <c r="CB157" s="99"/>
      <c r="CC157" s="99"/>
      <c r="CD157" s="99"/>
      <c r="CE157" s="92"/>
    </row>
    <row r="158" spans="1:91" ht="13.5" customHeight="1">
      <c r="A158" s="92"/>
      <c r="B158" s="108"/>
      <c r="C158" s="352" t="str">
        <f t="shared" ref="C158:BN158" si="100">C3</f>
        <v>1Q06A</v>
      </c>
      <c r="D158" s="352" t="str">
        <f t="shared" si="100"/>
        <v>2Q06A</v>
      </c>
      <c r="E158" s="352" t="str">
        <f t="shared" si="100"/>
        <v>3Q06A</v>
      </c>
      <c r="F158" s="352" t="str">
        <f t="shared" si="100"/>
        <v>4Q06A</v>
      </c>
      <c r="G158" s="353" t="str">
        <f t="shared" si="100"/>
        <v>2006A</v>
      </c>
      <c r="H158" s="352" t="str">
        <f t="shared" si="100"/>
        <v>1Q07A</v>
      </c>
      <c r="I158" s="352" t="str">
        <f t="shared" si="100"/>
        <v>2Q07A</v>
      </c>
      <c r="J158" s="352" t="str">
        <f t="shared" si="100"/>
        <v>3Q07A</v>
      </c>
      <c r="K158" s="352" t="str">
        <f t="shared" si="100"/>
        <v>4Q07A</v>
      </c>
      <c r="L158" s="353" t="str">
        <f t="shared" si="100"/>
        <v>2007A</v>
      </c>
      <c r="M158" s="352" t="str">
        <f t="shared" si="100"/>
        <v>1Q08A</v>
      </c>
      <c r="N158" s="352" t="str">
        <f t="shared" si="100"/>
        <v>2Q08A</v>
      </c>
      <c r="O158" s="352" t="str">
        <f t="shared" si="100"/>
        <v>3Q08A</v>
      </c>
      <c r="P158" s="352" t="str">
        <f t="shared" si="100"/>
        <v>4Q08A</v>
      </c>
      <c r="Q158" s="353" t="str">
        <f t="shared" si="100"/>
        <v>2008A</v>
      </c>
      <c r="R158" s="352" t="str">
        <f t="shared" si="100"/>
        <v>1Q09A</v>
      </c>
      <c r="S158" s="352" t="str">
        <f t="shared" si="100"/>
        <v>2Q09A</v>
      </c>
      <c r="T158" s="352" t="str">
        <f t="shared" si="100"/>
        <v>3Q09A</v>
      </c>
      <c r="U158" s="352" t="str">
        <f t="shared" si="100"/>
        <v>4Q09A</v>
      </c>
      <c r="V158" s="353" t="str">
        <f t="shared" si="100"/>
        <v>2009A</v>
      </c>
      <c r="W158" s="352" t="str">
        <f t="shared" si="100"/>
        <v>1Q10A</v>
      </c>
      <c r="X158" s="352" t="str">
        <f t="shared" si="100"/>
        <v>2Q10A</v>
      </c>
      <c r="Y158" s="352" t="str">
        <f t="shared" si="100"/>
        <v>3Q10A</v>
      </c>
      <c r="Z158" s="352" t="str">
        <f t="shared" si="100"/>
        <v>4Q10A</v>
      </c>
      <c r="AA158" s="353" t="str">
        <f t="shared" si="100"/>
        <v>2010A</v>
      </c>
      <c r="AB158" s="352" t="str">
        <f t="shared" si="100"/>
        <v>1Q11A</v>
      </c>
      <c r="AC158" s="352" t="str">
        <f t="shared" si="100"/>
        <v>2Q11A</v>
      </c>
      <c r="AD158" s="352" t="str">
        <f t="shared" si="100"/>
        <v>3Q11A</v>
      </c>
      <c r="AE158" s="352" t="str">
        <f t="shared" si="100"/>
        <v>4Q11A</v>
      </c>
      <c r="AF158" s="353" t="str">
        <f t="shared" si="100"/>
        <v>2011A</v>
      </c>
      <c r="AG158" s="352" t="str">
        <f t="shared" si="100"/>
        <v>1Q12A</v>
      </c>
      <c r="AH158" s="352" t="str">
        <f t="shared" si="100"/>
        <v>2Q12A</v>
      </c>
      <c r="AI158" s="352" t="str">
        <f t="shared" si="100"/>
        <v>3Q12A</v>
      </c>
      <c r="AJ158" s="352" t="str">
        <f t="shared" si="100"/>
        <v>4Q12A</v>
      </c>
      <c r="AK158" s="353" t="str">
        <f t="shared" si="100"/>
        <v>2012A</v>
      </c>
      <c r="AL158" s="352" t="str">
        <f t="shared" si="100"/>
        <v>1Q13A</v>
      </c>
      <c r="AM158" s="352" t="str">
        <f t="shared" si="100"/>
        <v>2Q13A</v>
      </c>
      <c r="AN158" s="352" t="str">
        <f t="shared" si="100"/>
        <v>3Q13A</v>
      </c>
      <c r="AO158" s="352" t="str">
        <f t="shared" si="100"/>
        <v>4Q13A</v>
      </c>
      <c r="AP158" s="353" t="str">
        <f t="shared" si="100"/>
        <v>2013A</v>
      </c>
      <c r="AQ158" s="354" t="str">
        <f t="shared" si="100"/>
        <v>1Q14A</v>
      </c>
      <c r="AR158" s="352" t="str">
        <f t="shared" si="100"/>
        <v>2Q14A</v>
      </c>
      <c r="AS158" s="352" t="str">
        <f t="shared" si="100"/>
        <v>3Q14A</v>
      </c>
      <c r="AT158" s="352" t="str">
        <f t="shared" si="100"/>
        <v>4Q14A</v>
      </c>
      <c r="AU158" s="353" t="str">
        <f t="shared" si="100"/>
        <v>2014A</v>
      </c>
      <c r="AV158" s="352" t="str">
        <f t="shared" si="100"/>
        <v>1Q15A</v>
      </c>
      <c r="AW158" s="352" t="str">
        <f t="shared" si="100"/>
        <v>2Q15A</v>
      </c>
      <c r="AX158" s="352" t="str">
        <f t="shared" si="100"/>
        <v>3Q15A</v>
      </c>
      <c r="AY158" s="352" t="str">
        <f t="shared" si="100"/>
        <v>4Q15A</v>
      </c>
      <c r="AZ158" s="353" t="str">
        <f t="shared" si="100"/>
        <v>2015A</v>
      </c>
      <c r="BA158" s="352" t="str">
        <f t="shared" si="100"/>
        <v>1Q16A</v>
      </c>
      <c r="BB158" s="352" t="str">
        <f t="shared" si="100"/>
        <v>2Q16A</v>
      </c>
      <c r="BC158" s="352" t="str">
        <f t="shared" si="100"/>
        <v>3Q16A</v>
      </c>
      <c r="BD158" s="352" t="str">
        <f t="shared" si="100"/>
        <v>4Q16A</v>
      </c>
      <c r="BE158" s="353" t="str">
        <f t="shared" si="100"/>
        <v>2016A</v>
      </c>
      <c r="BF158" s="352" t="str">
        <f t="shared" si="100"/>
        <v>1Q17A</v>
      </c>
      <c r="BG158" s="352" t="str">
        <f t="shared" si="100"/>
        <v>2Q17A</v>
      </c>
      <c r="BH158" s="352" t="str">
        <f t="shared" si="100"/>
        <v>3Q17A</v>
      </c>
      <c r="BI158" s="352" t="str">
        <f t="shared" si="100"/>
        <v>4Q17A</v>
      </c>
      <c r="BJ158" s="353" t="str">
        <f t="shared" si="100"/>
        <v>2017A</v>
      </c>
      <c r="BK158" s="352" t="str">
        <f t="shared" si="100"/>
        <v>1Q18A</v>
      </c>
      <c r="BL158" s="352" t="str">
        <f t="shared" si="100"/>
        <v>2Q18E</v>
      </c>
      <c r="BM158" s="352" t="str">
        <f t="shared" si="100"/>
        <v>3Q18E</v>
      </c>
      <c r="BN158" s="352" t="str">
        <f t="shared" si="100"/>
        <v>4Q18E</v>
      </c>
      <c r="BO158" s="353" t="str">
        <f t="shared" ref="BO158:CD158" si="101">BO3</f>
        <v>2018E</v>
      </c>
      <c r="BP158" s="352" t="str">
        <f t="shared" si="101"/>
        <v>1Q19E</v>
      </c>
      <c r="BQ158" s="352" t="str">
        <f t="shared" si="101"/>
        <v>2Q19E</v>
      </c>
      <c r="BR158" s="352" t="str">
        <f t="shared" si="101"/>
        <v>3Q19E</v>
      </c>
      <c r="BS158" s="352" t="str">
        <f t="shared" si="101"/>
        <v>4Q19E</v>
      </c>
      <c r="BT158" s="353" t="str">
        <f t="shared" si="101"/>
        <v>2019E</v>
      </c>
      <c r="BU158" s="352" t="str">
        <f t="shared" si="101"/>
        <v>1Q20E</v>
      </c>
      <c r="BV158" s="352" t="str">
        <f t="shared" si="101"/>
        <v>2Q20E</v>
      </c>
      <c r="BW158" s="352" t="str">
        <f t="shared" si="101"/>
        <v>3Q20E</v>
      </c>
      <c r="BX158" s="352" t="str">
        <f t="shared" si="101"/>
        <v>4Q20E</v>
      </c>
      <c r="BY158" s="353" t="str">
        <f t="shared" si="101"/>
        <v>2020E</v>
      </c>
      <c r="BZ158" s="352" t="str">
        <f t="shared" si="101"/>
        <v>1Q21E</v>
      </c>
      <c r="CA158" s="352" t="str">
        <f t="shared" si="101"/>
        <v>2Q21E</v>
      </c>
      <c r="CB158" s="352" t="str">
        <f t="shared" si="101"/>
        <v>3Q21E</v>
      </c>
      <c r="CC158" s="352" t="str">
        <f t="shared" si="101"/>
        <v>4Q21E</v>
      </c>
      <c r="CD158" s="353" t="str">
        <f t="shared" si="101"/>
        <v>2021E</v>
      </c>
      <c r="CE158" s="92"/>
    </row>
    <row r="159" spans="1:91" ht="15">
      <c r="A159" s="92"/>
      <c r="B159" s="355" t="s">
        <v>173</v>
      </c>
      <c r="C159" s="356"/>
      <c r="D159" s="356"/>
      <c r="E159" s="356"/>
      <c r="F159" s="357"/>
      <c r="G159" s="358"/>
      <c r="H159" s="356"/>
      <c r="I159" s="356"/>
      <c r="J159" s="356"/>
      <c r="K159" s="357"/>
      <c r="L159" s="358"/>
      <c r="M159" s="356"/>
      <c r="N159" s="356"/>
      <c r="O159" s="356"/>
      <c r="P159" s="357"/>
      <c r="Q159" s="358"/>
      <c r="R159" s="356"/>
      <c r="S159" s="356"/>
      <c r="T159" s="356"/>
      <c r="U159" s="357"/>
      <c r="V159" s="358"/>
      <c r="W159" s="356"/>
      <c r="X159" s="356"/>
      <c r="Y159" s="356"/>
      <c r="Z159" s="357"/>
      <c r="AA159" s="358"/>
      <c r="AB159" s="356"/>
      <c r="AC159" s="356"/>
      <c r="AD159" s="356"/>
      <c r="AE159" s="357"/>
      <c r="AF159" s="358"/>
      <c r="AG159" s="356"/>
      <c r="AH159" s="356"/>
      <c r="AI159" s="356"/>
      <c r="AJ159" s="357"/>
      <c r="AK159" s="358"/>
      <c r="AL159" s="359"/>
      <c r="AM159" s="359"/>
      <c r="AN159" s="359"/>
      <c r="AO159" s="357"/>
      <c r="AP159" s="360"/>
      <c r="AQ159" s="361"/>
      <c r="AR159" s="361"/>
      <c r="AS159" s="361"/>
      <c r="AT159" s="361"/>
      <c r="AU159" s="360"/>
      <c r="AV159" s="361"/>
      <c r="AW159" s="361"/>
      <c r="AX159" s="361"/>
      <c r="AY159" s="361"/>
      <c r="AZ159" s="360"/>
      <c r="BA159" s="361"/>
      <c r="BB159" s="361"/>
      <c r="BC159" s="361"/>
      <c r="BD159" s="361"/>
      <c r="BE159" s="360"/>
      <c r="BF159" s="361"/>
      <c r="BG159" s="361"/>
      <c r="BH159" s="361"/>
      <c r="BI159" s="361"/>
      <c r="BJ159" s="360"/>
      <c r="BK159" s="361"/>
      <c r="BL159" s="361"/>
      <c r="BM159" s="361"/>
      <c r="BN159" s="361"/>
      <c r="BO159" s="360"/>
      <c r="BP159" s="361"/>
      <c r="BQ159" s="361"/>
      <c r="BR159" s="361"/>
      <c r="BS159" s="361"/>
      <c r="BT159" s="360"/>
      <c r="BU159" s="361"/>
      <c r="BV159" s="361"/>
      <c r="BW159" s="361"/>
      <c r="BX159" s="361"/>
      <c r="BY159" s="360"/>
      <c r="BZ159" s="361"/>
      <c r="CA159" s="361"/>
      <c r="CB159" s="361"/>
      <c r="CC159" s="361"/>
      <c r="CD159" s="360"/>
      <c r="CE159" s="92"/>
    </row>
    <row r="160" spans="1:91" ht="13.5" customHeight="1">
      <c r="A160" s="362"/>
      <c r="B160" s="363" t="s">
        <v>174</v>
      </c>
      <c r="C160" s="364"/>
      <c r="D160" s="364"/>
      <c r="E160" s="364"/>
      <c r="F160" s="364"/>
      <c r="G160" s="365"/>
      <c r="H160" s="364"/>
      <c r="I160" s="364"/>
      <c r="J160" s="364"/>
      <c r="K160" s="364"/>
      <c r="L160" s="365"/>
      <c r="M160" s="364"/>
      <c r="N160" s="364"/>
      <c r="O160" s="364"/>
      <c r="P160" s="364"/>
      <c r="Q160" s="365"/>
      <c r="R160" s="364"/>
      <c r="S160" s="364"/>
      <c r="T160" s="364"/>
      <c r="U160" s="364"/>
      <c r="V160" s="365"/>
      <c r="W160" s="364"/>
      <c r="X160" s="364"/>
      <c r="Y160" s="364"/>
      <c r="Z160" s="364"/>
      <c r="AA160" s="365"/>
      <c r="AB160" s="364"/>
      <c r="AC160" s="364"/>
      <c r="AD160" s="364"/>
      <c r="AE160" s="364"/>
      <c r="AF160" s="365"/>
      <c r="AG160" s="364"/>
      <c r="AH160" s="364"/>
      <c r="AI160" s="364"/>
      <c r="AJ160" s="364"/>
      <c r="AK160" s="169">
        <v>778</v>
      </c>
      <c r="AL160" s="366"/>
      <c r="AM160" s="366"/>
      <c r="AN160" s="366"/>
      <c r="AO160" s="366"/>
      <c r="AP160" s="169">
        <v>955</v>
      </c>
      <c r="AQ160" s="366"/>
      <c r="AR160" s="116">
        <v>-101</v>
      </c>
      <c r="AS160" s="366">
        <v>234</v>
      </c>
      <c r="AT160" s="367"/>
      <c r="AU160" s="368">
        <f>AU137</f>
        <v>419</v>
      </c>
      <c r="AV160" s="369">
        <v>255</v>
      </c>
      <c r="AW160" s="369">
        <f>560-AV160</f>
        <v>305</v>
      </c>
      <c r="AX160" s="369">
        <v>301</v>
      </c>
      <c r="AY160" s="369">
        <v>367</v>
      </c>
      <c r="AZ160" s="368">
        <f>SUM(AV160:AY160)</f>
        <v>1228</v>
      </c>
      <c r="BA160" s="369">
        <v>365</v>
      </c>
      <c r="BB160" s="369">
        <v>323</v>
      </c>
      <c r="BC160" s="369">
        <v>323</v>
      </c>
      <c r="BD160" s="369">
        <v>390</v>
      </c>
      <c r="BE160" s="368">
        <f>SUM(BA160:BD160)</f>
        <v>1401</v>
      </c>
      <c r="BF160" s="369">
        <v>384</v>
      </c>
      <c r="BG160" s="369">
        <v>411</v>
      </c>
      <c r="BH160" s="369">
        <v>380</v>
      </c>
      <c r="BI160" s="369">
        <v>620</v>
      </c>
      <c r="BJ160" s="368">
        <f>SUM(BF160:BI160)</f>
        <v>1795</v>
      </c>
      <c r="BK160" s="369">
        <v>511</v>
      </c>
      <c r="BL160" s="232">
        <f>BL137</f>
        <v>451.67312481934943</v>
      </c>
      <c r="BM160" s="232">
        <f>BM137</f>
        <v>422.17237212296487</v>
      </c>
      <c r="BN160" s="232">
        <f>BN137</f>
        <v>550.24828914671821</v>
      </c>
      <c r="BO160" s="368">
        <f>SUM(BK160:BN160)</f>
        <v>1935.0937860890324</v>
      </c>
      <c r="BP160" s="232">
        <f>BP137</f>
        <v>524.96960922886899</v>
      </c>
      <c r="BQ160" s="232">
        <f>BQ137</f>
        <v>553.57706374225108</v>
      </c>
      <c r="BR160" s="232">
        <f>BR137</f>
        <v>549.53417368598468</v>
      </c>
      <c r="BS160" s="232">
        <f>BS137</f>
        <v>710.49680250360234</v>
      </c>
      <c r="BT160" s="368">
        <f>SUM(BP160:BS160)</f>
        <v>2338.5776491607071</v>
      </c>
      <c r="BU160" s="232">
        <f>BU137</f>
        <v>634.7854444918454</v>
      </c>
      <c r="BV160" s="232">
        <f>BV137</f>
        <v>676.37157320134497</v>
      </c>
      <c r="BW160" s="232">
        <f>BW137</f>
        <v>655.36956251844947</v>
      </c>
      <c r="BX160" s="232">
        <f>BX137</f>
        <v>855.04449563970388</v>
      </c>
      <c r="BY160" s="368">
        <f>SUM(BU160:BX160)</f>
        <v>2821.5710758513442</v>
      </c>
      <c r="BZ160" s="232">
        <f>BZ137</f>
        <v>796.45731655895952</v>
      </c>
      <c r="CA160" s="232">
        <f>CA137</f>
        <v>851.25271587688235</v>
      </c>
      <c r="CB160" s="232">
        <f>CB137</f>
        <v>849.59541348901166</v>
      </c>
      <c r="CC160" s="232">
        <f>CC137</f>
        <v>1101.1205896856061</v>
      </c>
      <c r="CD160" s="368">
        <f>SUM(BZ160:CC160)</f>
        <v>3598.4260356104596</v>
      </c>
      <c r="CE160" s="362"/>
      <c r="CL160" s="370"/>
      <c r="CM160" s="370"/>
    </row>
    <row r="161" spans="1:91" ht="13.5" customHeight="1">
      <c r="A161" s="371"/>
      <c r="B161" s="372" t="s">
        <v>175</v>
      </c>
      <c r="C161" s="196"/>
      <c r="D161" s="196"/>
      <c r="E161" s="196"/>
      <c r="F161" s="196"/>
      <c r="G161" s="143"/>
      <c r="H161" s="196"/>
      <c r="I161" s="196"/>
      <c r="J161" s="196"/>
      <c r="K161" s="196"/>
      <c r="L161" s="143"/>
      <c r="M161" s="196"/>
      <c r="N161" s="196"/>
      <c r="O161" s="196"/>
      <c r="P161" s="196"/>
      <c r="Q161" s="143"/>
      <c r="R161" s="196"/>
      <c r="S161" s="196"/>
      <c r="T161" s="196"/>
      <c r="U161" s="196"/>
      <c r="V161" s="143"/>
      <c r="W161" s="196"/>
      <c r="X161" s="196"/>
      <c r="Y161" s="196"/>
      <c r="Z161" s="196"/>
      <c r="AA161" s="143"/>
      <c r="AB161" s="196"/>
      <c r="AC161" s="196"/>
      <c r="AD161" s="196"/>
      <c r="AE161" s="196"/>
      <c r="AF161" s="143"/>
      <c r="AG161" s="196"/>
      <c r="AH161" s="196"/>
      <c r="AI161" s="196"/>
      <c r="AJ161" s="196"/>
      <c r="AK161" s="144"/>
      <c r="AL161" s="116"/>
      <c r="AM161" s="116"/>
      <c r="AN161" s="116"/>
      <c r="AO161" s="116"/>
      <c r="AP161" s="144"/>
      <c r="AQ161" s="116"/>
      <c r="AR161" s="116"/>
      <c r="AS161" s="116"/>
      <c r="AT161" s="170"/>
      <c r="AU161" s="144"/>
      <c r="AV161" s="142"/>
      <c r="AW161" s="142"/>
      <c r="AX161" s="142"/>
      <c r="AY161" s="142"/>
      <c r="AZ161" s="144"/>
      <c r="BA161" s="142"/>
      <c r="BB161" s="142"/>
      <c r="BC161" s="142"/>
      <c r="BD161" s="142"/>
      <c r="BE161" s="144"/>
      <c r="BF161" s="142"/>
      <c r="BG161" s="142"/>
      <c r="BH161" s="142"/>
      <c r="BI161" s="142"/>
      <c r="BJ161" s="144"/>
      <c r="BK161" s="142"/>
      <c r="BL161" s="145"/>
      <c r="BM161" s="145"/>
      <c r="BN161" s="145"/>
      <c r="BO161" s="144"/>
      <c r="BP161" s="145"/>
      <c r="BQ161" s="145"/>
      <c r="BR161" s="145"/>
      <c r="BS161" s="145"/>
      <c r="BT161" s="144"/>
      <c r="BU161" s="145"/>
      <c r="BV161" s="145"/>
      <c r="BW161" s="145"/>
      <c r="BX161" s="145"/>
      <c r="BY161" s="144"/>
      <c r="BZ161" s="145"/>
      <c r="CA161" s="145"/>
      <c r="CB161" s="145"/>
      <c r="CC161" s="145"/>
      <c r="CD161" s="144"/>
      <c r="CE161" s="371"/>
      <c r="CL161" s="160"/>
      <c r="CM161" s="160"/>
    </row>
    <row r="162" spans="1:91" ht="13.5" customHeight="1">
      <c r="A162" s="371"/>
      <c r="B162" s="373" t="s">
        <v>176</v>
      </c>
      <c r="C162" s="142"/>
      <c r="D162" s="142"/>
      <c r="E162" s="142"/>
      <c r="F162" s="142"/>
      <c r="G162" s="168"/>
      <c r="H162" s="142"/>
      <c r="I162" s="142"/>
      <c r="J162" s="142"/>
      <c r="K162" s="142"/>
      <c r="L162" s="168"/>
      <c r="M162" s="142"/>
      <c r="N162" s="142"/>
      <c r="O162" s="142"/>
      <c r="P162" s="142"/>
      <c r="Q162" s="168"/>
      <c r="R162" s="142"/>
      <c r="S162" s="142"/>
      <c r="T162" s="142"/>
      <c r="U162" s="142"/>
      <c r="V162" s="168"/>
      <c r="W162" s="142"/>
      <c r="X162" s="142"/>
      <c r="Y162" s="142"/>
      <c r="Z162" s="142"/>
      <c r="AA162" s="168"/>
      <c r="AB162" s="142"/>
      <c r="AC162" s="142"/>
      <c r="AD162" s="142"/>
      <c r="AE162" s="142"/>
      <c r="AF162" s="168"/>
      <c r="AG162" s="142"/>
      <c r="AH162" s="142"/>
      <c r="AI162" s="142"/>
      <c r="AJ162" s="142"/>
      <c r="AK162" s="169">
        <v>365</v>
      </c>
      <c r="AL162" s="145"/>
      <c r="AM162" s="145"/>
      <c r="AN162" s="145"/>
      <c r="AO162" s="145"/>
      <c r="AP162" s="169">
        <v>502</v>
      </c>
      <c r="AQ162" s="145"/>
      <c r="AR162" s="170">
        <v>273</v>
      </c>
      <c r="AS162" s="145">
        <v>180</v>
      </c>
      <c r="AT162" s="170"/>
      <c r="AU162" s="169">
        <v>646</v>
      </c>
      <c r="AV162" s="167">
        <v>178</v>
      </c>
      <c r="AW162" s="167">
        <f>363-AV162</f>
        <v>185</v>
      </c>
      <c r="AX162" s="167">
        <v>201</v>
      </c>
      <c r="AY162" s="167">
        <v>245</v>
      </c>
      <c r="AZ162" s="144">
        <f t="shared" ref="AZ162:AZ171" si="102">SUM(AV162:AY162)</f>
        <v>809</v>
      </c>
      <c r="BA162" s="167">
        <v>255</v>
      </c>
      <c r="BB162" s="167">
        <v>255</v>
      </c>
      <c r="BC162" s="167">
        <v>271</v>
      </c>
      <c r="BD162" s="167">
        <v>307</v>
      </c>
      <c r="BE162" s="144">
        <f t="shared" ref="BE162:BE167" si="103">SUM(BA162:BD162)</f>
        <v>1088</v>
      </c>
      <c r="BF162" s="167">
        <v>300</v>
      </c>
      <c r="BG162" s="167">
        <v>308</v>
      </c>
      <c r="BH162" s="167">
        <v>363</v>
      </c>
      <c r="BI162" s="167">
        <v>40</v>
      </c>
      <c r="BJ162" s="144">
        <f t="shared" ref="BJ162:BJ167" si="104">SUM(BF162:BI162)</f>
        <v>1011</v>
      </c>
      <c r="BK162" s="167">
        <v>305</v>
      </c>
      <c r="BL162" s="145">
        <f>+BL25*BL271</f>
        <v>323.29107710489473</v>
      </c>
      <c r="BM162" s="145">
        <f>+BM25*BM271</f>
        <v>338.23789542917967</v>
      </c>
      <c r="BN162" s="145">
        <f>+BN25*BN271</f>
        <v>385.45297056675179</v>
      </c>
      <c r="BO162" s="144">
        <f>SUM(BK162:BN162)</f>
        <v>1351.9819431008264</v>
      </c>
      <c r="BP162" s="145">
        <f>+BP25*BP271</f>
        <v>369.61386298091247</v>
      </c>
      <c r="BQ162" s="145">
        <f>+BQ25*BQ271</f>
        <v>392.68620961214975</v>
      </c>
      <c r="BR162" s="145">
        <f>+BR25*BR271</f>
        <v>410.84139498282582</v>
      </c>
      <c r="BS162" s="145">
        <f>+BS25*BS271</f>
        <v>468.19128864014544</v>
      </c>
      <c r="BT162" s="144">
        <f>SUM(BP162:BS162)</f>
        <v>1641.3327562160334</v>
      </c>
      <c r="BU162" s="145">
        <f>+BU25*BU271</f>
        <v>443.5366355770949</v>
      </c>
      <c r="BV162" s="145">
        <f>+BV25*BV271</f>
        <v>471.22345153457974</v>
      </c>
      <c r="BW162" s="145">
        <f>+BW25*BW271</f>
        <v>484.79284607973443</v>
      </c>
      <c r="BX162" s="145">
        <f>+BX25*BX271</f>
        <v>552.46572059537164</v>
      </c>
      <c r="BY162" s="144">
        <f>SUM(BU162:BX162)</f>
        <v>1952.0186537867808</v>
      </c>
      <c r="BZ162" s="145">
        <f>+BZ25*BZ271</f>
        <v>518.93786362520098</v>
      </c>
      <c r="CA162" s="145">
        <f>+CA25*CA271</f>
        <v>551.33143829545827</v>
      </c>
      <c r="CB162" s="145">
        <f>+CB25*CB271</f>
        <v>567.20762991328922</v>
      </c>
      <c r="CC162" s="145">
        <f>+CC25*CC271</f>
        <v>646.38489309658462</v>
      </c>
      <c r="CD162" s="144">
        <f>SUM(BZ162:CC162)</f>
        <v>2283.8618249305332</v>
      </c>
      <c r="CE162" s="371"/>
      <c r="CL162" s="436"/>
      <c r="CM162" s="160"/>
    </row>
    <row r="163" spans="1:91" ht="13.5" customHeight="1">
      <c r="A163" s="371"/>
      <c r="B163" s="373" t="s">
        <v>177</v>
      </c>
      <c r="C163" s="196"/>
      <c r="D163" s="196"/>
      <c r="E163" s="196"/>
      <c r="F163" s="196"/>
      <c r="G163" s="168"/>
      <c r="H163" s="196"/>
      <c r="I163" s="196"/>
      <c r="J163" s="196"/>
      <c r="K163" s="196"/>
      <c r="L163" s="168"/>
      <c r="M163" s="196"/>
      <c r="N163" s="196"/>
      <c r="O163" s="196"/>
      <c r="P163" s="196"/>
      <c r="Q163" s="168"/>
      <c r="R163" s="196"/>
      <c r="S163" s="196"/>
      <c r="T163" s="196"/>
      <c r="U163" s="196"/>
      <c r="V163" s="168"/>
      <c r="W163" s="196"/>
      <c r="X163" s="196"/>
      <c r="Y163" s="196"/>
      <c r="Z163" s="196"/>
      <c r="AA163" s="168"/>
      <c r="AB163" s="196"/>
      <c r="AC163" s="196"/>
      <c r="AD163" s="196"/>
      <c r="AE163" s="196"/>
      <c r="AF163" s="168"/>
      <c r="AG163" s="196"/>
      <c r="AH163" s="196"/>
      <c r="AI163" s="196"/>
      <c r="AJ163" s="196"/>
      <c r="AK163" s="169">
        <v>382</v>
      </c>
      <c r="AL163" s="116"/>
      <c r="AM163" s="116"/>
      <c r="AN163" s="116"/>
      <c r="AO163" s="116"/>
      <c r="AP163" s="169">
        <v>453</v>
      </c>
      <c r="AQ163" s="116"/>
      <c r="AR163" s="116">
        <v>255</v>
      </c>
      <c r="AS163" s="116">
        <v>129</v>
      </c>
      <c r="AT163" s="170"/>
      <c r="AU163" s="169">
        <v>516</v>
      </c>
      <c r="AV163" s="167">
        <v>141</v>
      </c>
      <c r="AW163" s="167">
        <f>291-AV163</f>
        <v>150</v>
      </c>
      <c r="AX163" s="167">
        <v>153</v>
      </c>
      <c r="AY163" s="167">
        <v>164</v>
      </c>
      <c r="AZ163" s="144">
        <f t="shared" si="102"/>
        <v>608</v>
      </c>
      <c r="BA163" s="167">
        <v>174</v>
      </c>
      <c r="BB163" s="167">
        <v>176</v>
      </c>
      <c r="BC163" s="167">
        <v>185</v>
      </c>
      <c r="BD163" s="167">
        <v>189</v>
      </c>
      <c r="BE163" s="144">
        <f t="shared" si="103"/>
        <v>724</v>
      </c>
      <c r="BF163" s="167">
        <v>183</v>
      </c>
      <c r="BG163" s="167">
        <v>201</v>
      </c>
      <c r="BH163" s="167">
        <v>194</v>
      </c>
      <c r="BI163" s="167">
        <v>227</v>
      </c>
      <c r="BJ163" s="144">
        <f t="shared" si="104"/>
        <v>805</v>
      </c>
      <c r="BK163" s="167">
        <v>185</v>
      </c>
      <c r="BL163" s="145">
        <f>BL72+BL122+BL123</f>
        <v>136.5</v>
      </c>
      <c r="BM163" s="145">
        <f>BM72+BM122+BM123</f>
        <v>138</v>
      </c>
      <c r="BN163" s="145">
        <f>BN72+BN122+BN123</f>
        <v>139.5</v>
      </c>
      <c r="BO163" s="144">
        <f>SUM(BK163:BN163)</f>
        <v>599</v>
      </c>
      <c r="BP163" s="145">
        <f>BP72+BP122+BP123</f>
        <v>142.5</v>
      </c>
      <c r="BQ163" s="145">
        <f>BQ72+BQ122+BQ123</f>
        <v>144</v>
      </c>
      <c r="BR163" s="145">
        <f>BR72+BR122+BR123</f>
        <v>145.5</v>
      </c>
      <c r="BS163" s="145">
        <f>BS72+BS122+BS123</f>
        <v>147</v>
      </c>
      <c r="BT163" s="144">
        <f>SUM(BP163:BS163)</f>
        <v>579</v>
      </c>
      <c r="BU163" s="145">
        <f>BU72+BU122+BU123</f>
        <v>152</v>
      </c>
      <c r="BV163" s="145">
        <f>BV72+BV122+BV123</f>
        <v>153.5</v>
      </c>
      <c r="BW163" s="145">
        <f>BW72+BW122+BW123</f>
        <v>155</v>
      </c>
      <c r="BX163" s="145">
        <f>BX72+BX122+BX123</f>
        <v>156.5</v>
      </c>
      <c r="BY163" s="144">
        <f>SUM(BU163:BX163)</f>
        <v>617</v>
      </c>
      <c r="BZ163" s="145">
        <f>BZ72+BZ122+BZ123</f>
        <v>161.5</v>
      </c>
      <c r="CA163" s="145">
        <f>CA72+CA122+CA123</f>
        <v>163</v>
      </c>
      <c r="CB163" s="145">
        <f>CB72+CB122+CB123</f>
        <v>164.5</v>
      </c>
      <c r="CC163" s="145">
        <f>CC72+CC122+CC123</f>
        <v>166</v>
      </c>
      <c r="CD163" s="144">
        <f>SUM(BZ163:CC163)</f>
        <v>655</v>
      </c>
      <c r="CE163" s="371"/>
      <c r="CL163" s="436"/>
      <c r="CM163" s="160"/>
    </row>
    <row r="164" spans="1:91" ht="13.5" customHeight="1">
      <c r="A164" s="371"/>
      <c r="B164" s="373" t="s">
        <v>178</v>
      </c>
      <c r="C164" s="196"/>
      <c r="D164" s="196"/>
      <c r="E164" s="196"/>
      <c r="F164" s="196"/>
      <c r="G164" s="168"/>
      <c r="H164" s="196"/>
      <c r="I164" s="196"/>
      <c r="J164" s="196"/>
      <c r="K164" s="196"/>
      <c r="L164" s="168"/>
      <c r="M164" s="196"/>
      <c r="N164" s="196"/>
      <c r="O164" s="196"/>
      <c r="P164" s="196"/>
      <c r="Q164" s="168"/>
      <c r="R164" s="196"/>
      <c r="S164" s="196"/>
      <c r="T164" s="196"/>
      <c r="U164" s="196"/>
      <c r="V164" s="168"/>
      <c r="W164" s="196"/>
      <c r="X164" s="196"/>
      <c r="Y164" s="196"/>
      <c r="Z164" s="196"/>
      <c r="AA164" s="168"/>
      <c r="AB164" s="196"/>
      <c r="AC164" s="196"/>
      <c r="AD164" s="196"/>
      <c r="AE164" s="196"/>
      <c r="AF164" s="168"/>
      <c r="AG164" s="196"/>
      <c r="AH164" s="196"/>
      <c r="AI164" s="196"/>
      <c r="AJ164" s="196"/>
      <c r="AK164" s="169">
        <v>205</v>
      </c>
      <c r="AL164" s="116"/>
      <c r="AM164" s="116"/>
      <c r="AN164" s="116"/>
      <c r="AO164" s="116"/>
      <c r="AP164" s="169">
        <v>253</v>
      </c>
      <c r="AQ164" s="116"/>
      <c r="AR164" s="116">
        <v>143</v>
      </c>
      <c r="AS164" s="116">
        <v>75</v>
      </c>
      <c r="AT164" s="170"/>
      <c r="AU164" s="169">
        <v>299</v>
      </c>
      <c r="AV164" s="167">
        <v>79</v>
      </c>
      <c r="AW164" s="167">
        <f>162-AV164</f>
        <v>83</v>
      </c>
      <c r="AX164" s="167">
        <v>94</v>
      </c>
      <c r="AY164" s="167">
        <v>90</v>
      </c>
      <c r="AZ164" s="144">
        <f t="shared" si="102"/>
        <v>346</v>
      </c>
      <c r="BA164" s="167">
        <v>95</v>
      </c>
      <c r="BB164" s="167">
        <v>111</v>
      </c>
      <c r="BC164" s="167">
        <v>107</v>
      </c>
      <c r="BD164" s="167">
        <v>125</v>
      </c>
      <c r="BE164" s="144">
        <f t="shared" si="103"/>
        <v>438</v>
      </c>
      <c r="BF164" s="167">
        <v>145</v>
      </c>
      <c r="BG164" s="167">
        <v>176</v>
      </c>
      <c r="BH164" s="167">
        <v>193</v>
      </c>
      <c r="BI164" s="167">
        <v>219</v>
      </c>
      <c r="BJ164" s="144">
        <f t="shared" si="104"/>
        <v>733</v>
      </c>
      <c r="BK164" s="167">
        <v>205</v>
      </c>
      <c r="BL164" s="145">
        <f>+BL80</f>
        <v>249.88400174481046</v>
      </c>
      <c r="BM164" s="145">
        <f>+BM80</f>
        <v>239.48080925671104</v>
      </c>
      <c r="BN164" s="145">
        <f>+BN80</f>
        <v>277.40152192097662</v>
      </c>
      <c r="BO164" s="144">
        <f>SUM(BK164:BN164)</f>
        <v>971.76633292249812</v>
      </c>
      <c r="BP164" s="145">
        <f>+BP80</f>
        <v>244.95257303569332</v>
      </c>
      <c r="BQ164" s="145">
        <f>+BQ80</f>
        <v>254.65861086488249</v>
      </c>
      <c r="BR164" s="145">
        <f>+BR80</f>
        <v>262.00517937187425</v>
      </c>
      <c r="BS164" s="145">
        <f>+BS80</f>
        <v>303.66928500221997</v>
      </c>
      <c r="BT164" s="144">
        <f>SUM(BP164:BS164)</f>
        <v>1065.2856482746702</v>
      </c>
      <c r="BU164" s="145">
        <f>+BU80</f>
        <v>293.52806482153574</v>
      </c>
      <c r="BV164" s="145">
        <f>+BV80</f>
        <v>306.25001650402959</v>
      </c>
      <c r="BW164" s="145">
        <f>+BW80</f>
        <v>309.65365692339259</v>
      </c>
      <c r="BX164" s="145">
        <f>+BX80</f>
        <v>360.17549494535558</v>
      </c>
      <c r="BY164" s="144">
        <f>SUM(BU164:BX164)</f>
        <v>1269.6072331943137</v>
      </c>
      <c r="BZ164" s="145">
        <f>+BZ80</f>
        <v>318.13794987026972</v>
      </c>
      <c r="CA164" s="145">
        <f>+CA80</f>
        <v>332.48787669830244</v>
      </c>
      <c r="CB164" s="145">
        <f>+CB80</f>
        <v>338.44835212453449</v>
      </c>
      <c r="CC164" s="145">
        <f>+CC80</f>
        <v>394.27349586610052</v>
      </c>
      <c r="CD164" s="144">
        <f>SUM(BZ164:CC164)</f>
        <v>1383.3476745592072</v>
      </c>
      <c r="CE164" s="371"/>
      <c r="CL164" s="436"/>
      <c r="CM164" s="160"/>
    </row>
    <row r="165" spans="1:91" ht="13.5" customHeight="1">
      <c r="A165" s="371"/>
      <c r="B165" s="373" t="s">
        <v>179</v>
      </c>
      <c r="C165" s="196"/>
      <c r="D165" s="196"/>
      <c r="E165" s="196"/>
      <c r="F165" s="196"/>
      <c r="G165" s="168"/>
      <c r="H165" s="196"/>
      <c r="I165" s="196"/>
      <c r="J165" s="196"/>
      <c r="K165" s="196"/>
      <c r="L165" s="168"/>
      <c r="M165" s="196"/>
      <c r="N165" s="196"/>
      <c r="O165" s="196"/>
      <c r="P165" s="196"/>
      <c r="Q165" s="168"/>
      <c r="R165" s="196"/>
      <c r="S165" s="196"/>
      <c r="T165" s="196"/>
      <c r="U165" s="196"/>
      <c r="V165" s="168"/>
      <c r="W165" s="196"/>
      <c r="X165" s="196"/>
      <c r="Y165" s="196"/>
      <c r="Z165" s="196"/>
      <c r="AA165" s="168"/>
      <c r="AB165" s="196"/>
      <c r="AC165" s="196"/>
      <c r="AD165" s="196"/>
      <c r="AE165" s="196"/>
      <c r="AF165" s="168"/>
      <c r="AG165" s="196"/>
      <c r="AH165" s="196"/>
      <c r="AI165" s="196"/>
      <c r="AJ165" s="196"/>
      <c r="AK165" s="169">
        <v>46</v>
      </c>
      <c r="AL165" s="116"/>
      <c r="AM165" s="116"/>
      <c r="AN165" s="116"/>
      <c r="AO165" s="116"/>
      <c r="AP165" s="169">
        <v>52</v>
      </c>
      <c r="AQ165" s="116"/>
      <c r="AR165" s="116">
        <v>695</v>
      </c>
      <c r="AS165" s="116">
        <v>-18</v>
      </c>
      <c r="AT165" s="170"/>
      <c r="AU165" s="169">
        <v>680</v>
      </c>
      <c r="AV165" s="167">
        <v>49</v>
      </c>
      <c r="AW165" s="167">
        <f>92-AV165</f>
        <v>43</v>
      </c>
      <c r="AX165" s="167">
        <v>-5</v>
      </c>
      <c r="AY165" s="167">
        <v>40</v>
      </c>
      <c r="AZ165" s="144">
        <f t="shared" si="102"/>
        <v>127</v>
      </c>
      <c r="BA165" s="167">
        <v>22</v>
      </c>
      <c r="BB165" s="167">
        <v>66</v>
      </c>
      <c r="BC165" s="167">
        <v>-17</v>
      </c>
      <c r="BD165" s="167">
        <v>-19</v>
      </c>
      <c r="BE165" s="144">
        <f t="shared" si="103"/>
        <v>52</v>
      </c>
      <c r="BF165" s="167">
        <v>53</v>
      </c>
      <c r="BG165" s="167">
        <v>49</v>
      </c>
      <c r="BH165" s="167">
        <v>-89</v>
      </c>
      <c r="BI165" s="167">
        <v>-1312</v>
      </c>
      <c r="BJ165" s="144">
        <f t="shared" si="104"/>
        <v>-1299</v>
      </c>
      <c r="BK165" s="167">
        <v>91</v>
      </c>
      <c r="BL165" s="170">
        <v>0</v>
      </c>
      <c r="BM165" s="170">
        <v>0</v>
      </c>
      <c r="BN165" s="170">
        <v>0</v>
      </c>
      <c r="BO165" s="144">
        <f>SUM(BK165:BN165)</f>
        <v>91</v>
      </c>
      <c r="BP165" s="170">
        <v>0</v>
      </c>
      <c r="BQ165" s="170">
        <v>0</v>
      </c>
      <c r="BR165" s="170">
        <v>0</v>
      </c>
      <c r="BS165" s="170">
        <v>0</v>
      </c>
      <c r="BT165" s="144">
        <f>SUM(BP165:BS165)</f>
        <v>0</v>
      </c>
      <c r="BU165" s="170">
        <v>0</v>
      </c>
      <c r="BV165" s="170">
        <v>0</v>
      </c>
      <c r="BW165" s="170">
        <v>0</v>
      </c>
      <c r="BX165" s="170">
        <v>0</v>
      </c>
      <c r="BY165" s="144">
        <f>SUM(BU165:BX165)</f>
        <v>0</v>
      </c>
      <c r="BZ165" s="170">
        <v>0</v>
      </c>
      <c r="CA165" s="170">
        <v>0</v>
      </c>
      <c r="CB165" s="170">
        <v>0</v>
      </c>
      <c r="CC165" s="170">
        <v>0</v>
      </c>
      <c r="CD165" s="144">
        <f>SUM(BZ165:CC165)</f>
        <v>0</v>
      </c>
      <c r="CE165" s="371"/>
      <c r="CL165" s="436"/>
      <c r="CM165" s="160"/>
    </row>
    <row r="166" spans="1:91" ht="13.5" customHeight="1">
      <c r="A166" s="371"/>
      <c r="B166" s="373" t="s">
        <v>180</v>
      </c>
      <c r="C166" s="196"/>
      <c r="D166" s="196"/>
      <c r="E166" s="196"/>
      <c r="F166" s="196"/>
      <c r="G166" s="168"/>
      <c r="H166" s="196"/>
      <c r="I166" s="196"/>
      <c r="J166" s="196"/>
      <c r="K166" s="196"/>
      <c r="L166" s="168"/>
      <c r="M166" s="196"/>
      <c r="N166" s="196"/>
      <c r="O166" s="196"/>
      <c r="P166" s="196"/>
      <c r="Q166" s="168"/>
      <c r="R166" s="196"/>
      <c r="S166" s="196"/>
      <c r="T166" s="196"/>
      <c r="U166" s="196"/>
      <c r="V166" s="168"/>
      <c r="W166" s="196"/>
      <c r="X166" s="196"/>
      <c r="Y166" s="196"/>
      <c r="Z166" s="196"/>
      <c r="AA166" s="168"/>
      <c r="AB166" s="196"/>
      <c r="AC166" s="196"/>
      <c r="AD166" s="196"/>
      <c r="AE166" s="196"/>
      <c r="AF166" s="168"/>
      <c r="AG166" s="196"/>
      <c r="AH166" s="196"/>
      <c r="AI166" s="196"/>
      <c r="AJ166" s="196"/>
      <c r="AK166" s="169">
        <v>-57</v>
      </c>
      <c r="AL166" s="116"/>
      <c r="AM166" s="116"/>
      <c r="AN166" s="116"/>
      <c r="AO166" s="116"/>
      <c r="AP166" s="169">
        <v>-76</v>
      </c>
      <c r="AQ166" s="116"/>
      <c r="AR166" s="116">
        <v>-33</v>
      </c>
      <c r="AS166" s="116">
        <v>-2</v>
      </c>
      <c r="AT166" s="170"/>
      <c r="AU166" s="169">
        <v>-41</v>
      </c>
      <c r="AV166" s="167">
        <v>-8</v>
      </c>
      <c r="AW166" s="167">
        <f>-16-AV166</f>
        <v>-8</v>
      </c>
      <c r="AX166" s="167">
        <v>-8</v>
      </c>
      <c r="AY166" s="167">
        <v>-2</v>
      </c>
      <c r="AZ166" s="144">
        <f t="shared" si="102"/>
        <v>-26</v>
      </c>
      <c r="BA166" s="167">
        <v>-1</v>
      </c>
      <c r="BB166" s="167">
        <v>-31</v>
      </c>
      <c r="BC166" s="167">
        <v>-4</v>
      </c>
      <c r="BD166" s="167">
        <v>-4</v>
      </c>
      <c r="BE166" s="144">
        <f t="shared" si="103"/>
        <v>-40</v>
      </c>
      <c r="BF166" s="167">
        <v>0</v>
      </c>
      <c r="BG166" s="167">
        <v>0</v>
      </c>
      <c r="BH166" s="167">
        <v>0</v>
      </c>
      <c r="BI166" s="167">
        <v>0</v>
      </c>
      <c r="BJ166" s="144">
        <f t="shared" si="104"/>
        <v>0</v>
      </c>
      <c r="BK166" s="167">
        <v>0</v>
      </c>
      <c r="BL166" s="170">
        <v>0</v>
      </c>
      <c r="BM166" s="170">
        <v>0</v>
      </c>
      <c r="BN166" s="170">
        <v>0</v>
      </c>
      <c r="BO166" s="144">
        <f>SUM(BK166:BN166)</f>
        <v>0</v>
      </c>
      <c r="BP166" s="170">
        <v>0</v>
      </c>
      <c r="BQ166" s="170">
        <v>0</v>
      </c>
      <c r="BR166" s="170">
        <v>0</v>
      </c>
      <c r="BS166" s="170">
        <v>0</v>
      </c>
      <c r="BT166" s="144">
        <f>SUM(BP166:BS166)</f>
        <v>0</v>
      </c>
      <c r="BU166" s="170">
        <v>0</v>
      </c>
      <c r="BV166" s="170">
        <v>0</v>
      </c>
      <c r="BW166" s="170">
        <v>0</v>
      </c>
      <c r="BX166" s="170">
        <v>0</v>
      </c>
      <c r="BY166" s="144">
        <f>SUM(BU166:BX166)</f>
        <v>0</v>
      </c>
      <c r="BZ166" s="170">
        <v>0</v>
      </c>
      <c r="CA166" s="170">
        <v>0</v>
      </c>
      <c r="CB166" s="170">
        <v>0</v>
      </c>
      <c r="CC166" s="170">
        <v>0</v>
      </c>
      <c r="CD166" s="144">
        <f>SUM(BZ166:CC166)</f>
        <v>0</v>
      </c>
      <c r="CE166" s="371"/>
      <c r="CL166" s="436"/>
      <c r="CM166" s="160"/>
    </row>
    <row r="167" spans="1:91" ht="13.5" customHeight="1">
      <c r="A167" s="371"/>
      <c r="B167" s="373" t="s">
        <v>181</v>
      </c>
      <c r="C167" s="196"/>
      <c r="D167" s="196"/>
      <c r="E167" s="196"/>
      <c r="F167" s="196"/>
      <c r="G167" s="168"/>
      <c r="H167" s="196"/>
      <c r="I167" s="196"/>
      <c r="J167" s="196"/>
      <c r="K167" s="196"/>
      <c r="L167" s="168"/>
      <c r="M167" s="196"/>
      <c r="N167" s="196"/>
      <c r="O167" s="196"/>
      <c r="P167" s="196"/>
      <c r="Q167" s="168"/>
      <c r="R167" s="196"/>
      <c r="S167" s="196"/>
      <c r="T167" s="196"/>
      <c r="U167" s="196"/>
      <c r="V167" s="168"/>
      <c r="W167" s="196"/>
      <c r="X167" s="196"/>
      <c r="Y167" s="196"/>
      <c r="Z167" s="196"/>
      <c r="AA167" s="168"/>
      <c r="AB167" s="196"/>
      <c r="AC167" s="196"/>
      <c r="AD167" s="196"/>
      <c r="AE167" s="196"/>
      <c r="AF167" s="168"/>
      <c r="AG167" s="196"/>
      <c r="AH167" s="196"/>
      <c r="AI167" s="196"/>
      <c r="AJ167" s="196"/>
      <c r="AK167" s="169"/>
      <c r="AL167" s="116"/>
      <c r="AM167" s="116"/>
      <c r="AN167" s="116"/>
      <c r="AO167" s="116"/>
      <c r="AP167" s="169"/>
      <c r="AQ167" s="116"/>
      <c r="AR167" s="116">
        <v>0</v>
      </c>
      <c r="AS167" s="116">
        <v>0</v>
      </c>
      <c r="AT167" s="170"/>
      <c r="AU167" s="169"/>
      <c r="AV167" s="167">
        <v>0</v>
      </c>
      <c r="AW167" s="167">
        <f>-30-AV167</f>
        <v>-30</v>
      </c>
      <c r="AX167" s="167">
        <v>-5</v>
      </c>
      <c r="AY167" s="167">
        <v>-5</v>
      </c>
      <c r="AZ167" s="144">
        <f t="shared" si="102"/>
        <v>-40</v>
      </c>
      <c r="BA167" s="167">
        <v>-6</v>
      </c>
      <c r="BB167" s="167">
        <v>-6</v>
      </c>
      <c r="BC167" s="167">
        <v>-5</v>
      </c>
      <c r="BD167" s="167">
        <v>-7</v>
      </c>
      <c r="BE167" s="144">
        <f t="shared" si="103"/>
        <v>-24</v>
      </c>
      <c r="BF167" s="167">
        <v>-6</v>
      </c>
      <c r="BG167" s="167">
        <v>-6</v>
      </c>
      <c r="BH167" s="167">
        <v>-4</v>
      </c>
      <c r="BI167" s="167">
        <f>-9+92</f>
        <v>83</v>
      </c>
      <c r="BJ167" s="144">
        <f t="shared" si="104"/>
        <v>67</v>
      </c>
      <c r="BK167" s="167">
        <f>-5+128</f>
        <v>123</v>
      </c>
      <c r="BL167" s="170"/>
      <c r="BM167" s="170"/>
      <c r="BN167" s="170"/>
      <c r="BO167" s="144">
        <f t="shared" ref="BO167" si="105">SUM(BK167:BN167)</f>
        <v>123</v>
      </c>
      <c r="BP167" s="170"/>
      <c r="BQ167" s="170"/>
      <c r="BR167" s="170"/>
      <c r="BS167" s="170"/>
      <c r="BT167" s="144">
        <f t="shared" ref="BT167" si="106">SUM(BP167:BS167)</f>
        <v>0</v>
      </c>
      <c r="BU167" s="170"/>
      <c r="BV167" s="170"/>
      <c r="BW167" s="170"/>
      <c r="BX167" s="170"/>
      <c r="BY167" s="144">
        <f t="shared" ref="BY167" si="107">SUM(BU167:BX167)</f>
        <v>0</v>
      </c>
      <c r="BZ167" s="170"/>
      <c r="CA167" s="170"/>
      <c r="CB167" s="170"/>
      <c r="CC167" s="170"/>
      <c r="CD167" s="144">
        <f t="shared" ref="CD167" si="108">SUM(BZ167:CC167)</f>
        <v>0</v>
      </c>
      <c r="CE167" s="371"/>
      <c r="CL167" s="436"/>
      <c r="CM167" s="160"/>
    </row>
    <row r="168" spans="1:91" ht="13.5" customHeight="1">
      <c r="A168" s="371"/>
      <c r="B168" s="372" t="s">
        <v>182</v>
      </c>
      <c r="C168" s="196"/>
      <c r="D168" s="196"/>
      <c r="E168" s="196"/>
      <c r="F168" s="196"/>
      <c r="G168" s="168"/>
      <c r="H168" s="196"/>
      <c r="I168" s="196"/>
      <c r="J168" s="196"/>
      <c r="K168" s="196"/>
      <c r="L168" s="168"/>
      <c r="M168" s="196"/>
      <c r="N168" s="196"/>
      <c r="O168" s="196"/>
      <c r="P168" s="196"/>
      <c r="Q168" s="168"/>
      <c r="R168" s="196"/>
      <c r="S168" s="196"/>
      <c r="T168" s="196"/>
      <c r="U168" s="196"/>
      <c r="V168" s="168"/>
      <c r="W168" s="196"/>
      <c r="X168" s="196"/>
      <c r="Y168" s="196"/>
      <c r="Z168" s="196"/>
      <c r="AA168" s="168"/>
      <c r="AB168" s="196"/>
      <c r="AC168" s="196"/>
      <c r="AD168" s="196"/>
      <c r="AE168" s="196"/>
      <c r="AF168" s="168"/>
      <c r="AG168" s="196"/>
      <c r="AH168" s="196"/>
      <c r="AI168" s="196"/>
      <c r="AJ168" s="196"/>
      <c r="AK168" s="169"/>
      <c r="AL168" s="116"/>
      <c r="AM168" s="116"/>
      <c r="AN168" s="116"/>
      <c r="AO168" s="116"/>
      <c r="AP168" s="169"/>
      <c r="AQ168" s="116"/>
      <c r="AR168" s="116"/>
      <c r="AS168" s="116"/>
      <c r="AT168" s="170"/>
      <c r="AU168" s="169"/>
      <c r="AV168" s="167"/>
      <c r="AW168" s="167"/>
      <c r="AX168" s="167"/>
      <c r="AY168" s="167"/>
      <c r="AZ168" s="144">
        <f t="shared" si="102"/>
        <v>0</v>
      </c>
      <c r="BA168" s="167"/>
      <c r="BB168" s="167"/>
      <c r="BC168" s="167"/>
      <c r="BD168" s="167"/>
      <c r="BE168" s="144"/>
      <c r="BF168" s="167"/>
      <c r="BG168" s="167"/>
      <c r="BH168" s="167"/>
      <c r="BI168" s="167"/>
      <c r="BJ168" s="144"/>
      <c r="BK168" s="167"/>
      <c r="BL168" s="145"/>
      <c r="BM168" s="145"/>
      <c r="BN168" s="145"/>
      <c r="BO168" s="144"/>
      <c r="BP168" s="145"/>
      <c r="BQ168" s="145"/>
      <c r="BR168" s="145"/>
      <c r="BS168" s="145"/>
      <c r="BT168" s="144"/>
      <c r="BU168" s="145"/>
      <c r="BV168" s="145"/>
      <c r="BW168" s="145"/>
      <c r="BX168" s="145"/>
      <c r="BY168" s="144"/>
      <c r="BZ168" s="145"/>
      <c r="CA168" s="145"/>
      <c r="CB168" s="145"/>
      <c r="CC168" s="145"/>
      <c r="CD168" s="144"/>
      <c r="CE168" s="371"/>
      <c r="CL168" s="436"/>
      <c r="CM168" s="160"/>
    </row>
    <row r="169" spans="1:91" ht="13.5" customHeight="1">
      <c r="A169" s="371"/>
      <c r="B169" s="373" t="s">
        <v>183</v>
      </c>
      <c r="C169" s="196"/>
      <c r="D169" s="196"/>
      <c r="E169" s="196"/>
      <c r="F169" s="196"/>
      <c r="G169" s="168"/>
      <c r="H169" s="196"/>
      <c r="I169" s="196"/>
      <c r="J169" s="196"/>
      <c r="K169" s="196"/>
      <c r="L169" s="168"/>
      <c r="M169" s="196"/>
      <c r="N169" s="196"/>
      <c r="O169" s="196"/>
      <c r="P169" s="196"/>
      <c r="Q169" s="168"/>
      <c r="R169" s="196"/>
      <c r="S169" s="196"/>
      <c r="T169" s="196"/>
      <c r="U169" s="196"/>
      <c r="V169" s="168"/>
      <c r="W169" s="196"/>
      <c r="X169" s="196"/>
      <c r="Y169" s="196"/>
      <c r="Z169" s="196"/>
      <c r="AA169" s="168"/>
      <c r="AB169" s="196"/>
      <c r="AC169" s="196"/>
      <c r="AD169" s="196"/>
      <c r="AE169" s="196"/>
      <c r="AF169" s="168"/>
      <c r="AG169" s="196"/>
      <c r="AH169" s="196"/>
      <c r="AI169" s="196"/>
      <c r="AJ169" s="196"/>
      <c r="AK169" s="169">
        <v>-20</v>
      </c>
      <c r="AL169" s="116"/>
      <c r="AM169" s="116"/>
      <c r="AN169" s="116"/>
      <c r="AO169" s="116"/>
      <c r="AP169" s="169">
        <v>1</v>
      </c>
      <c r="AQ169" s="116"/>
      <c r="AR169" s="116">
        <v>1</v>
      </c>
      <c r="AS169" s="116">
        <v>1</v>
      </c>
      <c r="AT169" s="170"/>
      <c r="AU169" s="169">
        <v>-13</v>
      </c>
      <c r="AV169" s="167">
        <v>12</v>
      </c>
      <c r="AW169" s="167">
        <f>-13-AV169</f>
        <v>-25</v>
      </c>
      <c r="AX169" s="167">
        <v>-85</v>
      </c>
      <c r="AY169" s="167">
        <v>76</v>
      </c>
      <c r="AZ169" s="144">
        <f t="shared" si="102"/>
        <v>-22</v>
      </c>
      <c r="BA169" s="167">
        <v>-22</v>
      </c>
      <c r="BB169" s="167">
        <v>-8</v>
      </c>
      <c r="BC169" s="167">
        <v>-20</v>
      </c>
      <c r="BD169" s="167">
        <v>-27</v>
      </c>
      <c r="BE169" s="144">
        <f t="shared" ref="BE169:BE176" si="109">SUM(BA169:BD169)</f>
        <v>-77</v>
      </c>
      <c r="BF169" s="167">
        <v>36</v>
      </c>
      <c r="BG169" s="167">
        <v>2</v>
      </c>
      <c r="BH169" s="167">
        <v>-43</v>
      </c>
      <c r="BI169" s="167">
        <v>17</v>
      </c>
      <c r="BJ169" s="144">
        <f t="shared" ref="BJ169:BJ176" si="110">SUM(BF169:BI169)</f>
        <v>12</v>
      </c>
      <c r="BK169" s="167">
        <v>25</v>
      </c>
      <c r="BL169" s="145">
        <f>BK222-BL222</f>
        <v>-9.51067406705846</v>
      </c>
      <c r="BM169" s="145">
        <f>BL222-BM222</f>
        <v>11.137027642861597</v>
      </c>
      <c r="BN169" s="145">
        <f>BM222-BN222</f>
        <v>-40.595617706973144</v>
      </c>
      <c r="BO169" s="144">
        <f t="shared" ref="BO169:BO176" si="111">SUM(BK169:BN169)</f>
        <v>-13.969264131170007</v>
      </c>
      <c r="BP169" s="145">
        <f>BO222-BP222</f>
        <v>-20.56184906324728</v>
      </c>
      <c r="BQ169" s="145">
        <f>BP222-BQ222</f>
        <v>-12.581900889689678</v>
      </c>
      <c r="BR169" s="145">
        <f>BQ222-BR222</f>
        <v>-9.5233295461003991</v>
      </c>
      <c r="BS169" s="145">
        <f>BR222-BS222</f>
        <v>-54.009025817114832</v>
      </c>
      <c r="BT169" s="144">
        <f t="shared" ref="BT169:BT176" si="112">SUM(BP169:BS169)</f>
        <v>-96.676105316152189</v>
      </c>
      <c r="BU169" s="145">
        <f>BT222-BU222</f>
        <v>75.457765304736029</v>
      </c>
      <c r="BV169" s="145">
        <f>BU222-BV222</f>
        <v>-13.790733531158651</v>
      </c>
      <c r="BW169" s="145">
        <f>BV222-BW222</f>
        <v>-3.6895831104205854</v>
      </c>
      <c r="BX169" s="145">
        <f>BW222-BX222</f>
        <v>-54.766220078008644</v>
      </c>
      <c r="BY169" s="144">
        <f t="shared" ref="BY169:BY176" si="113">SUM(BU169:BX169)</f>
        <v>3.2112285851481488</v>
      </c>
      <c r="BZ169" s="145">
        <f>BY222-BZ222</f>
        <v>24.758336413588154</v>
      </c>
      <c r="CA169" s="145">
        <f>BZ222-CA222</f>
        <v>-16.494168767853637</v>
      </c>
      <c r="CB169" s="145">
        <f>CA222-CB222</f>
        <v>-6.851121179577035</v>
      </c>
      <c r="CC169" s="145">
        <f>CB222-CC222</f>
        <v>-64.166831886857608</v>
      </c>
      <c r="CD169" s="144">
        <f t="shared" ref="CD169:CD176" si="114">SUM(BZ169:CC169)</f>
        <v>-62.753785420700126</v>
      </c>
      <c r="CE169" s="371"/>
      <c r="CL169" s="436"/>
      <c r="CM169" s="160"/>
    </row>
    <row r="170" spans="1:91" ht="13.5" customHeight="1">
      <c r="A170" s="371"/>
      <c r="B170" s="373" t="s">
        <v>184</v>
      </c>
      <c r="C170" s="196"/>
      <c r="D170" s="196"/>
      <c r="E170" s="196"/>
      <c r="F170" s="196"/>
      <c r="G170" s="168"/>
      <c r="H170" s="196"/>
      <c r="I170" s="196"/>
      <c r="J170" s="196"/>
      <c r="K170" s="196"/>
      <c r="L170" s="168"/>
      <c r="M170" s="196"/>
      <c r="N170" s="196"/>
      <c r="O170" s="196"/>
      <c r="P170" s="196"/>
      <c r="Q170" s="168"/>
      <c r="R170" s="196"/>
      <c r="S170" s="196"/>
      <c r="T170" s="196"/>
      <c r="U170" s="196"/>
      <c r="V170" s="168"/>
      <c r="W170" s="196"/>
      <c r="X170" s="196"/>
      <c r="Y170" s="196"/>
      <c r="Z170" s="196"/>
      <c r="AA170" s="168"/>
      <c r="AB170" s="196"/>
      <c r="AC170" s="196"/>
      <c r="AD170" s="196"/>
      <c r="AE170" s="196"/>
      <c r="AF170" s="168"/>
      <c r="AG170" s="196"/>
      <c r="AH170" s="196"/>
      <c r="AI170" s="196"/>
      <c r="AJ170" s="196"/>
      <c r="AK170" s="169">
        <v>-77</v>
      </c>
      <c r="AL170" s="116"/>
      <c r="AM170" s="116"/>
      <c r="AN170" s="116"/>
      <c r="AO170" s="116"/>
      <c r="AP170" s="169">
        <v>79</v>
      </c>
      <c r="AQ170" s="116"/>
      <c r="AR170" s="116">
        <v>-87</v>
      </c>
      <c r="AS170" s="116">
        <v>111</v>
      </c>
      <c r="AT170" s="170"/>
      <c r="AU170" s="169">
        <v>-24</v>
      </c>
      <c r="AV170" s="167">
        <f>-38</f>
        <v>-38</v>
      </c>
      <c r="AW170" s="167">
        <f>42-AV170</f>
        <v>80</v>
      </c>
      <c r="AX170" s="167">
        <v>79</v>
      </c>
      <c r="AY170" s="167">
        <v>0</v>
      </c>
      <c r="AZ170" s="144">
        <f t="shared" si="102"/>
        <v>121</v>
      </c>
      <c r="BA170" s="167">
        <v>0</v>
      </c>
      <c r="BB170" s="167">
        <v>0</v>
      </c>
      <c r="BC170" s="167">
        <v>0</v>
      </c>
      <c r="BD170" s="167">
        <v>0</v>
      </c>
      <c r="BE170" s="144">
        <f t="shared" si="109"/>
        <v>0</v>
      </c>
      <c r="BF170" s="167">
        <v>0</v>
      </c>
      <c r="BG170" s="167">
        <v>0</v>
      </c>
      <c r="BH170" s="167">
        <v>0</v>
      </c>
      <c r="BI170" s="167">
        <v>0</v>
      </c>
      <c r="BJ170" s="144">
        <f t="shared" si="110"/>
        <v>0</v>
      </c>
      <c r="BK170" s="167">
        <v>0</v>
      </c>
      <c r="BL170" s="170">
        <v>0</v>
      </c>
      <c r="BM170" s="170">
        <v>0</v>
      </c>
      <c r="BN170" s="170">
        <v>0</v>
      </c>
      <c r="BO170" s="144">
        <f t="shared" si="111"/>
        <v>0</v>
      </c>
      <c r="BP170" s="170">
        <v>0</v>
      </c>
      <c r="BQ170" s="170">
        <v>0</v>
      </c>
      <c r="BR170" s="170">
        <v>0</v>
      </c>
      <c r="BS170" s="170">
        <v>0</v>
      </c>
      <c r="BT170" s="144">
        <f t="shared" si="112"/>
        <v>0</v>
      </c>
      <c r="BU170" s="170">
        <v>0</v>
      </c>
      <c r="BV170" s="170">
        <v>0</v>
      </c>
      <c r="BW170" s="170">
        <v>0</v>
      </c>
      <c r="BX170" s="170">
        <v>0</v>
      </c>
      <c r="BY170" s="144">
        <f t="shared" si="113"/>
        <v>0</v>
      </c>
      <c r="BZ170" s="170">
        <v>0</v>
      </c>
      <c r="CA170" s="170">
        <v>0</v>
      </c>
      <c r="CB170" s="170">
        <v>0</v>
      </c>
      <c r="CC170" s="170">
        <v>0</v>
      </c>
      <c r="CD170" s="144">
        <f t="shared" si="114"/>
        <v>0</v>
      </c>
      <c r="CE170" s="371"/>
      <c r="CL170" s="436"/>
      <c r="CM170" s="160"/>
    </row>
    <row r="171" spans="1:91" ht="13.5" customHeight="1">
      <c r="A171" s="371"/>
      <c r="B171" s="373" t="s">
        <v>185</v>
      </c>
      <c r="C171" s="196"/>
      <c r="D171" s="196"/>
      <c r="E171" s="196"/>
      <c r="F171" s="196"/>
      <c r="G171" s="168"/>
      <c r="H171" s="196"/>
      <c r="I171" s="196"/>
      <c r="J171" s="196"/>
      <c r="K171" s="196"/>
      <c r="L171" s="168"/>
      <c r="M171" s="196"/>
      <c r="N171" s="196"/>
      <c r="O171" s="196"/>
      <c r="P171" s="196"/>
      <c r="Q171" s="168"/>
      <c r="R171" s="196"/>
      <c r="S171" s="196"/>
      <c r="T171" s="196"/>
      <c r="U171" s="196"/>
      <c r="V171" s="168"/>
      <c r="W171" s="196"/>
      <c r="X171" s="196"/>
      <c r="Y171" s="196"/>
      <c r="Z171" s="196"/>
      <c r="AA171" s="168"/>
      <c r="AB171" s="196"/>
      <c r="AC171" s="196"/>
      <c r="AD171" s="196"/>
      <c r="AE171" s="196"/>
      <c r="AF171" s="168"/>
      <c r="AG171" s="196"/>
      <c r="AH171" s="196"/>
      <c r="AI171" s="196"/>
      <c r="AJ171" s="196"/>
      <c r="AK171" s="169"/>
      <c r="AL171" s="116"/>
      <c r="AM171" s="116"/>
      <c r="AN171" s="116"/>
      <c r="AO171" s="116"/>
      <c r="AP171" s="169"/>
      <c r="AQ171" s="116"/>
      <c r="AR171" s="116">
        <v>0</v>
      </c>
      <c r="AS171" s="116">
        <v>0</v>
      </c>
      <c r="AT171" s="170"/>
      <c r="AU171" s="169"/>
      <c r="AV171" s="167">
        <v>0</v>
      </c>
      <c r="AW171" s="167">
        <f>4-AV171</f>
        <v>4</v>
      </c>
      <c r="AX171" s="167">
        <v>5</v>
      </c>
      <c r="AY171" s="167">
        <v>5</v>
      </c>
      <c r="AZ171" s="144">
        <f t="shared" si="102"/>
        <v>14</v>
      </c>
      <c r="BA171" s="167">
        <v>6</v>
      </c>
      <c r="BB171" s="167">
        <v>6</v>
      </c>
      <c r="BC171" s="167">
        <v>5</v>
      </c>
      <c r="BD171" s="167">
        <v>7</v>
      </c>
      <c r="BE171" s="144">
        <f t="shared" si="109"/>
        <v>24</v>
      </c>
      <c r="BF171" s="167">
        <v>6</v>
      </c>
      <c r="BG171" s="167">
        <v>6</v>
      </c>
      <c r="BH171" s="167">
        <v>4</v>
      </c>
      <c r="BI171" s="167">
        <v>-1324</v>
      </c>
      <c r="BJ171" s="144">
        <f>SUM(BF171:BI171)</f>
        <v>-1308</v>
      </c>
      <c r="BK171" s="167">
        <v>-1291</v>
      </c>
      <c r="BL171" s="170"/>
      <c r="BM171" s="170"/>
      <c r="BN171" s="170"/>
      <c r="BO171" s="144">
        <f t="shared" si="111"/>
        <v>-1291</v>
      </c>
      <c r="BP171" s="170"/>
      <c r="BQ171" s="170"/>
      <c r="BR171" s="170"/>
      <c r="BS171" s="170"/>
      <c r="BT171" s="144">
        <f t="shared" si="112"/>
        <v>0</v>
      </c>
      <c r="BU171" s="170"/>
      <c r="BV171" s="170"/>
      <c r="BW171" s="170"/>
      <c r="BX171" s="170"/>
      <c r="BY171" s="144">
        <f t="shared" si="113"/>
        <v>0</v>
      </c>
      <c r="BZ171" s="170"/>
      <c r="CA171" s="170"/>
      <c r="CB171" s="170"/>
      <c r="CC171" s="170"/>
      <c r="CD171" s="144">
        <f t="shared" si="114"/>
        <v>0</v>
      </c>
      <c r="CE171" s="371"/>
      <c r="CL171" s="436"/>
      <c r="CM171" s="160"/>
    </row>
    <row r="172" spans="1:91" ht="13.5" customHeight="1">
      <c r="A172" s="371"/>
      <c r="B172" s="373" t="s">
        <v>186</v>
      </c>
      <c r="C172" s="196"/>
      <c r="D172" s="196"/>
      <c r="E172" s="196"/>
      <c r="F172" s="196"/>
      <c r="G172" s="168"/>
      <c r="H172" s="196"/>
      <c r="I172" s="196"/>
      <c r="J172" s="196"/>
      <c r="K172" s="196"/>
      <c r="L172" s="168"/>
      <c r="M172" s="196"/>
      <c r="N172" s="196"/>
      <c r="O172" s="196"/>
      <c r="P172" s="196"/>
      <c r="Q172" s="168"/>
      <c r="R172" s="196"/>
      <c r="S172" s="196"/>
      <c r="T172" s="196"/>
      <c r="U172" s="196"/>
      <c r="V172" s="168"/>
      <c r="W172" s="196"/>
      <c r="X172" s="196"/>
      <c r="Y172" s="196"/>
      <c r="Z172" s="196"/>
      <c r="AA172" s="168"/>
      <c r="AB172" s="196"/>
      <c r="AC172" s="196"/>
      <c r="AD172" s="196"/>
      <c r="AE172" s="196"/>
      <c r="AF172" s="168"/>
      <c r="AG172" s="196"/>
      <c r="AH172" s="196"/>
      <c r="AI172" s="196"/>
      <c r="AJ172" s="196"/>
      <c r="AK172" s="169">
        <v>-163</v>
      </c>
      <c r="AL172" s="116"/>
      <c r="AM172" s="116"/>
      <c r="AN172" s="116"/>
      <c r="AO172" s="116"/>
      <c r="AP172" s="169">
        <v>-64</v>
      </c>
      <c r="AQ172" s="116"/>
      <c r="AR172" s="116">
        <v>-154</v>
      </c>
      <c r="AS172" s="116">
        <v>-51</v>
      </c>
      <c r="AT172" s="170"/>
      <c r="AU172" s="169">
        <v>-39</v>
      </c>
      <c r="AV172" s="167">
        <v>-125</v>
      </c>
      <c r="AW172" s="167">
        <f>-241-AV172</f>
        <v>-116</v>
      </c>
      <c r="AX172" s="167">
        <v>0</v>
      </c>
      <c r="AY172" s="167">
        <v>-227</v>
      </c>
      <c r="AZ172" s="144">
        <f>SUM(AV172:AY172)</f>
        <v>-468</v>
      </c>
      <c r="BA172" s="167">
        <v>-158</v>
      </c>
      <c r="BB172" s="167">
        <v>-247</v>
      </c>
      <c r="BC172" s="167">
        <v>-64</v>
      </c>
      <c r="BD172" s="167">
        <v>-39</v>
      </c>
      <c r="BE172" s="144">
        <f t="shared" si="109"/>
        <v>-508</v>
      </c>
      <c r="BF172" s="167">
        <v>-366</v>
      </c>
      <c r="BG172" s="167">
        <v>-235</v>
      </c>
      <c r="BH172" s="167">
        <v>5</v>
      </c>
      <c r="BI172" s="167">
        <v>1230</v>
      </c>
      <c r="BJ172" s="144">
        <f>SUM(BF172:BI172)</f>
        <v>634</v>
      </c>
      <c r="BK172" s="167">
        <v>-468</v>
      </c>
      <c r="BL172" s="145">
        <f t="shared" ref="BL172:BX172" si="115">$BE$172/$BE$14*BL14</f>
        <v>-179.02480578687397</v>
      </c>
      <c r="BM172" s="145">
        <f t="shared" si="115"/>
        <v>-171.57162950611536</v>
      </c>
      <c r="BN172" s="145">
        <f t="shared" si="115"/>
        <v>-198.73922796226975</v>
      </c>
      <c r="BO172" s="144">
        <f t="shared" si="111"/>
        <v>-1017.3356632552591</v>
      </c>
      <c r="BP172" s="145">
        <f t="shared" si="115"/>
        <v>-191.2868276181089</v>
      </c>
      <c r="BQ172" s="145">
        <f t="shared" si="115"/>
        <v>-198.86640582819945</v>
      </c>
      <c r="BR172" s="145">
        <f t="shared" si="115"/>
        <v>-204.60344204776504</v>
      </c>
      <c r="BS172" s="145">
        <f t="shared" si="115"/>
        <v>-237.13951420575501</v>
      </c>
      <c r="BT172" s="144">
        <f t="shared" si="112"/>
        <v>-831.89618969982848</v>
      </c>
      <c r="BU172" s="145">
        <f t="shared" si="115"/>
        <v>-223.62936207032897</v>
      </c>
      <c r="BV172" s="145">
        <f t="shared" si="115"/>
        <v>-233.32179792233308</v>
      </c>
      <c r="BW172" s="145">
        <f t="shared" si="115"/>
        <v>-235.91491942218599</v>
      </c>
      <c r="BX172" s="145">
        <f t="shared" si="115"/>
        <v>-274.40584332870009</v>
      </c>
      <c r="BY172" s="144">
        <f t="shared" si="113"/>
        <v>-967.2719227435482</v>
      </c>
      <c r="BZ172" s="145">
        <f t="shared" ref="BZ172:CC172" si="116">$BE$172/$BE$14*BZ14</f>
        <v>-257.00513096275819</v>
      </c>
      <c r="CA172" s="145">
        <f t="shared" si="116"/>
        <v>-268.59760154116117</v>
      </c>
      <c r="CB172" s="145">
        <f t="shared" si="116"/>
        <v>-273.41272268010022</v>
      </c>
      <c r="CC172" s="145">
        <f t="shared" si="116"/>
        <v>-318.51060674003884</v>
      </c>
      <c r="CD172" s="144">
        <f t="shared" si="114"/>
        <v>-1117.5260619240585</v>
      </c>
      <c r="CE172" s="371"/>
      <c r="CL172" s="436"/>
      <c r="CM172" s="160"/>
    </row>
    <row r="173" spans="1:91" ht="13.5" customHeight="1">
      <c r="A173" s="371"/>
      <c r="B173" s="373" t="s">
        <v>187</v>
      </c>
      <c r="C173" s="196"/>
      <c r="D173" s="196"/>
      <c r="E173" s="196"/>
      <c r="F173" s="196"/>
      <c r="G173" s="168"/>
      <c r="H173" s="196"/>
      <c r="I173" s="196"/>
      <c r="J173" s="196"/>
      <c r="K173" s="196"/>
      <c r="L173" s="168"/>
      <c r="M173" s="196"/>
      <c r="N173" s="196"/>
      <c r="O173" s="196"/>
      <c r="P173" s="196"/>
      <c r="Q173" s="168"/>
      <c r="R173" s="196"/>
      <c r="S173" s="196"/>
      <c r="T173" s="196"/>
      <c r="U173" s="196"/>
      <c r="V173" s="168"/>
      <c r="W173" s="196"/>
      <c r="X173" s="196"/>
      <c r="Y173" s="196"/>
      <c r="Z173" s="196"/>
      <c r="AA173" s="168"/>
      <c r="AB173" s="196"/>
      <c r="AC173" s="196"/>
      <c r="AD173" s="196"/>
      <c r="AE173" s="196"/>
      <c r="AF173" s="168"/>
      <c r="AG173" s="196"/>
      <c r="AH173" s="196"/>
      <c r="AI173" s="196"/>
      <c r="AJ173" s="196"/>
      <c r="AK173" s="169">
        <v>1</v>
      </c>
      <c r="AL173" s="116"/>
      <c r="AM173" s="116"/>
      <c r="AN173" s="116"/>
      <c r="AO173" s="116"/>
      <c r="AP173" s="169">
        <v>-13</v>
      </c>
      <c r="AQ173" s="116"/>
      <c r="AR173" s="116">
        <v>27</v>
      </c>
      <c r="AS173" s="116">
        <v>1</v>
      </c>
      <c r="AT173" s="170"/>
      <c r="AU173" s="169">
        <v>42</v>
      </c>
      <c r="AV173" s="167">
        <v>13</v>
      </c>
      <c r="AW173" s="167">
        <f>38-AV173</f>
        <v>25</v>
      </c>
      <c r="AX173" s="167">
        <v>-36</v>
      </c>
      <c r="AY173" s="167">
        <v>10</v>
      </c>
      <c r="AZ173" s="144">
        <f>SUM(AV173:AY173)</f>
        <v>12</v>
      </c>
      <c r="BA173" s="167">
        <v>13</v>
      </c>
      <c r="BB173" s="167">
        <v>9</v>
      </c>
      <c r="BC173" s="167">
        <v>6</v>
      </c>
      <c r="BD173" s="167">
        <v>-17</v>
      </c>
      <c r="BE173" s="144">
        <f t="shared" si="109"/>
        <v>11</v>
      </c>
      <c r="BF173" s="167">
        <v>-1</v>
      </c>
      <c r="BG173" s="167">
        <v>5</v>
      </c>
      <c r="BH173" s="167">
        <v>0</v>
      </c>
      <c r="BI173" s="167">
        <v>58</v>
      </c>
      <c r="BJ173" s="144">
        <f t="shared" si="110"/>
        <v>62</v>
      </c>
      <c r="BK173" s="167">
        <v>-35</v>
      </c>
      <c r="BL173" s="145">
        <f>BL238-BK238</f>
        <v>195.08404416167082</v>
      </c>
      <c r="BM173" s="145">
        <f>BM238-BL238</f>
        <v>-56.593299261355412</v>
      </c>
      <c r="BN173" s="145">
        <f>BN238-BM238</f>
        <v>-42.71768590203078</v>
      </c>
      <c r="BO173" s="144">
        <f t="shared" si="111"/>
        <v>60.773058998284625</v>
      </c>
      <c r="BP173" s="145">
        <f>BP238-BO238</f>
        <v>-146.6882962006772</v>
      </c>
      <c r="BQ173" s="145">
        <f>BQ238-BP238</f>
        <v>5.3922432384383967</v>
      </c>
      <c r="BR173" s="145">
        <f>BR238-BQ238</f>
        <v>4.0814269483287546</v>
      </c>
      <c r="BS173" s="145">
        <f>BS238-BR238</f>
        <v>23.146725350192071</v>
      </c>
      <c r="BT173" s="144">
        <f t="shared" si="112"/>
        <v>-114.06790066371798</v>
      </c>
      <c r="BU173" s="145">
        <f>BU238-BT238</f>
        <v>-9.6113562632735636</v>
      </c>
      <c r="BV173" s="145">
        <f>BV238-BU238</f>
        <v>6.8953667655793254</v>
      </c>
      <c r="BW173" s="145">
        <f>BW238-BV238</f>
        <v>1.8447915552102927</v>
      </c>
      <c r="BX173" s="145">
        <f>BX238-BW238</f>
        <v>27.383110039004322</v>
      </c>
      <c r="BY173" s="144">
        <f t="shared" si="113"/>
        <v>26.511912096520376</v>
      </c>
      <c r="BZ173" s="145">
        <f>BZ238-BY238</f>
        <v>-12.379168206794077</v>
      </c>
      <c r="CA173" s="145">
        <f>CA238-BZ238</f>
        <v>8.2470843839268184</v>
      </c>
      <c r="CB173" s="145">
        <f>CB238-CA238</f>
        <v>3.4255605897885175</v>
      </c>
      <c r="CC173" s="145">
        <f>CC238-CB238</f>
        <v>32.083415943428804</v>
      </c>
      <c r="CD173" s="144">
        <f t="shared" si="114"/>
        <v>31.376892710350063</v>
      </c>
      <c r="CE173" s="371"/>
      <c r="CL173" s="436"/>
      <c r="CM173" s="160"/>
    </row>
    <row r="174" spans="1:91" ht="13.5" customHeight="1">
      <c r="A174" s="371"/>
      <c r="B174" s="373" t="s">
        <v>188</v>
      </c>
      <c r="C174" s="196"/>
      <c r="D174" s="196"/>
      <c r="E174" s="196"/>
      <c r="F174" s="196"/>
      <c r="G174" s="168"/>
      <c r="H174" s="196"/>
      <c r="I174" s="196"/>
      <c r="J174" s="196"/>
      <c r="K174" s="196"/>
      <c r="L174" s="168"/>
      <c r="M174" s="196"/>
      <c r="N174" s="196"/>
      <c r="O174" s="196"/>
      <c r="P174" s="196"/>
      <c r="Q174" s="168"/>
      <c r="R174" s="196"/>
      <c r="S174" s="196"/>
      <c r="T174" s="196"/>
      <c r="U174" s="196"/>
      <c r="V174" s="168"/>
      <c r="W174" s="196"/>
      <c r="X174" s="196"/>
      <c r="Y174" s="196"/>
      <c r="Z174" s="196"/>
      <c r="AA174" s="168"/>
      <c r="AB174" s="196"/>
      <c r="AC174" s="196"/>
      <c r="AD174" s="196"/>
      <c r="AE174" s="196"/>
      <c r="AF174" s="168"/>
      <c r="AG174" s="196"/>
      <c r="AH174" s="196"/>
      <c r="AI174" s="196"/>
      <c r="AJ174" s="196"/>
      <c r="AK174" s="169">
        <v>20</v>
      </c>
      <c r="AL174" s="116"/>
      <c r="AM174" s="116"/>
      <c r="AN174" s="116"/>
      <c r="AO174" s="116"/>
      <c r="AP174" s="169">
        <v>43</v>
      </c>
      <c r="AQ174" s="116"/>
      <c r="AR174" s="116">
        <v>-43</v>
      </c>
      <c r="AS174" s="116">
        <v>-73</v>
      </c>
      <c r="AT174" s="170"/>
      <c r="AU174" s="169">
        <v>-2</v>
      </c>
      <c r="AV174" s="167">
        <v>-113</v>
      </c>
      <c r="AW174" s="167">
        <f>-121-AV174</f>
        <v>-8</v>
      </c>
      <c r="AX174" s="167">
        <v>-96</v>
      </c>
      <c r="AY174" s="167">
        <v>0</v>
      </c>
      <c r="AZ174" s="144">
        <f>SUM(AV174:AY174)</f>
        <v>-217</v>
      </c>
      <c r="BA174" s="167">
        <v>0</v>
      </c>
      <c r="BB174" s="167">
        <v>0</v>
      </c>
      <c r="BC174" s="167">
        <v>0</v>
      </c>
      <c r="BD174" s="167">
        <v>0</v>
      </c>
      <c r="BE174" s="144">
        <f t="shared" si="109"/>
        <v>0</v>
      </c>
      <c r="BF174" s="167">
        <v>0</v>
      </c>
      <c r="BG174" s="167">
        <v>0</v>
      </c>
      <c r="BH174" s="167">
        <v>0</v>
      </c>
      <c r="BI174" s="167">
        <v>0</v>
      </c>
      <c r="BJ174" s="144">
        <f t="shared" si="110"/>
        <v>0</v>
      </c>
      <c r="BK174" s="167">
        <v>0</v>
      </c>
      <c r="BL174" s="170">
        <v>0</v>
      </c>
      <c r="BM174" s="170">
        <v>0</v>
      </c>
      <c r="BN174" s="170">
        <v>0</v>
      </c>
      <c r="BO174" s="144">
        <f t="shared" si="111"/>
        <v>0</v>
      </c>
      <c r="BP174" s="170">
        <v>0</v>
      </c>
      <c r="BQ174" s="170">
        <v>0</v>
      </c>
      <c r="BR174" s="170">
        <v>0</v>
      </c>
      <c r="BS174" s="170">
        <v>0</v>
      </c>
      <c r="BT174" s="144">
        <f t="shared" si="112"/>
        <v>0</v>
      </c>
      <c r="BU174" s="170">
        <v>0</v>
      </c>
      <c r="BV174" s="170">
        <v>0</v>
      </c>
      <c r="BW174" s="170">
        <v>0</v>
      </c>
      <c r="BX174" s="170">
        <v>0</v>
      </c>
      <c r="BY174" s="144">
        <f t="shared" si="113"/>
        <v>0</v>
      </c>
      <c r="BZ174" s="170">
        <v>0</v>
      </c>
      <c r="CA174" s="170">
        <v>0</v>
      </c>
      <c r="CB174" s="170">
        <v>0</v>
      </c>
      <c r="CC174" s="170">
        <v>0</v>
      </c>
      <c r="CD174" s="144">
        <f t="shared" si="114"/>
        <v>0</v>
      </c>
      <c r="CE174" s="371"/>
      <c r="CL174" s="436"/>
      <c r="CM174" s="160"/>
    </row>
    <row r="175" spans="1:91" ht="13.5" customHeight="1">
      <c r="A175" s="371"/>
      <c r="B175" s="373" t="s">
        <v>189</v>
      </c>
      <c r="C175" s="196"/>
      <c r="D175" s="196"/>
      <c r="E175" s="196"/>
      <c r="F175" s="196"/>
      <c r="G175" s="168"/>
      <c r="H175" s="196"/>
      <c r="I175" s="196"/>
      <c r="J175" s="196"/>
      <c r="K175" s="196"/>
      <c r="L175" s="168"/>
      <c r="M175" s="196"/>
      <c r="N175" s="196"/>
      <c r="O175" s="196"/>
      <c r="P175" s="196"/>
      <c r="Q175" s="168"/>
      <c r="R175" s="196"/>
      <c r="S175" s="196"/>
      <c r="T175" s="196"/>
      <c r="U175" s="196"/>
      <c r="V175" s="168"/>
      <c r="W175" s="196"/>
      <c r="X175" s="196"/>
      <c r="Y175" s="196"/>
      <c r="Z175" s="196"/>
      <c r="AA175" s="168"/>
      <c r="AB175" s="196"/>
      <c r="AC175" s="196"/>
      <c r="AD175" s="196"/>
      <c r="AE175" s="196"/>
      <c r="AF175" s="168"/>
      <c r="AG175" s="196"/>
      <c r="AH175" s="196"/>
      <c r="AI175" s="196"/>
      <c r="AJ175" s="196"/>
      <c r="AK175" s="169">
        <v>-15</v>
      </c>
      <c r="AL175" s="116"/>
      <c r="AM175" s="116"/>
      <c r="AN175" s="116"/>
      <c r="AO175" s="116"/>
      <c r="AP175" s="169">
        <v>-233</v>
      </c>
      <c r="AQ175" s="116"/>
      <c r="AR175" s="116"/>
      <c r="AS175" s="116"/>
      <c r="AT175" s="170"/>
      <c r="AU175" s="169">
        <v>-300</v>
      </c>
      <c r="AV175" s="167">
        <v>59</v>
      </c>
      <c r="AW175" s="167">
        <f>0-AV175</f>
        <v>-59</v>
      </c>
      <c r="AX175" s="167">
        <v>0</v>
      </c>
      <c r="AY175" s="167">
        <v>0</v>
      </c>
      <c r="AZ175" s="144">
        <f>SUM(AV175:AY175)</f>
        <v>0</v>
      </c>
      <c r="BA175" s="167">
        <v>0</v>
      </c>
      <c r="BB175" s="167">
        <v>0</v>
      </c>
      <c r="BC175" s="167">
        <v>0</v>
      </c>
      <c r="BD175" s="167">
        <v>0</v>
      </c>
      <c r="BE175" s="144">
        <f t="shared" si="109"/>
        <v>0</v>
      </c>
      <c r="BF175" s="167">
        <v>0</v>
      </c>
      <c r="BG175" s="167">
        <v>0</v>
      </c>
      <c r="BH175" s="167">
        <v>0</v>
      </c>
      <c r="BI175" s="167">
        <v>0</v>
      </c>
      <c r="BJ175" s="144">
        <f t="shared" si="110"/>
        <v>0</v>
      </c>
      <c r="BK175" s="167">
        <v>0</v>
      </c>
      <c r="BL175" s="145">
        <f>BL241-BK241</f>
        <v>65.137058436017014</v>
      </c>
      <c r="BM175" s="145">
        <f t="shared" ref="BL175:BN176" si="117">BM241-BL241</f>
        <v>-76.27568932145914</v>
      </c>
      <c r="BN175" s="145">
        <f t="shared" si="117"/>
        <v>278.03277708612973</v>
      </c>
      <c r="BO175" s="144">
        <f t="shared" si="111"/>
        <v>266.8941462006876</v>
      </c>
      <c r="BP175" s="145">
        <f t="shared" ref="BP175:BS176" si="118">BP241-BO241</f>
        <v>-400.87699262939873</v>
      </c>
      <c r="BQ175" s="145">
        <f t="shared" si="118"/>
        <v>64.706918861261329</v>
      </c>
      <c r="BR175" s="145">
        <f t="shared" si="118"/>
        <v>48.977123379944715</v>
      </c>
      <c r="BS175" s="145">
        <f t="shared" si="118"/>
        <v>277.76070420230508</v>
      </c>
      <c r="BT175" s="144">
        <f t="shared" si="112"/>
        <v>-9.4322461858876068</v>
      </c>
      <c r="BU175" s="145">
        <f t="shared" ref="BU175:BX176" si="119">BU241-BT241</f>
        <v>-115.33627515928265</v>
      </c>
      <c r="BV175" s="145">
        <f t="shared" si="119"/>
        <v>82.744401186951563</v>
      </c>
      <c r="BW175" s="145">
        <f t="shared" si="119"/>
        <v>22.13749866252374</v>
      </c>
      <c r="BX175" s="145">
        <f t="shared" si="119"/>
        <v>328.59732046805175</v>
      </c>
      <c r="BY175" s="144">
        <f t="shared" si="113"/>
        <v>318.1429451582444</v>
      </c>
      <c r="BZ175" s="145">
        <f t="shared" ref="BZ175:CC176" si="120">BZ241-BY241</f>
        <v>-148.55001848152915</v>
      </c>
      <c r="CA175" s="145">
        <f t="shared" si="120"/>
        <v>98.965012607122389</v>
      </c>
      <c r="CB175" s="145">
        <f t="shared" si="120"/>
        <v>41.106727077462438</v>
      </c>
      <c r="CC175" s="145">
        <f t="shared" si="120"/>
        <v>385.00099132114519</v>
      </c>
      <c r="CD175" s="144">
        <f t="shared" si="114"/>
        <v>376.52271252420087</v>
      </c>
      <c r="CE175" s="371"/>
      <c r="CL175" s="436"/>
      <c r="CM175" s="160"/>
    </row>
    <row r="176" spans="1:91" ht="13.5" customHeight="1">
      <c r="A176" s="371"/>
      <c r="B176" s="373" t="s">
        <v>190</v>
      </c>
      <c r="C176" s="196"/>
      <c r="D176" s="196"/>
      <c r="E176" s="196"/>
      <c r="F176" s="196"/>
      <c r="G176" s="168"/>
      <c r="H176" s="196"/>
      <c r="I176" s="196"/>
      <c r="J176" s="196"/>
      <c r="K176" s="196"/>
      <c r="L176" s="168"/>
      <c r="M176" s="196"/>
      <c r="N176" s="196"/>
      <c r="O176" s="196"/>
      <c r="P176" s="196"/>
      <c r="Q176" s="168"/>
      <c r="R176" s="196"/>
      <c r="S176" s="196"/>
      <c r="T176" s="196"/>
      <c r="U176" s="196"/>
      <c r="V176" s="168"/>
      <c r="W176" s="196"/>
      <c r="X176" s="196"/>
      <c r="Y176" s="196"/>
      <c r="Z176" s="196"/>
      <c r="AA176" s="168"/>
      <c r="AB176" s="196"/>
      <c r="AC176" s="196"/>
      <c r="AD176" s="196"/>
      <c r="AE176" s="196"/>
      <c r="AF176" s="168"/>
      <c r="AG176" s="196"/>
      <c r="AH176" s="196"/>
      <c r="AI176" s="196"/>
      <c r="AJ176" s="196"/>
      <c r="AK176" s="169">
        <v>100</v>
      </c>
      <c r="AL176" s="116"/>
      <c r="AM176" s="116"/>
      <c r="AN176" s="116"/>
      <c r="AO176" s="116"/>
      <c r="AP176" s="169">
        <v>41</v>
      </c>
      <c r="AQ176" s="116"/>
      <c r="AR176" s="116">
        <v>9</v>
      </c>
      <c r="AS176" s="116">
        <v>17</v>
      </c>
      <c r="AT176" s="170"/>
      <c r="AU176" s="169">
        <v>37</v>
      </c>
      <c r="AV176" s="167">
        <v>42</v>
      </c>
      <c r="AW176" s="167">
        <f>35-AV176</f>
        <v>-7</v>
      </c>
      <c r="AX176" s="167">
        <v>54</v>
      </c>
      <c r="AY176" s="167">
        <v>-35</v>
      </c>
      <c r="AZ176" s="144">
        <f>SUM(AV176:AY176)</f>
        <v>54</v>
      </c>
      <c r="BA176" s="167">
        <v>-5</v>
      </c>
      <c r="BB176" s="167">
        <v>42</v>
      </c>
      <c r="BC176" s="167">
        <v>14</v>
      </c>
      <c r="BD176" s="167">
        <v>18</v>
      </c>
      <c r="BE176" s="144">
        <f t="shared" si="109"/>
        <v>69</v>
      </c>
      <c r="BF176" s="167">
        <v>17</v>
      </c>
      <c r="BG176" s="167">
        <v>4</v>
      </c>
      <c r="BH176" s="167">
        <v>3</v>
      </c>
      <c r="BI176" s="167">
        <v>-5</v>
      </c>
      <c r="BJ176" s="144">
        <f t="shared" si="110"/>
        <v>19</v>
      </c>
      <c r="BK176" s="167">
        <v>0</v>
      </c>
      <c r="BL176" s="145">
        <f t="shared" si="117"/>
        <v>0</v>
      </c>
      <c r="BM176" s="145">
        <f t="shared" si="117"/>
        <v>0</v>
      </c>
      <c r="BN176" s="145">
        <f t="shared" si="117"/>
        <v>0</v>
      </c>
      <c r="BO176" s="144">
        <f t="shared" si="111"/>
        <v>0</v>
      </c>
      <c r="BP176" s="145">
        <f t="shared" si="118"/>
        <v>0</v>
      </c>
      <c r="BQ176" s="145">
        <f t="shared" si="118"/>
        <v>0</v>
      </c>
      <c r="BR176" s="145">
        <f t="shared" si="118"/>
        <v>0</v>
      </c>
      <c r="BS176" s="145">
        <f t="shared" si="118"/>
        <v>0</v>
      </c>
      <c r="BT176" s="144">
        <f t="shared" si="112"/>
        <v>0</v>
      </c>
      <c r="BU176" s="145">
        <f t="shared" si="119"/>
        <v>0</v>
      </c>
      <c r="BV176" s="145">
        <f t="shared" si="119"/>
        <v>0</v>
      </c>
      <c r="BW176" s="145">
        <f t="shared" si="119"/>
        <v>0</v>
      </c>
      <c r="BX176" s="145">
        <f t="shared" si="119"/>
        <v>0</v>
      </c>
      <c r="BY176" s="144">
        <f t="shared" si="113"/>
        <v>0</v>
      </c>
      <c r="BZ176" s="145">
        <f t="shared" si="120"/>
        <v>0</v>
      </c>
      <c r="CA176" s="145">
        <f t="shared" si="120"/>
        <v>0</v>
      </c>
      <c r="CB176" s="145">
        <f t="shared" si="120"/>
        <v>0</v>
      </c>
      <c r="CC176" s="145">
        <f t="shared" si="120"/>
        <v>0</v>
      </c>
      <c r="CD176" s="144">
        <f t="shared" si="114"/>
        <v>0</v>
      </c>
      <c r="CE176" s="371"/>
      <c r="CL176" s="436"/>
      <c r="CM176" s="160"/>
    </row>
    <row r="177" spans="1:91" ht="13.5" customHeight="1">
      <c r="A177" s="362"/>
      <c r="B177" s="374" t="s">
        <v>191</v>
      </c>
      <c r="C177" s="152"/>
      <c r="D177" s="152"/>
      <c r="E177" s="152"/>
      <c r="F177" s="152"/>
      <c r="G177" s="153"/>
      <c r="H177" s="152"/>
      <c r="I177" s="152"/>
      <c r="J177" s="152"/>
      <c r="K177" s="152"/>
      <c r="L177" s="153"/>
      <c r="M177" s="152"/>
      <c r="N177" s="152"/>
      <c r="O177" s="152"/>
      <c r="P177" s="152"/>
      <c r="Q177" s="153"/>
      <c r="R177" s="152"/>
      <c r="S177" s="152"/>
      <c r="T177" s="152"/>
      <c r="U177" s="152"/>
      <c r="V177" s="153"/>
      <c r="W177" s="152"/>
      <c r="X177" s="152"/>
      <c r="Y177" s="152"/>
      <c r="Z177" s="152"/>
      <c r="AA177" s="153"/>
      <c r="AB177" s="152"/>
      <c r="AC177" s="152"/>
      <c r="AD177" s="152"/>
      <c r="AE177" s="152"/>
      <c r="AF177" s="153"/>
      <c r="AG177" s="152"/>
      <c r="AH177" s="152"/>
      <c r="AI177" s="152"/>
      <c r="AJ177" s="152"/>
      <c r="AK177" s="154">
        <f>SUM(AK160:AK176)</f>
        <v>1565</v>
      </c>
      <c r="AL177" s="155"/>
      <c r="AM177" s="155"/>
      <c r="AN177" s="155"/>
      <c r="AO177" s="155"/>
      <c r="AP177" s="154">
        <f>SUM(AP160:AP176)</f>
        <v>1993</v>
      </c>
      <c r="AQ177" s="155"/>
      <c r="AR177" s="155">
        <f>SUM(AR160:AR176)</f>
        <v>985</v>
      </c>
      <c r="AS177" s="155">
        <f>SUM(AS160:AS176)</f>
        <v>604</v>
      </c>
      <c r="AT177" s="155"/>
      <c r="AU177" s="154">
        <f t="shared" ref="AU177:CD177" si="121">SUM(AU160:AU176)</f>
        <v>2220</v>
      </c>
      <c r="AV177" s="152">
        <f t="shared" si="121"/>
        <v>544</v>
      </c>
      <c r="AW177" s="152">
        <f>SUM(AW160:AW176)</f>
        <v>622</v>
      </c>
      <c r="AX177" s="152">
        <f t="shared" si="121"/>
        <v>652</v>
      </c>
      <c r="AY177" s="152">
        <f t="shared" si="121"/>
        <v>728</v>
      </c>
      <c r="AZ177" s="154">
        <f t="shared" si="121"/>
        <v>2546</v>
      </c>
      <c r="BA177" s="152">
        <f t="shared" si="121"/>
        <v>738</v>
      </c>
      <c r="BB177" s="152">
        <f t="shared" si="121"/>
        <v>696</v>
      </c>
      <c r="BC177" s="152">
        <f t="shared" si="121"/>
        <v>801</v>
      </c>
      <c r="BD177" s="152">
        <f t="shared" si="121"/>
        <v>923</v>
      </c>
      <c r="BE177" s="154">
        <f t="shared" si="121"/>
        <v>3158</v>
      </c>
      <c r="BF177" s="152">
        <f t="shared" si="121"/>
        <v>751</v>
      </c>
      <c r="BG177" s="152">
        <f t="shared" si="121"/>
        <v>921</v>
      </c>
      <c r="BH177" s="152">
        <f t="shared" si="121"/>
        <v>1006</v>
      </c>
      <c r="BI177" s="152">
        <f t="shared" si="121"/>
        <v>-147</v>
      </c>
      <c r="BJ177" s="154">
        <f t="shared" si="121"/>
        <v>2531</v>
      </c>
      <c r="BK177" s="152">
        <f t="shared" si="121"/>
        <v>-349</v>
      </c>
      <c r="BL177" s="155">
        <f t="shared" si="121"/>
        <v>1233.0338264128102</v>
      </c>
      <c r="BM177" s="155">
        <f t="shared" si="121"/>
        <v>844.5874863627871</v>
      </c>
      <c r="BN177" s="155">
        <f t="shared" si="121"/>
        <v>1348.5830271493026</v>
      </c>
      <c r="BO177" s="154">
        <f>SUM(BO160:BO176)</f>
        <v>3077.2043399248996</v>
      </c>
      <c r="BP177" s="155">
        <f t="shared" si="121"/>
        <v>522.62207973404281</v>
      </c>
      <c r="BQ177" s="155">
        <f t="shared" si="121"/>
        <v>1203.5727396010939</v>
      </c>
      <c r="BR177" s="155">
        <f t="shared" si="121"/>
        <v>1206.8125267750927</v>
      </c>
      <c r="BS177" s="155">
        <f t="shared" si="121"/>
        <v>1639.1162656755953</v>
      </c>
      <c r="BT177" s="154">
        <f t="shared" si="121"/>
        <v>4572.1236117858252</v>
      </c>
      <c r="BU177" s="155">
        <f t="shared" si="121"/>
        <v>1250.7309167023268</v>
      </c>
      <c r="BV177" s="155">
        <f t="shared" si="121"/>
        <v>1449.8722777389937</v>
      </c>
      <c r="BW177" s="155">
        <f t="shared" si="121"/>
        <v>1389.193853206704</v>
      </c>
      <c r="BX177" s="155">
        <f t="shared" si="121"/>
        <v>1950.9940782807785</v>
      </c>
      <c r="BY177" s="154">
        <f t="shared" si="121"/>
        <v>6040.791125928803</v>
      </c>
      <c r="BZ177" s="155">
        <f t="shared" si="121"/>
        <v>1401.8571488169371</v>
      </c>
      <c r="CA177" s="155">
        <f t="shared" si="121"/>
        <v>1720.1923575526778</v>
      </c>
      <c r="CB177" s="155">
        <f t="shared" si="121"/>
        <v>1684.0198393344092</v>
      </c>
      <c r="CC177" s="155">
        <f t="shared" si="121"/>
        <v>2342.1859472859692</v>
      </c>
      <c r="CD177" s="154">
        <f t="shared" si="121"/>
        <v>7148.255292989993</v>
      </c>
      <c r="CE177" s="371"/>
      <c r="CL177" s="436"/>
    </row>
    <row r="178" spans="1:91" ht="13.5" customHeight="1">
      <c r="A178" s="375"/>
      <c r="B178" s="376"/>
      <c r="C178" s="229"/>
      <c r="D178" s="229"/>
      <c r="E178" s="377"/>
      <c r="F178" s="229"/>
      <c r="G178" s="378"/>
      <c r="H178" s="229"/>
      <c r="I178" s="229"/>
      <c r="J178" s="377"/>
      <c r="K178" s="229"/>
      <c r="L178" s="378"/>
      <c r="M178" s="229"/>
      <c r="N178" s="229"/>
      <c r="O178" s="377"/>
      <c r="P178" s="229"/>
      <c r="Q178" s="378"/>
      <c r="R178" s="229"/>
      <c r="S178" s="229"/>
      <c r="T178" s="377"/>
      <c r="U178" s="229"/>
      <c r="V178" s="378"/>
      <c r="W178" s="229"/>
      <c r="X178" s="229"/>
      <c r="Y178" s="377"/>
      <c r="Z178" s="229"/>
      <c r="AA178" s="378"/>
      <c r="AB178" s="229"/>
      <c r="AC178" s="229"/>
      <c r="AD178" s="377"/>
      <c r="AE178" s="229"/>
      <c r="AF178" s="378"/>
      <c r="AG178" s="229"/>
      <c r="AH178" s="229"/>
      <c r="AI178" s="377"/>
      <c r="AJ178" s="229"/>
      <c r="AK178" s="379"/>
      <c r="AL178" s="232"/>
      <c r="AM178" s="232"/>
      <c r="AN178" s="380"/>
      <c r="AO178" s="232"/>
      <c r="AP178" s="379"/>
      <c r="AQ178" s="232"/>
      <c r="AR178" s="232"/>
      <c r="AS178" s="232"/>
      <c r="AT178" s="232"/>
      <c r="AU178" s="379"/>
      <c r="AV178" s="229"/>
      <c r="AW178" s="229"/>
      <c r="AX178" s="229"/>
      <c r="AY178" s="229"/>
      <c r="AZ178" s="379"/>
      <c r="BA178" s="229"/>
      <c r="BB178" s="229"/>
      <c r="BC178" s="229"/>
      <c r="BD178" s="229"/>
      <c r="BE178" s="379"/>
      <c r="BF178" s="229"/>
      <c r="BG178" s="229"/>
      <c r="BH178" s="229"/>
      <c r="BI178" s="229"/>
      <c r="BJ178" s="379"/>
      <c r="BK178" s="229"/>
      <c r="BL178" s="232"/>
      <c r="BM178" s="232"/>
      <c r="BN178" s="232"/>
      <c r="BO178" s="379"/>
      <c r="BP178" s="232"/>
      <c r="BQ178" s="232"/>
      <c r="BR178" s="232"/>
      <c r="BS178" s="232"/>
      <c r="BT178" s="379"/>
      <c r="BU178" s="232"/>
      <c r="BV178" s="232"/>
      <c r="BW178" s="232"/>
      <c r="BX178" s="232"/>
      <c r="BY178" s="379"/>
      <c r="BZ178" s="232"/>
      <c r="CA178" s="232"/>
      <c r="CB178" s="232"/>
      <c r="CC178" s="232"/>
      <c r="CD178" s="379"/>
      <c r="CE178" s="371"/>
      <c r="CL178" s="436"/>
    </row>
    <row r="179" spans="1:91" ht="15">
      <c r="A179" s="375"/>
      <c r="B179" s="381" t="s">
        <v>192</v>
      </c>
      <c r="C179" s="229"/>
      <c r="D179" s="196"/>
      <c r="E179" s="229"/>
      <c r="F179" s="229"/>
      <c r="G179" s="365"/>
      <c r="H179" s="229"/>
      <c r="I179" s="196"/>
      <c r="J179" s="229"/>
      <c r="K179" s="229"/>
      <c r="L179" s="365"/>
      <c r="M179" s="229"/>
      <c r="N179" s="196"/>
      <c r="O179" s="229"/>
      <c r="P179" s="229"/>
      <c r="Q179" s="365"/>
      <c r="R179" s="229"/>
      <c r="S179" s="196"/>
      <c r="T179" s="229"/>
      <c r="U179" s="229"/>
      <c r="V179" s="365"/>
      <c r="W179" s="229"/>
      <c r="X179" s="196"/>
      <c r="Y179" s="229"/>
      <c r="Z179" s="229"/>
      <c r="AA179" s="365"/>
      <c r="AB179" s="229"/>
      <c r="AC179" s="196"/>
      <c r="AD179" s="229"/>
      <c r="AE179" s="229"/>
      <c r="AF179" s="365"/>
      <c r="AG179" s="229"/>
      <c r="AH179" s="196"/>
      <c r="AI179" s="229"/>
      <c r="AJ179" s="229"/>
      <c r="AK179" s="368"/>
      <c r="AL179" s="232"/>
      <c r="AM179" s="116"/>
      <c r="AN179" s="232"/>
      <c r="AO179" s="232"/>
      <c r="AP179" s="1258">
        <f>218/'Segment Detail'!AP6</f>
        <v>1.1745309957652231E-3</v>
      </c>
      <c r="AQ179" s="232"/>
      <c r="AR179" s="232"/>
      <c r="AS179" s="232"/>
      <c r="AT179" s="232"/>
      <c r="AU179" s="1258">
        <f>269/'Segment Detail'!AU6</f>
        <v>1.1464615253478807E-3</v>
      </c>
      <c r="AV179" s="229"/>
      <c r="AW179" s="229"/>
      <c r="AX179" s="229"/>
      <c r="AY179" s="229"/>
      <c r="AZ179" s="1258">
        <f>311/'Segment Detail'!AZ6</f>
        <v>1.0797186482339135E-3</v>
      </c>
      <c r="BA179" s="229"/>
      <c r="BB179" s="229"/>
      <c r="BC179" s="229"/>
      <c r="BD179" s="229"/>
      <c r="BE179" s="1258">
        <f>410/'Segment Detail'!BE6</f>
        <v>1.1391167122313352E-3</v>
      </c>
      <c r="BF179" s="229"/>
      <c r="BG179" s="229"/>
      <c r="BH179" s="229"/>
      <c r="BI179" s="229"/>
      <c r="BJ179" s="368"/>
      <c r="BK179" s="229"/>
      <c r="BL179" s="232"/>
      <c r="BM179" s="232"/>
      <c r="BN179" s="232"/>
      <c r="BO179" s="368"/>
      <c r="BP179" s="232"/>
      <c r="BQ179" s="232"/>
      <c r="BR179" s="232"/>
      <c r="BS179" s="232"/>
      <c r="BT179" s="368"/>
      <c r="BU179" s="232"/>
      <c r="BV179" s="232"/>
      <c r="BW179" s="232"/>
      <c r="BX179" s="232"/>
      <c r="BY179" s="368"/>
      <c r="BZ179" s="232"/>
      <c r="CA179" s="232"/>
      <c r="CB179" s="232"/>
      <c r="CC179" s="232"/>
      <c r="CD179" s="368"/>
      <c r="CE179" s="371"/>
      <c r="CL179" s="436"/>
    </row>
    <row r="180" spans="1:91" ht="14.25" customHeight="1">
      <c r="A180" s="371"/>
      <c r="B180" s="373" t="s">
        <v>193</v>
      </c>
      <c r="C180" s="196"/>
      <c r="D180" s="196"/>
      <c r="E180" s="196"/>
      <c r="F180" s="196"/>
      <c r="G180" s="168"/>
      <c r="H180" s="196"/>
      <c r="I180" s="196"/>
      <c r="J180" s="196"/>
      <c r="K180" s="196"/>
      <c r="L180" s="168"/>
      <c r="M180" s="196"/>
      <c r="N180" s="196"/>
      <c r="O180" s="196"/>
      <c r="P180" s="196"/>
      <c r="Q180" s="168"/>
      <c r="R180" s="196"/>
      <c r="S180" s="196"/>
      <c r="T180" s="196"/>
      <c r="U180" s="196"/>
      <c r="V180" s="168"/>
      <c r="W180" s="196"/>
      <c r="X180" s="196"/>
      <c r="Y180" s="196"/>
      <c r="Z180" s="196"/>
      <c r="AA180" s="168"/>
      <c r="AB180" s="196"/>
      <c r="AC180" s="196"/>
      <c r="AD180" s="196"/>
      <c r="AE180" s="196"/>
      <c r="AF180" s="168"/>
      <c r="AG180" s="196"/>
      <c r="AH180" s="196"/>
      <c r="AI180" s="196"/>
      <c r="AJ180" s="196"/>
      <c r="AK180" s="169">
        <v>-511</v>
      </c>
      <c r="AL180" s="116"/>
      <c r="AM180" s="116"/>
      <c r="AN180" s="116"/>
      <c r="AO180" s="116"/>
      <c r="AP180" s="169">
        <v>-391</v>
      </c>
      <c r="AQ180" s="116"/>
      <c r="AR180" s="116">
        <v>-196</v>
      </c>
      <c r="AS180" s="116">
        <v>-173</v>
      </c>
      <c r="AT180" s="170"/>
      <c r="AU180" s="169">
        <v>-492</v>
      </c>
      <c r="AV180" s="167">
        <v>-194</v>
      </c>
      <c r="AW180" s="167">
        <f>-425+11-AV180</f>
        <v>-220</v>
      </c>
      <c r="AX180" s="167">
        <f>-133+15</f>
        <v>-118</v>
      </c>
      <c r="AY180" s="167">
        <v>-164</v>
      </c>
      <c r="AZ180" s="144">
        <f t="shared" ref="AZ180:AZ185" si="122">SUM(AV180:AY180)</f>
        <v>-696</v>
      </c>
      <c r="BA180" s="167">
        <v>-133</v>
      </c>
      <c r="BB180" s="167">
        <v>-201</v>
      </c>
      <c r="BC180" s="167">
        <v>-183</v>
      </c>
      <c r="BD180" s="167">
        <v>-152</v>
      </c>
      <c r="BE180" s="144">
        <f t="shared" ref="BE180:BE185" si="123">SUM(BA180:BD180)</f>
        <v>-669</v>
      </c>
      <c r="BF180" s="167">
        <v>-148</v>
      </c>
      <c r="BG180" s="167">
        <v>-174</v>
      </c>
      <c r="BH180" s="167">
        <v>-165</v>
      </c>
      <c r="BI180" s="167">
        <v>-180</v>
      </c>
      <c r="BJ180" s="144">
        <f t="shared" ref="BJ180:BJ185" si="124">SUM(BF180:BI180)</f>
        <v>-667</v>
      </c>
      <c r="BK180" s="167">
        <v>-178</v>
      </c>
      <c r="BL180" s="145">
        <f>-BL14*BL269</f>
        <v>-219.6983253929607</v>
      </c>
      <c r="BM180" s="145">
        <f>-BM14*BM269</f>
        <v>-210.55182560739155</v>
      </c>
      <c r="BN180" s="145">
        <f>-BN14*BN269</f>
        <v>-243.8917633860205</v>
      </c>
      <c r="BO180" s="144">
        <f t="shared" ref="BO180:BO185" si="125">SUM(BK180:BN180)</f>
        <v>-852.14191438637272</v>
      </c>
      <c r="BP180" s="145">
        <f>-BP14*BP269</f>
        <v>-224.53985861605221</v>
      </c>
      <c r="BQ180" s="145">
        <f>-BQ14*BQ269</f>
        <v>-233.43705995947562</v>
      </c>
      <c r="BR180" s="145">
        <f>-BR14*BR269</f>
        <v>-240.17141442421806</v>
      </c>
      <c r="BS180" s="145">
        <f>-BS14*BS269</f>
        <v>-278.36351125203498</v>
      </c>
      <c r="BT180" s="144">
        <f t="shared" ref="BT180:BT185" si="126">SUM(BP180:BS180)</f>
        <v>-976.51184425178087</v>
      </c>
      <c r="BU180" s="145">
        <f>-BU14*BU269</f>
        <v>-250.57273826228661</v>
      </c>
      <c r="BV180" s="145">
        <f>-BV14*BV269</f>
        <v>-261.432940918074</v>
      </c>
      <c r="BW180" s="145">
        <f>-BW14*BW269</f>
        <v>-264.33848761753023</v>
      </c>
      <c r="BX180" s="145">
        <f>-BX14*BX269</f>
        <v>-307.46688592896203</v>
      </c>
      <c r="BY180" s="144">
        <f t="shared" ref="BY180:BY185" si="127">SUM(BU180:BX180)</f>
        <v>-1083.8110527268529</v>
      </c>
      <c r="BZ180" s="145">
        <f>-BZ14*BZ269</f>
        <v>-287.96969600326139</v>
      </c>
      <c r="CA180" s="145">
        <f>-CA14*CA269</f>
        <v>-300.95885390794615</v>
      </c>
      <c r="CB180" s="145">
        <f>-CB14*CB269</f>
        <v>-306.35411183686307</v>
      </c>
      <c r="CC180" s="145">
        <f>-CC14*CC269</f>
        <v>-356.8854919477634</v>
      </c>
      <c r="CD180" s="144">
        <f t="shared" ref="CD180:CD185" si="128">SUM(BZ180:CC180)</f>
        <v>-1252.168153695834</v>
      </c>
      <c r="CE180" s="371"/>
      <c r="CL180" s="436"/>
      <c r="CM180" s="160"/>
    </row>
    <row r="181" spans="1:91" ht="14.25" customHeight="1">
      <c r="A181" s="371"/>
      <c r="B181" s="373" t="s">
        <v>194</v>
      </c>
      <c r="C181" s="196"/>
      <c r="D181" s="196"/>
      <c r="E181" s="196"/>
      <c r="F181" s="196"/>
      <c r="G181" s="168"/>
      <c r="H181" s="196"/>
      <c r="I181" s="196"/>
      <c r="J181" s="196"/>
      <c r="K181" s="196"/>
      <c r="L181" s="168"/>
      <c r="M181" s="196"/>
      <c r="N181" s="196"/>
      <c r="O181" s="196"/>
      <c r="P181" s="196"/>
      <c r="Q181" s="168"/>
      <c r="R181" s="196"/>
      <c r="S181" s="196"/>
      <c r="T181" s="196"/>
      <c r="U181" s="196"/>
      <c r="V181" s="168"/>
      <c r="W181" s="196"/>
      <c r="X181" s="196"/>
      <c r="Y181" s="196"/>
      <c r="Z181" s="196"/>
      <c r="AA181" s="168"/>
      <c r="AB181" s="196"/>
      <c r="AC181" s="196"/>
      <c r="AD181" s="196"/>
      <c r="AE181" s="196"/>
      <c r="AF181" s="168"/>
      <c r="AG181" s="196"/>
      <c r="AH181" s="196"/>
      <c r="AI181" s="196"/>
      <c r="AJ181" s="196"/>
      <c r="AK181" s="169">
        <v>-740</v>
      </c>
      <c r="AL181" s="116"/>
      <c r="AM181" s="116"/>
      <c r="AN181" s="116"/>
      <c r="AO181" s="116"/>
      <c r="AP181" s="169">
        <v>-793</v>
      </c>
      <c r="AQ181" s="116"/>
      <c r="AR181" s="116">
        <v>-233</v>
      </c>
      <c r="AS181" s="116">
        <v>-262</v>
      </c>
      <c r="AT181" s="170"/>
      <c r="AU181" s="169">
        <v>-1023</v>
      </c>
      <c r="AV181" s="167">
        <v>-19</v>
      </c>
      <c r="AW181" s="167">
        <f>408-AV181</f>
        <v>427</v>
      </c>
      <c r="AX181" s="167">
        <v>-554</v>
      </c>
      <c r="AY181" s="167">
        <v>-673</v>
      </c>
      <c r="AZ181" s="144">
        <f t="shared" si="122"/>
        <v>-819</v>
      </c>
      <c r="BA181" s="167">
        <v>-120</v>
      </c>
      <c r="BB181" s="167">
        <v>-356</v>
      </c>
      <c r="BC181" s="167">
        <v>-408</v>
      </c>
      <c r="BD181" s="167">
        <v>-639</v>
      </c>
      <c r="BE181" s="144">
        <f t="shared" si="123"/>
        <v>-1523</v>
      </c>
      <c r="BF181" s="167">
        <v>-136</v>
      </c>
      <c r="BG181" s="167">
        <v>-491</v>
      </c>
      <c r="BH181" s="167">
        <v>-527</v>
      </c>
      <c r="BI181" s="167">
        <v>234</v>
      </c>
      <c r="BJ181" s="144">
        <f t="shared" si="124"/>
        <v>-920</v>
      </c>
      <c r="BK181" s="167">
        <v>738</v>
      </c>
      <c r="BL181" s="170">
        <f t="shared" ref="BL181:BN181" si="129">$BJ$181/$BJ$14*BL14</f>
        <v>-269.25876723763855</v>
      </c>
      <c r="BM181" s="170">
        <f t="shared" si="129"/>
        <v>-258.0489628279023</v>
      </c>
      <c r="BN181" s="170">
        <f t="shared" si="129"/>
        <v>-298.90985937773479</v>
      </c>
      <c r="BO181" s="144">
        <f t="shared" si="125"/>
        <v>-88.217589443275642</v>
      </c>
      <c r="BP181" s="170">
        <f>$BO$181/$BO$14*BP14</f>
        <v>-23.37252573655406</v>
      </c>
      <c r="BQ181" s="170">
        <f t="shared" ref="BQ181:BS181" si="130">$BO$181/$BO$14*BQ14</f>
        <v>-24.298642233928575</v>
      </c>
      <c r="BR181" s="170">
        <f t="shared" si="130"/>
        <v>-24.999626344350641</v>
      </c>
      <c r="BS181" s="170">
        <f t="shared" si="130"/>
        <v>-28.975070933756388</v>
      </c>
      <c r="BT181" s="144">
        <f t="shared" si="126"/>
        <v>-101.64586524858966</v>
      </c>
      <c r="BU181" s="170">
        <f>$BO$181/$BO$14*BU14</f>
        <v>-27.324322774973538</v>
      </c>
      <c r="BV181" s="170">
        <f t="shared" ref="BV181:BX181" si="131">$BO$181/$BO$14*BV14</f>
        <v>-28.508600381652922</v>
      </c>
      <c r="BW181" s="170">
        <f t="shared" si="131"/>
        <v>-28.825442893748541</v>
      </c>
      <c r="BX181" s="170">
        <f t="shared" si="131"/>
        <v>-33.528485548754531</v>
      </c>
      <c r="BY181" s="144">
        <f t="shared" si="127"/>
        <v>-118.18685159912954</v>
      </c>
      <c r="BZ181" s="170">
        <f>$BO$181/$BO$14*BZ14</f>
        <v>-31.402366345087792</v>
      </c>
      <c r="CA181" s="170">
        <f t="shared" ref="CA181:CC181" si="132">$BO$181/$BO$14*CA14</f>
        <v>-32.818801132144294</v>
      </c>
      <c r="CB181" s="170">
        <f t="shared" si="132"/>
        <v>-33.407140351032695</v>
      </c>
      <c r="CC181" s="170">
        <f t="shared" si="132"/>
        <v>-38.917459430396526</v>
      </c>
      <c r="CD181" s="144">
        <f t="shared" si="128"/>
        <v>-136.5457672586613</v>
      </c>
      <c r="CE181" s="371"/>
      <c r="CL181" s="436"/>
      <c r="CM181" s="160"/>
    </row>
    <row r="182" spans="1:91" ht="14.25" customHeight="1">
      <c r="A182" s="371"/>
      <c r="B182" s="382" t="s">
        <v>195</v>
      </c>
      <c r="C182" s="196"/>
      <c r="D182" s="196"/>
      <c r="E182" s="196"/>
      <c r="F182" s="196"/>
      <c r="G182" s="168"/>
      <c r="H182" s="196"/>
      <c r="I182" s="196"/>
      <c r="J182" s="196"/>
      <c r="K182" s="196"/>
      <c r="L182" s="168"/>
      <c r="M182" s="196"/>
      <c r="N182" s="196"/>
      <c r="O182" s="196"/>
      <c r="P182" s="196"/>
      <c r="Q182" s="168"/>
      <c r="R182" s="196"/>
      <c r="S182" s="196"/>
      <c r="T182" s="196"/>
      <c r="U182" s="196"/>
      <c r="V182" s="168"/>
      <c r="W182" s="196"/>
      <c r="X182" s="196"/>
      <c r="Y182" s="196"/>
      <c r="Z182" s="196"/>
      <c r="AA182" s="168"/>
      <c r="AB182" s="196"/>
      <c r="AC182" s="196"/>
      <c r="AD182" s="196"/>
      <c r="AE182" s="196"/>
      <c r="AF182" s="168"/>
      <c r="AG182" s="196"/>
      <c r="AH182" s="196"/>
      <c r="AI182" s="196"/>
      <c r="AJ182" s="196"/>
      <c r="AK182" s="169">
        <v>-265</v>
      </c>
      <c r="AL182" s="116"/>
      <c r="AM182" s="116"/>
      <c r="AN182" s="116"/>
      <c r="AO182" s="116"/>
      <c r="AP182" s="169">
        <v>-610</v>
      </c>
      <c r="AQ182" s="116"/>
      <c r="AR182" s="116">
        <v>-24</v>
      </c>
      <c r="AS182" s="116">
        <v>-41</v>
      </c>
      <c r="AT182" s="170"/>
      <c r="AU182" s="169">
        <v>-76</v>
      </c>
      <c r="AV182" s="167">
        <v>0</v>
      </c>
      <c r="AW182" s="167">
        <f>-4465-AV182</f>
        <v>-4465</v>
      </c>
      <c r="AX182" s="167">
        <v>-2257</v>
      </c>
      <c r="AY182" s="167">
        <v>-820</v>
      </c>
      <c r="AZ182" s="144">
        <f t="shared" si="122"/>
        <v>-7542</v>
      </c>
      <c r="BA182" s="167">
        <v>-4091</v>
      </c>
      <c r="BB182" s="167">
        <v>-6118</v>
      </c>
      <c r="BC182" s="167">
        <v>-6775</v>
      </c>
      <c r="BD182" s="167">
        <v>-4057</v>
      </c>
      <c r="BE182" s="144">
        <f t="shared" si="123"/>
        <v>-21041</v>
      </c>
      <c r="BF182" s="167">
        <v>-7109</v>
      </c>
      <c r="BG182" s="167">
        <v>-4847</v>
      </c>
      <c r="BH182" s="167">
        <v>-2271</v>
      </c>
      <c r="BI182" s="167">
        <v>-5191</v>
      </c>
      <c r="BJ182" s="144">
        <f t="shared" si="124"/>
        <v>-19418</v>
      </c>
      <c r="BK182" s="167">
        <v>-5275</v>
      </c>
      <c r="BL182" s="170">
        <v>0</v>
      </c>
      <c r="BM182" s="170">
        <v>0</v>
      </c>
      <c r="BN182" s="170">
        <v>0</v>
      </c>
      <c r="BO182" s="144">
        <f t="shared" si="125"/>
        <v>-5275</v>
      </c>
      <c r="BP182" s="170">
        <v>0</v>
      </c>
      <c r="BQ182" s="170">
        <v>0</v>
      </c>
      <c r="BR182" s="170">
        <v>0</v>
      </c>
      <c r="BS182" s="170">
        <v>0</v>
      </c>
      <c r="BT182" s="144">
        <f t="shared" si="126"/>
        <v>0</v>
      </c>
      <c r="BU182" s="170">
        <v>0</v>
      </c>
      <c r="BV182" s="170">
        <v>0</v>
      </c>
      <c r="BW182" s="170">
        <v>0</v>
      </c>
      <c r="BX182" s="170">
        <v>0</v>
      </c>
      <c r="BY182" s="144">
        <f t="shared" si="127"/>
        <v>0</v>
      </c>
      <c r="BZ182" s="170">
        <v>0</v>
      </c>
      <c r="CA182" s="170">
        <v>0</v>
      </c>
      <c r="CB182" s="170">
        <v>0</v>
      </c>
      <c r="CC182" s="170">
        <v>0</v>
      </c>
      <c r="CD182" s="144">
        <f t="shared" si="128"/>
        <v>0</v>
      </c>
      <c r="CE182" s="371"/>
      <c r="CL182" s="436"/>
      <c r="CM182" s="160"/>
    </row>
    <row r="183" spans="1:91" ht="14.25" customHeight="1">
      <c r="A183" s="371"/>
      <c r="B183" s="382" t="s">
        <v>196</v>
      </c>
      <c r="C183" s="196"/>
      <c r="D183" s="196"/>
      <c r="E183" s="196"/>
      <c r="F183" s="196"/>
      <c r="G183" s="168"/>
      <c r="H183" s="196"/>
      <c r="I183" s="196"/>
      <c r="J183" s="196"/>
      <c r="K183" s="196"/>
      <c r="L183" s="168"/>
      <c r="M183" s="196"/>
      <c r="N183" s="196"/>
      <c r="O183" s="196"/>
      <c r="P183" s="196"/>
      <c r="Q183" s="168"/>
      <c r="R183" s="196"/>
      <c r="S183" s="196"/>
      <c r="T183" s="196"/>
      <c r="U183" s="196"/>
      <c r="V183" s="168"/>
      <c r="W183" s="196"/>
      <c r="X183" s="196"/>
      <c r="Y183" s="196"/>
      <c r="Z183" s="196"/>
      <c r="AA183" s="168"/>
      <c r="AB183" s="196"/>
      <c r="AC183" s="196"/>
      <c r="AD183" s="196"/>
      <c r="AE183" s="196"/>
      <c r="AF183" s="168"/>
      <c r="AG183" s="196"/>
      <c r="AH183" s="196"/>
      <c r="AI183" s="196"/>
      <c r="AJ183" s="196"/>
      <c r="AK183" s="169">
        <v>180</v>
      </c>
      <c r="AL183" s="116"/>
      <c r="AM183" s="116"/>
      <c r="AN183" s="116"/>
      <c r="AO183" s="116"/>
      <c r="AP183" s="169">
        <v>320</v>
      </c>
      <c r="AQ183" s="116"/>
      <c r="AR183" s="116">
        <v>381</v>
      </c>
      <c r="AS183" s="116">
        <v>8</v>
      </c>
      <c r="AT183" s="170"/>
      <c r="AU183" s="169">
        <v>409</v>
      </c>
      <c r="AV183" s="167">
        <v>15</v>
      </c>
      <c r="AW183" s="167">
        <f>417-AV183</f>
        <v>402</v>
      </c>
      <c r="AX183" s="167">
        <v>1559</v>
      </c>
      <c r="AY183" s="167">
        <v>1342</v>
      </c>
      <c r="AZ183" s="144">
        <f t="shared" si="122"/>
        <v>3318</v>
      </c>
      <c r="BA183" s="167">
        <v>4196</v>
      </c>
      <c r="BB183" s="167">
        <v>5139</v>
      </c>
      <c r="BC183" s="167">
        <v>5279</v>
      </c>
      <c r="BD183" s="167">
        <v>3815</v>
      </c>
      <c r="BE183" s="144">
        <f t="shared" si="123"/>
        <v>18429</v>
      </c>
      <c r="BF183" s="167">
        <v>5581</v>
      </c>
      <c r="BG183" s="167">
        <v>3955</v>
      </c>
      <c r="BH183" s="167">
        <v>3491</v>
      </c>
      <c r="BI183" s="167">
        <v>5423</v>
      </c>
      <c r="BJ183" s="144">
        <f t="shared" si="124"/>
        <v>18450</v>
      </c>
      <c r="BK183" s="167">
        <v>4291</v>
      </c>
      <c r="BL183" s="170">
        <v>0</v>
      </c>
      <c r="BM183" s="170">
        <v>0</v>
      </c>
      <c r="BN183" s="170">
        <v>0</v>
      </c>
      <c r="BO183" s="144">
        <f t="shared" si="125"/>
        <v>4291</v>
      </c>
      <c r="BP183" s="170">
        <v>0</v>
      </c>
      <c r="BQ183" s="170">
        <v>0</v>
      </c>
      <c r="BR183" s="170">
        <v>0</v>
      </c>
      <c r="BS183" s="170">
        <v>0</v>
      </c>
      <c r="BT183" s="144">
        <f t="shared" si="126"/>
        <v>0</v>
      </c>
      <c r="BU183" s="170">
        <v>0</v>
      </c>
      <c r="BV183" s="170">
        <v>0</v>
      </c>
      <c r="BW183" s="170">
        <v>0</v>
      </c>
      <c r="BX183" s="170">
        <v>0</v>
      </c>
      <c r="BY183" s="144">
        <f t="shared" si="127"/>
        <v>0</v>
      </c>
      <c r="BZ183" s="170">
        <v>0</v>
      </c>
      <c r="CA183" s="170">
        <v>0</v>
      </c>
      <c r="CB183" s="170">
        <v>0</v>
      </c>
      <c r="CC183" s="170">
        <v>0</v>
      </c>
      <c r="CD183" s="144">
        <f t="shared" si="128"/>
        <v>0</v>
      </c>
      <c r="CE183" s="371"/>
      <c r="CL183" s="436"/>
      <c r="CM183" s="160"/>
    </row>
    <row r="184" spans="1:91" ht="14.25" customHeight="1">
      <c r="A184" s="371"/>
      <c r="B184" s="373" t="s">
        <v>197</v>
      </c>
      <c r="C184" s="196"/>
      <c r="D184" s="196"/>
      <c r="E184" s="196"/>
      <c r="F184" s="196"/>
      <c r="G184" s="168"/>
      <c r="H184" s="196"/>
      <c r="I184" s="196"/>
      <c r="J184" s="196"/>
      <c r="K184" s="196"/>
      <c r="L184" s="168"/>
      <c r="M184" s="196"/>
      <c r="N184" s="196"/>
      <c r="O184" s="196"/>
      <c r="P184" s="196"/>
      <c r="Q184" s="168"/>
      <c r="R184" s="196"/>
      <c r="S184" s="196"/>
      <c r="T184" s="196"/>
      <c r="U184" s="196"/>
      <c r="V184" s="168"/>
      <c r="W184" s="196"/>
      <c r="X184" s="196"/>
      <c r="Y184" s="196"/>
      <c r="Z184" s="196"/>
      <c r="AA184" s="168"/>
      <c r="AB184" s="196"/>
      <c r="AC184" s="196"/>
      <c r="AD184" s="196"/>
      <c r="AE184" s="196"/>
      <c r="AF184" s="168"/>
      <c r="AG184" s="196"/>
      <c r="AH184" s="196"/>
      <c r="AI184" s="196"/>
      <c r="AJ184" s="196"/>
      <c r="AK184" s="169">
        <v>-22</v>
      </c>
      <c r="AL184" s="116"/>
      <c r="AM184" s="116"/>
      <c r="AN184" s="116"/>
      <c r="AO184" s="116"/>
      <c r="AP184" s="169">
        <v>-731</v>
      </c>
      <c r="AQ184" s="116"/>
      <c r="AR184" s="116">
        <v>-1</v>
      </c>
      <c r="AS184" s="116">
        <v>0</v>
      </c>
      <c r="AT184" s="170"/>
      <c r="AU184" s="169">
        <v>-2</v>
      </c>
      <c r="AV184" s="167">
        <v>0</v>
      </c>
      <c r="AW184" s="167">
        <f>-273-AV184</f>
        <v>-273</v>
      </c>
      <c r="AX184" s="167">
        <v>-10</v>
      </c>
      <c r="AY184" s="167">
        <v>-942</v>
      </c>
      <c r="AZ184" s="144">
        <f t="shared" si="122"/>
        <v>-1225</v>
      </c>
      <c r="BA184" s="167">
        <v>-19</v>
      </c>
      <c r="BB184" s="167">
        <v>0</v>
      </c>
      <c r="BC184" s="167">
        <v>0</v>
      </c>
      <c r="BD184" s="167">
        <v>0</v>
      </c>
      <c r="BE184" s="144">
        <f t="shared" si="123"/>
        <v>-19</v>
      </c>
      <c r="BF184" s="167">
        <v>0</v>
      </c>
      <c r="BG184" s="167">
        <v>0</v>
      </c>
      <c r="BH184" s="167">
        <v>-323</v>
      </c>
      <c r="BI184" s="167">
        <v>0</v>
      </c>
      <c r="BJ184" s="144">
        <f t="shared" si="124"/>
        <v>-323</v>
      </c>
      <c r="BK184" s="167">
        <v>0</v>
      </c>
      <c r="BL184" s="170">
        <v>0</v>
      </c>
      <c r="BM184" s="170">
        <v>0</v>
      </c>
      <c r="BN184" s="170">
        <v>0</v>
      </c>
      <c r="BO184" s="144">
        <f t="shared" si="125"/>
        <v>0</v>
      </c>
      <c r="BP184" s="170">
        <v>0</v>
      </c>
      <c r="BQ184" s="170">
        <v>0</v>
      </c>
      <c r="BR184" s="170">
        <v>0</v>
      </c>
      <c r="BS184" s="170">
        <v>0</v>
      </c>
      <c r="BT184" s="144">
        <f t="shared" si="126"/>
        <v>0</v>
      </c>
      <c r="BU184" s="170">
        <v>0</v>
      </c>
      <c r="BV184" s="170">
        <v>0</v>
      </c>
      <c r="BW184" s="170">
        <v>0</v>
      </c>
      <c r="BX184" s="170">
        <v>0</v>
      </c>
      <c r="BY184" s="144">
        <f t="shared" si="127"/>
        <v>0</v>
      </c>
      <c r="BZ184" s="170">
        <v>0</v>
      </c>
      <c r="CA184" s="170">
        <v>0</v>
      </c>
      <c r="CB184" s="170">
        <v>0</v>
      </c>
      <c r="CC184" s="170">
        <v>0</v>
      </c>
      <c r="CD184" s="144">
        <f t="shared" si="128"/>
        <v>0</v>
      </c>
      <c r="CE184" s="371"/>
      <c r="CL184" s="436"/>
      <c r="CM184" s="160"/>
    </row>
    <row r="185" spans="1:91" ht="14.25" customHeight="1">
      <c r="A185" s="371"/>
      <c r="B185" s="373" t="s">
        <v>184</v>
      </c>
      <c r="C185" s="196"/>
      <c r="D185" s="196"/>
      <c r="E185" s="196"/>
      <c r="F185" s="196"/>
      <c r="G185" s="168"/>
      <c r="H185" s="196"/>
      <c r="I185" s="196"/>
      <c r="J185" s="196"/>
      <c r="K185" s="196"/>
      <c r="L185" s="168"/>
      <c r="M185" s="196"/>
      <c r="N185" s="196"/>
      <c r="O185" s="196"/>
      <c r="P185" s="196"/>
      <c r="Q185" s="168"/>
      <c r="R185" s="196"/>
      <c r="S185" s="196"/>
      <c r="T185" s="196"/>
      <c r="U185" s="196"/>
      <c r="V185" s="168"/>
      <c r="W185" s="196"/>
      <c r="X185" s="196"/>
      <c r="Y185" s="196"/>
      <c r="Z185" s="196"/>
      <c r="AA185" s="168"/>
      <c r="AB185" s="196"/>
      <c r="AC185" s="196"/>
      <c r="AD185" s="196"/>
      <c r="AE185" s="196"/>
      <c r="AF185" s="168"/>
      <c r="AG185" s="196"/>
      <c r="AH185" s="196"/>
      <c r="AI185" s="196"/>
      <c r="AJ185" s="196"/>
      <c r="AK185" s="169">
        <v>-168</v>
      </c>
      <c r="AL185" s="116"/>
      <c r="AM185" s="116"/>
      <c r="AN185" s="116"/>
      <c r="AO185" s="116"/>
      <c r="AP185" s="169">
        <v>484</v>
      </c>
      <c r="AQ185" s="116"/>
      <c r="AR185" s="116">
        <v>-377</v>
      </c>
      <c r="AS185" s="116">
        <v>29</v>
      </c>
      <c r="AT185" s="170"/>
      <c r="AU185" s="169">
        <v>-362</v>
      </c>
      <c r="AV185" s="167">
        <v>-56</v>
      </c>
      <c r="AW185" s="167">
        <f>575-AV185</f>
        <v>631</v>
      </c>
      <c r="AX185" s="167">
        <v>0</v>
      </c>
      <c r="AY185" s="167">
        <v>0</v>
      </c>
      <c r="AZ185" s="144">
        <f t="shared" si="122"/>
        <v>575</v>
      </c>
      <c r="BA185" s="167">
        <v>492</v>
      </c>
      <c r="BB185" s="167">
        <v>-270</v>
      </c>
      <c r="BC185" s="167">
        <v>398</v>
      </c>
      <c r="BD185" s="167">
        <v>-796</v>
      </c>
      <c r="BE185" s="144">
        <f t="shared" si="123"/>
        <v>-176</v>
      </c>
      <c r="BF185" s="167">
        <v>754</v>
      </c>
      <c r="BG185" s="167">
        <v>-387</v>
      </c>
      <c r="BH185" s="167">
        <v>-1603</v>
      </c>
      <c r="BI185" s="167">
        <v>-1244</v>
      </c>
      <c r="BJ185" s="144">
        <f t="shared" si="124"/>
        <v>-2480</v>
      </c>
      <c r="BK185" s="167">
        <v>429</v>
      </c>
      <c r="BL185" s="170">
        <v>0</v>
      </c>
      <c r="BM185" s="170">
        <f>+BL224</f>
        <v>6537</v>
      </c>
      <c r="BN185" s="170">
        <v>0</v>
      </c>
      <c r="BO185" s="144">
        <f t="shared" si="125"/>
        <v>6966</v>
      </c>
      <c r="BP185" s="170">
        <v>0</v>
      </c>
      <c r="BQ185" s="170">
        <v>0</v>
      </c>
      <c r="BR185" s="170">
        <v>0</v>
      </c>
      <c r="BS185" s="170">
        <v>0</v>
      </c>
      <c r="BT185" s="144">
        <f t="shared" si="126"/>
        <v>0</v>
      </c>
      <c r="BU185" s="170">
        <v>0</v>
      </c>
      <c r="BV185" s="170">
        <v>0</v>
      </c>
      <c r="BW185" s="170">
        <v>0</v>
      </c>
      <c r="BX185" s="170">
        <v>0</v>
      </c>
      <c r="BY185" s="144">
        <f t="shared" si="127"/>
        <v>0</v>
      </c>
      <c r="BZ185" s="170">
        <v>0</v>
      </c>
      <c r="CA185" s="170">
        <v>0</v>
      </c>
      <c r="CB185" s="170">
        <v>0</v>
      </c>
      <c r="CC185" s="170">
        <v>0</v>
      </c>
      <c r="CD185" s="144">
        <f t="shared" si="128"/>
        <v>0</v>
      </c>
      <c r="CE185" s="371"/>
      <c r="CL185" s="436"/>
      <c r="CM185" s="160"/>
    </row>
    <row r="186" spans="1:91" ht="13.5" customHeight="1">
      <c r="A186" s="362"/>
      <c r="B186" s="374" t="s">
        <v>198</v>
      </c>
      <c r="C186" s="152"/>
      <c r="D186" s="152"/>
      <c r="E186" s="152"/>
      <c r="F186" s="152"/>
      <c r="G186" s="153"/>
      <c r="H186" s="152"/>
      <c r="I186" s="152"/>
      <c r="J186" s="152"/>
      <c r="K186" s="152"/>
      <c r="L186" s="153"/>
      <c r="M186" s="152"/>
      <c r="N186" s="152"/>
      <c r="O186" s="152"/>
      <c r="P186" s="152"/>
      <c r="Q186" s="153"/>
      <c r="R186" s="152"/>
      <c r="S186" s="152"/>
      <c r="T186" s="152"/>
      <c r="U186" s="152"/>
      <c r="V186" s="153"/>
      <c r="W186" s="152"/>
      <c r="X186" s="152"/>
      <c r="Y186" s="152"/>
      <c r="Z186" s="152"/>
      <c r="AA186" s="153"/>
      <c r="AB186" s="152"/>
      <c r="AC186" s="152"/>
      <c r="AD186" s="152"/>
      <c r="AE186" s="152"/>
      <c r="AF186" s="153"/>
      <c r="AG186" s="152"/>
      <c r="AH186" s="152"/>
      <c r="AI186" s="152"/>
      <c r="AJ186" s="152"/>
      <c r="AK186" s="154">
        <f>SUM(AK180:AK185)</f>
        <v>-1526</v>
      </c>
      <c r="AL186" s="155"/>
      <c r="AM186" s="155"/>
      <c r="AN186" s="155"/>
      <c r="AO186" s="155"/>
      <c r="AP186" s="154">
        <f>SUM(AP180:AP185)</f>
        <v>-1721</v>
      </c>
      <c r="AQ186" s="155"/>
      <c r="AR186" s="155">
        <f>SUM(AR180:AR185)</f>
        <v>-450</v>
      </c>
      <c r="AS186" s="155">
        <f>SUM(AS180:AS185)</f>
        <v>-439</v>
      </c>
      <c r="AT186" s="155"/>
      <c r="AU186" s="154">
        <f t="shared" ref="AU186:CD186" si="133">SUM(AU180:AU185)</f>
        <v>-1546</v>
      </c>
      <c r="AV186" s="152">
        <f t="shared" si="133"/>
        <v>-254</v>
      </c>
      <c r="AW186" s="152">
        <f t="shared" si="133"/>
        <v>-3498</v>
      </c>
      <c r="AX186" s="152">
        <f t="shared" si="133"/>
        <v>-1380</v>
      </c>
      <c r="AY186" s="152">
        <f t="shared" si="133"/>
        <v>-1257</v>
      </c>
      <c r="AZ186" s="154">
        <f t="shared" si="133"/>
        <v>-6389</v>
      </c>
      <c r="BA186" s="152">
        <f t="shared" si="133"/>
        <v>325</v>
      </c>
      <c r="BB186" s="152">
        <f t="shared" si="133"/>
        <v>-1806</v>
      </c>
      <c r="BC186" s="152">
        <f t="shared" si="133"/>
        <v>-1689</v>
      </c>
      <c r="BD186" s="152">
        <f t="shared" si="133"/>
        <v>-1829</v>
      </c>
      <c r="BE186" s="154">
        <f t="shared" si="133"/>
        <v>-4999</v>
      </c>
      <c r="BF186" s="152">
        <f t="shared" si="133"/>
        <v>-1058</v>
      </c>
      <c r="BG186" s="152">
        <f t="shared" si="133"/>
        <v>-1944</v>
      </c>
      <c r="BH186" s="152">
        <f t="shared" si="133"/>
        <v>-1398</v>
      </c>
      <c r="BI186" s="152">
        <f t="shared" si="133"/>
        <v>-958</v>
      </c>
      <c r="BJ186" s="154">
        <f t="shared" si="133"/>
        <v>-5358</v>
      </c>
      <c r="BK186" s="152">
        <f t="shared" si="133"/>
        <v>5</v>
      </c>
      <c r="BL186" s="155">
        <f>SUM(BL180:BL185)</f>
        <v>-488.95709263059928</v>
      </c>
      <c r="BM186" s="155">
        <f t="shared" si="133"/>
        <v>6068.3992115647061</v>
      </c>
      <c r="BN186" s="155">
        <f t="shared" si="133"/>
        <v>-542.80162276375529</v>
      </c>
      <c r="BO186" s="154">
        <f t="shared" si="133"/>
        <v>5041.640496170352</v>
      </c>
      <c r="BP186" s="155">
        <f t="shared" si="133"/>
        <v>-247.91238435260627</v>
      </c>
      <c r="BQ186" s="155">
        <f t="shared" si="133"/>
        <v>-257.73570219340422</v>
      </c>
      <c r="BR186" s="155">
        <f t="shared" si="133"/>
        <v>-265.17104076856867</v>
      </c>
      <c r="BS186" s="155">
        <f t="shared" si="133"/>
        <v>-307.33858218579138</v>
      </c>
      <c r="BT186" s="154">
        <f t="shared" si="133"/>
        <v>-1078.1577095003706</v>
      </c>
      <c r="BU186" s="155">
        <f t="shared" si="133"/>
        <v>-277.89706103726013</v>
      </c>
      <c r="BV186" s="155">
        <f t="shared" si="133"/>
        <v>-289.94154129972691</v>
      </c>
      <c r="BW186" s="155">
        <f t="shared" si="133"/>
        <v>-293.16393051127875</v>
      </c>
      <c r="BX186" s="155">
        <f t="shared" si="133"/>
        <v>-340.99537147771656</v>
      </c>
      <c r="BY186" s="154">
        <f t="shared" si="133"/>
        <v>-1201.9979043259825</v>
      </c>
      <c r="BZ186" s="155">
        <f t="shared" si="133"/>
        <v>-319.37206234834917</v>
      </c>
      <c r="CA186" s="155">
        <f t="shared" si="133"/>
        <v>-333.77765504009045</v>
      </c>
      <c r="CB186" s="155">
        <f t="shared" si="133"/>
        <v>-339.76125218789576</v>
      </c>
      <c r="CC186" s="155">
        <f t="shared" si="133"/>
        <v>-395.80295137815995</v>
      </c>
      <c r="CD186" s="154">
        <f t="shared" si="133"/>
        <v>-1388.7139209544953</v>
      </c>
      <c r="CE186" s="371"/>
      <c r="CL186" s="436"/>
    </row>
    <row r="187" spans="1:91" ht="13.5" customHeight="1">
      <c r="A187" s="375"/>
      <c r="B187" s="376"/>
      <c r="C187" s="229"/>
      <c r="D187" s="229"/>
      <c r="E187" s="229"/>
      <c r="F187" s="229"/>
      <c r="G187" s="365"/>
      <c r="H187" s="229"/>
      <c r="I187" s="229"/>
      <c r="J187" s="229"/>
      <c r="K187" s="229"/>
      <c r="L187" s="365"/>
      <c r="M187" s="229"/>
      <c r="N187" s="229"/>
      <c r="O187" s="229"/>
      <c r="P187" s="229"/>
      <c r="Q187" s="365"/>
      <c r="R187" s="229"/>
      <c r="S187" s="229"/>
      <c r="T187" s="229"/>
      <c r="U187" s="229"/>
      <c r="V187" s="365"/>
      <c r="W187" s="229"/>
      <c r="X187" s="229"/>
      <c r="Y187" s="229"/>
      <c r="Z187" s="229"/>
      <c r="AA187" s="365"/>
      <c r="AB187" s="229"/>
      <c r="AC187" s="229"/>
      <c r="AD187" s="229"/>
      <c r="AE187" s="229"/>
      <c r="AF187" s="365"/>
      <c r="AG187" s="229"/>
      <c r="AH187" s="229"/>
      <c r="AI187" s="229"/>
      <c r="AJ187" s="229"/>
      <c r="AK187" s="368"/>
      <c r="AL187" s="232"/>
      <c r="AM187" s="232"/>
      <c r="AN187" s="232"/>
      <c r="AO187" s="232"/>
      <c r="AP187" s="368"/>
      <c r="AQ187" s="232"/>
      <c r="AR187" s="232"/>
      <c r="AS187" s="232"/>
      <c r="AT187" s="232"/>
      <c r="AU187" s="368"/>
      <c r="AV187" s="229"/>
      <c r="AW187" s="229"/>
      <c r="AX187" s="229"/>
      <c r="AY187" s="229"/>
      <c r="AZ187" s="368"/>
      <c r="BA187" s="229"/>
      <c r="BB187" s="229"/>
      <c r="BC187" s="229"/>
      <c r="BD187" s="229"/>
      <c r="BE187" s="368"/>
      <c r="BF187" s="229"/>
      <c r="BG187" s="229"/>
      <c r="BH187" s="229"/>
      <c r="BI187" s="229"/>
      <c r="BJ187" s="368"/>
      <c r="BK187" s="229"/>
      <c r="BL187" s="232"/>
      <c r="BM187" s="232"/>
      <c r="BN187" s="232"/>
      <c r="BO187" s="368"/>
      <c r="BP187" s="232"/>
      <c r="BQ187" s="232"/>
      <c r="BR187" s="232"/>
      <c r="BS187" s="232"/>
      <c r="BT187" s="368"/>
      <c r="BU187" s="232"/>
      <c r="BV187" s="232"/>
      <c r="BW187" s="232"/>
      <c r="BX187" s="232"/>
      <c r="BY187" s="368"/>
      <c r="BZ187" s="232"/>
      <c r="CA187" s="232"/>
      <c r="CB187" s="232"/>
      <c r="CC187" s="232"/>
      <c r="CD187" s="368"/>
      <c r="CE187" s="371"/>
      <c r="CL187" s="436"/>
    </row>
    <row r="188" spans="1:91" ht="15">
      <c r="A188" s="375"/>
      <c r="B188" s="381" t="s">
        <v>199</v>
      </c>
      <c r="C188" s="229"/>
      <c r="D188" s="229"/>
      <c r="E188" s="229"/>
      <c r="F188" s="229"/>
      <c r="G188" s="365"/>
      <c r="H188" s="229"/>
      <c r="I188" s="229"/>
      <c r="J188" s="229"/>
      <c r="K188" s="229"/>
      <c r="L188" s="365"/>
      <c r="M188" s="229"/>
      <c r="N188" s="229"/>
      <c r="O188" s="229"/>
      <c r="P188" s="229"/>
      <c r="Q188" s="365"/>
      <c r="R188" s="229"/>
      <c r="S188" s="229"/>
      <c r="T188" s="229"/>
      <c r="U188" s="229"/>
      <c r="V188" s="365"/>
      <c r="W188" s="229"/>
      <c r="X188" s="229"/>
      <c r="Y188" s="229"/>
      <c r="Z188" s="229"/>
      <c r="AA188" s="365"/>
      <c r="AB188" s="229"/>
      <c r="AC188" s="229"/>
      <c r="AD188" s="229"/>
      <c r="AE188" s="229"/>
      <c r="AF188" s="365"/>
      <c r="AG188" s="229"/>
      <c r="AH188" s="229"/>
      <c r="AI188" s="229"/>
      <c r="AJ188" s="229"/>
      <c r="AK188" s="368"/>
      <c r="AL188" s="232"/>
      <c r="AM188" s="232"/>
      <c r="AN188" s="232"/>
      <c r="AO188" s="232"/>
      <c r="AP188" s="368"/>
      <c r="AQ188" s="232"/>
      <c r="AR188" s="232"/>
      <c r="AS188" s="232"/>
      <c r="AT188" s="232"/>
      <c r="AU188" s="368"/>
      <c r="AV188" s="229"/>
      <c r="AW188" s="229"/>
      <c r="AX188" s="229"/>
      <c r="AY188" s="229"/>
      <c r="AZ188" s="368"/>
      <c r="BA188" s="229"/>
      <c r="BB188" s="229"/>
      <c r="BC188" s="229"/>
      <c r="BD188" s="229"/>
      <c r="BE188" s="368"/>
      <c r="BF188" s="229"/>
      <c r="BG188" s="229"/>
      <c r="BH188" s="229"/>
      <c r="BI188" s="229"/>
      <c r="BJ188" s="368"/>
      <c r="BK188" s="229"/>
      <c r="BL188" s="232"/>
      <c r="BM188" s="232"/>
      <c r="BN188" s="232"/>
      <c r="BO188" s="368"/>
      <c r="BP188" s="232"/>
      <c r="BQ188" s="232"/>
      <c r="BR188" s="232"/>
      <c r="BS188" s="232"/>
      <c r="BT188" s="368"/>
      <c r="BU188" s="232"/>
      <c r="BV188" s="232"/>
      <c r="BW188" s="232"/>
      <c r="BX188" s="232"/>
      <c r="BY188" s="368"/>
      <c r="BZ188" s="232"/>
      <c r="CA188" s="232"/>
      <c r="CB188" s="232"/>
      <c r="CC188" s="232"/>
      <c r="CD188" s="368"/>
      <c r="CE188" s="371"/>
      <c r="CL188" s="436"/>
    </row>
    <row r="189" spans="1:91" ht="13.5" customHeight="1">
      <c r="A189" s="371"/>
      <c r="B189" s="373" t="s">
        <v>180</v>
      </c>
      <c r="C189" s="196"/>
      <c r="D189" s="196"/>
      <c r="E189" s="196"/>
      <c r="F189" s="196"/>
      <c r="G189" s="168"/>
      <c r="H189" s="196"/>
      <c r="I189" s="196"/>
      <c r="J189" s="196"/>
      <c r="K189" s="196"/>
      <c r="L189" s="168"/>
      <c r="M189" s="196"/>
      <c r="N189" s="196"/>
      <c r="O189" s="196"/>
      <c r="P189" s="196"/>
      <c r="Q189" s="168"/>
      <c r="R189" s="196"/>
      <c r="S189" s="196"/>
      <c r="T189" s="196"/>
      <c r="U189" s="196"/>
      <c r="V189" s="168"/>
      <c r="W189" s="196"/>
      <c r="X189" s="196"/>
      <c r="Y189" s="196"/>
      <c r="Z189" s="196"/>
      <c r="AA189" s="168"/>
      <c r="AB189" s="196"/>
      <c r="AC189" s="196"/>
      <c r="AD189" s="196"/>
      <c r="AE189" s="196"/>
      <c r="AF189" s="168"/>
      <c r="AG189" s="196"/>
      <c r="AH189" s="196"/>
      <c r="AI189" s="196"/>
      <c r="AJ189" s="196"/>
      <c r="AK189" s="169">
        <v>57</v>
      </c>
      <c r="AL189" s="116"/>
      <c r="AM189" s="116"/>
      <c r="AN189" s="116"/>
      <c r="AO189" s="116"/>
      <c r="AP189" s="169">
        <v>76</v>
      </c>
      <c r="AQ189" s="116"/>
      <c r="AR189" s="116">
        <v>33</v>
      </c>
      <c r="AS189" s="116">
        <v>2</v>
      </c>
      <c r="AT189" s="170"/>
      <c r="AU189" s="169">
        <v>41</v>
      </c>
      <c r="AV189" s="167">
        <v>8</v>
      </c>
      <c r="AW189" s="167">
        <f>16-AV189</f>
        <v>8</v>
      </c>
      <c r="AX189" s="167">
        <f>8-7</f>
        <v>1</v>
      </c>
      <c r="AY189" s="167">
        <f>2-11</f>
        <v>-9</v>
      </c>
      <c r="AZ189" s="144">
        <f t="shared" ref="AZ189:AZ196" si="134">SUM(AV189:AY189)</f>
        <v>8</v>
      </c>
      <c r="BA189" s="167">
        <f>1-15</f>
        <v>-14</v>
      </c>
      <c r="BB189" s="167">
        <f>31-79</f>
        <v>-48</v>
      </c>
      <c r="BC189" s="167">
        <f>4-1</f>
        <v>3</v>
      </c>
      <c r="BD189" s="167">
        <v>4</v>
      </c>
      <c r="BE189" s="144">
        <f t="shared" ref="BE189:BE197" si="135">SUM(BA189:BD189)</f>
        <v>-55</v>
      </c>
      <c r="BF189" s="167">
        <v>-101</v>
      </c>
      <c r="BG189" s="167">
        <v>-23</v>
      </c>
      <c r="BH189" s="167">
        <v>-16</v>
      </c>
      <c r="BI189" s="167">
        <v>-26</v>
      </c>
      <c r="BJ189" s="144">
        <f t="shared" ref="BJ189:BJ197" si="136">SUM(BF189:BI189)</f>
        <v>-166</v>
      </c>
      <c r="BK189" s="167">
        <v>-335</v>
      </c>
      <c r="BL189" s="170">
        <v>0</v>
      </c>
      <c r="BM189" s="170">
        <v>0</v>
      </c>
      <c r="BN189" s="170">
        <v>0</v>
      </c>
      <c r="BO189" s="144">
        <f t="shared" ref="BO189:BO197" si="137">SUM(BK189:BN189)</f>
        <v>-335</v>
      </c>
      <c r="BP189" s="170">
        <v>0</v>
      </c>
      <c r="BQ189" s="170">
        <v>0</v>
      </c>
      <c r="BR189" s="170">
        <v>0</v>
      </c>
      <c r="BS189" s="170">
        <v>0</v>
      </c>
      <c r="BT189" s="144">
        <f t="shared" ref="BT189:BT197" si="138">SUM(BP189:BS189)</f>
        <v>0</v>
      </c>
      <c r="BU189" s="170">
        <v>0</v>
      </c>
      <c r="BV189" s="170">
        <v>0</v>
      </c>
      <c r="BW189" s="170">
        <v>0</v>
      </c>
      <c r="BX189" s="170">
        <v>0</v>
      </c>
      <c r="BY189" s="144">
        <f t="shared" ref="BY189:BY197" si="139">SUM(BU189:BX189)</f>
        <v>0</v>
      </c>
      <c r="BZ189" s="170">
        <v>0</v>
      </c>
      <c r="CA189" s="170">
        <v>0</v>
      </c>
      <c r="CB189" s="170">
        <v>0</v>
      </c>
      <c r="CC189" s="170">
        <v>0</v>
      </c>
      <c r="CD189" s="144">
        <f t="shared" ref="CD189:CD197" si="140">SUM(BZ189:CC189)</f>
        <v>0</v>
      </c>
      <c r="CE189" s="371"/>
      <c r="CL189" s="436"/>
      <c r="CM189" s="160"/>
    </row>
    <row r="190" spans="1:91" ht="13.5" customHeight="1">
      <c r="A190" s="371"/>
      <c r="B190" s="373" t="s">
        <v>200</v>
      </c>
      <c r="C190" s="196"/>
      <c r="D190" s="196"/>
      <c r="E190" s="196"/>
      <c r="F190" s="196"/>
      <c r="G190" s="168"/>
      <c r="H190" s="196"/>
      <c r="I190" s="196"/>
      <c r="J190" s="196"/>
      <c r="K190" s="196"/>
      <c r="L190" s="168"/>
      <c r="M190" s="196"/>
      <c r="N190" s="196"/>
      <c r="O190" s="196"/>
      <c r="P190" s="196"/>
      <c r="Q190" s="168"/>
      <c r="R190" s="196"/>
      <c r="S190" s="196"/>
      <c r="T190" s="196"/>
      <c r="U190" s="196"/>
      <c r="V190" s="168"/>
      <c r="W190" s="196"/>
      <c r="X190" s="196"/>
      <c r="Y190" s="196"/>
      <c r="Z190" s="196"/>
      <c r="AA190" s="168"/>
      <c r="AB190" s="196"/>
      <c r="AC190" s="196"/>
      <c r="AD190" s="196"/>
      <c r="AE190" s="196"/>
      <c r="AF190" s="168"/>
      <c r="AG190" s="196"/>
      <c r="AH190" s="196"/>
      <c r="AI190" s="196"/>
      <c r="AJ190" s="196"/>
      <c r="AK190" s="169">
        <v>-17</v>
      </c>
      <c r="AL190" s="116"/>
      <c r="AM190" s="116"/>
      <c r="AN190" s="116"/>
      <c r="AO190" s="116"/>
      <c r="AP190" s="169">
        <v>-28</v>
      </c>
      <c r="AQ190" s="116"/>
      <c r="AR190" s="116">
        <v>11</v>
      </c>
      <c r="AS190" s="116">
        <v>-13</v>
      </c>
      <c r="AT190" s="170"/>
      <c r="AU190" s="169">
        <v>-71</v>
      </c>
      <c r="AV190" s="167">
        <v>17</v>
      </c>
      <c r="AW190" s="167">
        <f>3829-AV190-AW195</f>
        <v>3812</v>
      </c>
      <c r="AX190" s="167">
        <v>29</v>
      </c>
      <c r="AY190" s="167">
        <v>0</v>
      </c>
      <c r="AZ190" s="144">
        <f t="shared" si="134"/>
        <v>3858</v>
      </c>
      <c r="BA190" s="167">
        <v>0</v>
      </c>
      <c r="BB190" s="167">
        <v>0</v>
      </c>
      <c r="BC190" s="167">
        <v>0</v>
      </c>
      <c r="BD190" s="167">
        <v>0</v>
      </c>
      <c r="BE190" s="144">
        <f t="shared" si="135"/>
        <v>0</v>
      </c>
      <c r="BF190" s="167">
        <v>0</v>
      </c>
      <c r="BG190" s="167">
        <v>0</v>
      </c>
      <c r="BH190" s="167">
        <v>0</v>
      </c>
      <c r="BI190" s="167">
        <v>0</v>
      </c>
      <c r="BJ190" s="144">
        <f t="shared" si="136"/>
        <v>0</v>
      </c>
      <c r="BK190" s="167">
        <v>0</v>
      </c>
      <c r="BL190" s="170">
        <v>0</v>
      </c>
      <c r="BM190" s="170">
        <v>0</v>
      </c>
      <c r="BN190" s="170">
        <v>0</v>
      </c>
      <c r="BO190" s="144">
        <f t="shared" si="137"/>
        <v>0</v>
      </c>
      <c r="BP190" s="170">
        <v>0</v>
      </c>
      <c r="BQ190" s="170">
        <v>0</v>
      </c>
      <c r="BR190" s="170">
        <v>0</v>
      </c>
      <c r="BS190" s="170">
        <v>0</v>
      </c>
      <c r="BT190" s="144">
        <f t="shared" si="138"/>
        <v>0</v>
      </c>
      <c r="BU190" s="170">
        <v>0</v>
      </c>
      <c r="BV190" s="170">
        <v>0</v>
      </c>
      <c r="BW190" s="170">
        <v>0</v>
      </c>
      <c r="BX190" s="170">
        <v>0</v>
      </c>
      <c r="BY190" s="144">
        <f t="shared" si="139"/>
        <v>0</v>
      </c>
      <c r="BZ190" s="170">
        <v>0</v>
      </c>
      <c r="CA190" s="170">
        <v>0</v>
      </c>
      <c r="CB190" s="170">
        <v>0</v>
      </c>
      <c r="CC190" s="170">
        <v>0</v>
      </c>
      <c r="CD190" s="144">
        <f t="shared" si="140"/>
        <v>0</v>
      </c>
      <c r="CE190" s="371"/>
      <c r="CL190" s="436"/>
      <c r="CM190" s="160"/>
    </row>
    <row r="191" spans="1:91" ht="13.5" customHeight="1">
      <c r="A191" s="371"/>
      <c r="B191" s="373" t="s">
        <v>201</v>
      </c>
      <c r="C191" s="196"/>
      <c r="D191" s="196"/>
      <c r="E191" s="196"/>
      <c r="F191" s="196"/>
      <c r="G191" s="168"/>
      <c r="H191" s="196"/>
      <c r="I191" s="196"/>
      <c r="J191" s="196"/>
      <c r="K191" s="196"/>
      <c r="L191" s="168"/>
      <c r="M191" s="196"/>
      <c r="N191" s="196"/>
      <c r="O191" s="196"/>
      <c r="P191" s="196"/>
      <c r="Q191" s="168"/>
      <c r="R191" s="196"/>
      <c r="S191" s="196"/>
      <c r="T191" s="196"/>
      <c r="U191" s="196"/>
      <c r="V191" s="168"/>
      <c r="W191" s="196"/>
      <c r="X191" s="196"/>
      <c r="Y191" s="196"/>
      <c r="Z191" s="196"/>
      <c r="AA191" s="168"/>
      <c r="AB191" s="196"/>
      <c r="AC191" s="196"/>
      <c r="AD191" s="196"/>
      <c r="AE191" s="196"/>
      <c r="AF191" s="168"/>
      <c r="AG191" s="196"/>
      <c r="AH191" s="196"/>
      <c r="AI191" s="196"/>
      <c r="AJ191" s="196"/>
      <c r="AK191" s="169">
        <v>20</v>
      </c>
      <c r="AL191" s="116"/>
      <c r="AM191" s="116"/>
      <c r="AN191" s="116"/>
      <c r="AO191" s="116"/>
      <c r="AP191" s="169">
        <v>-133</v>
      </c>
      <c r="AQ191" s="116"/>
      <c r="AR191" s="116">
        <v>-87</v>
      </c>
      <c r="AS191" s="116">
        <v>26</v>
      </c>
      <c r="AT191" s="145"/>
      <c r="AU191" s="169">
        <v>-21</v>
      </c>
      <c r="AV191" s="167">
        <v>-119</v>
      </c>
      <c r="AW191" s="167">
        <f>-873-AV191</f>
        <v>-754</v>
      </c>
      <c r="AX191" s="167">
        <v>-4</v>
      </c>
      <c r="AY191" s="167">
        <v>15</v>
      </c>
      <c r="AZ191" s="144">
        <f t="shared" si="134"/>
        <v>-862</v>
      </c>
      <c r="BA191" s="167">
        <v>-21</v>
      </c>
      <c r="BB191" s="167">
        <v>0</v>
      </c>
      <c r="BC191" s="167">
        <v>0</v>
      </c>
      <c r="BD191" s="167">
        <v>0</v>
      </c>
      <c r="BE191" s="144">
        <f t="shared" si="135"/>
        <v>-21</v>
      </c>
      <c r="BF191" s="167">
        <v>0</v>
      </c>
      <c r="BG191" s="167">
        <v>-6</v>
      </c>
      <c r="BH191" s="167">
        <v>626</v>
      </c>
      <c r="BI191" s="167">
        <v>200</v>
      </c>
      <c r="BJ191" s="144">
        <f t="shared" si="136"/>
        <v>820</v>
      </c>
      <c r="BK191" s="167">
        <v>2075</v>
      </c>
      <c r="BL191" s="170">
        <v>0</v>
      </c>
      <c r="BM191" s="170">
        <v>0</v>
      </c>
      <c r="BN191" s="170">
        <v>0</v>
      </c>
      <c r="BO191" s="144">
        <f t="shared" si="137"/>
        <v>2075</v>
      </c>
      <c r="BP191" s="170">
        <v>0</v>
      </c>
      <c r="BQ191" s="170">
        <v>0</v>
      </c>
      <c r="BR191" s="170">
        <v>0</v>
      </c>
      <c r="BS191" s="170">
        <v>0</v>
      </c>
      <c r="BT191" s="144">
        <f t="shared" si="138"/>
        <v>0</v>
      </c>
      <c r="BU191" s="170">
        <v>0</v>
      </c>
      <c r="BV191" s="170">
        <v>0</v>
      </c>
      <c r="BW191" s="170">
        <v>0</v>
      </c>
      <c r="BX191" s="170">
        <v>0</v>
      </c>
      <c r="BY191" s="144">
        <f t="shared" si="139"/>
        <v>0</v>
      </c>
      <c r="BZ191" s="170">
        <v>0</v>
      </c>
      <c r="CA191" s="170">
        <v>0</v>
      </c>
      <c r="CB191" s="170">
        <v>0</v>
      </c>
      <c r="CC191" s="170">
        <v>0</v>
      </c>
      <c r="CD191" s="144">
        <f t="shared" si="140"/>
        <v>0</v>
      </c>
      <c r="CE191" s="371"/>
      <c r="CL191" s="436"/>
      <c r="CM191" s="160"/>
    </row>
    <row r="192" spans="1:91" ht="13.5" customHeight="1">
      <c r="A192" s="371"/>
      <c r="B192" s="373" t="s">
        <v>202</v>
      </c>
      <c r="C192" s="196"/>
      <c r="D192" s="196"/>
      <c r="E192" s="196"/>
      <c r="F192" s="196"/>
      <c r="G192" s="168"/>
      <c r="H192" s="196"/>
      <c r="I192" s="196"/>
      <c r="J192" s="196"/>
      <c r="K192" s="196"/>
      <c r="L192" s="168"/>
      <c r="M192" s="196"/>
      <c r="N192" s="196"/>
      <c r="O192" s="196"/>
      <c r="P192" s="196"/>
      <c r="Q192" s="168"/>
      <c r="R192" s="196"/>
      <c r="S192" s="196"/>
      <c r="T192" s="196"/>
      <c r="U192" s="196"/>
      <c r="V192" s="168"/>
      <c r="W192" s="196"/>
      <c r="X192" s="196"/>
      <c r="Y192" s="196"/>
      <c r="Z192" s="196"/>
      <c r="AA192" s="168"/>
      <c r="AB192" s="196"/>
      <c r="AC192" s="196"/>
      <c r="AD192" s="196"/>
      <c r="AE192" s="196"/>
      <c r="AF192" s="168"/>
      <c r="AG192" s="196"/>
      <c r="AH192" s="196"/>
      <c r="AI192" s="196"/>
      <c r="AJ192" s="196"/>
      <c r="AK192" s="169">
        <v>-270</v>
      </c>
      <c r="AL192" s="116"/>
      <c r="AM192" s="116"/>
      <c r="AN192" s="116"/>
      <c r="AO192" s="116"/>
      <c r="AP192" s="169">
        <v>0</v>
      </c>
      <c r="AQ192" s="116"/>
      <c r="AR192" s="116">
        <v>0</v>
      </c>
      <c r="AS192" s="116">
        <v>0</v>
      </c>
      <c r="AT192" s="170"/>
      <c r="AU192" s="169">
        <v>0</v>
      </c>
      <c r="AV192" s="167">
        <v>0</v>
      </c>
      <c r="AW192" s="167">
        <v>0</v>
      </c>
      <c r="AX192" s="167">
        <v>0</v>
      </c>
      <c r="AY192" s="167">
        <v>0</v>
      </c>
      <c r="AZ192" s="144">
        <f t="shared" si="134"/>
        <v>0</v>
      </c>
      <c r="BA192" s="167">
        <v>0</v>
      </c>
      <c r="BB192" s="167">
        <v>0</v>
      </c>
      <c r="BC192" s="167">
        <v>0</v>
      </c>
      <c r="BD192" s="167">
        <v>0</v>
      </c>
      <c r="BE192" s="144">
        <f t="shared" si="135"/>
        <v>0</v>
      </c>
      <c r="BF192" s="167">
        <v>0</v>
      </c>
      <c r="BG192" s="167">
        <v>0</v>
      </c>
      <c r="BH192" s="167">
        <v>0</v>
      </c>
      <c r="BI192" s="167">
        <v>0</v>
      </c>
      <c r="BJ192" s="144">
        <f t="shared" si="136"/>
        <v>0</v>
      </c>
      <c r="BK192" s="167">
        <v>0</v>
      </c>
      <c r="BL192" s="170">
        <v>0</v>
      </c>
      <c r="BM192" s="170">
        <v>0</v>
      </c>
      <c r="BN192" s="170">
        <v>0</v>
      </c>
      <c r="BO192" s="144">
        <f t="shared" si="137"/>
        <v>0</v>
      </c>
      <c r="BP192" s="170">
        <v>0</v>
      </c>
      <c r="BQ192" s="170">
        <v>0</v>
      </c>
      <c r="BR192" s="170">
        <v>0</v>
      </c>
      <c r="BS192" s="170">
        <v>0</v>
      </c>
      <c r="BT192" s="144">
        <f t="shared" si="138"/>
        <v>0</v>
      </c>
      <c r="BU192" s="170">
        <v>0</v>
      </c>
      <c r="BV192" s="170">
        <v>0</v>
      </c>
      <c r="BW192" s="170">
        <v>0</v>
      </c>
      <c r="BX192" s="170">
        <v>0</v>
      </c>
      <c r="BY192" s="144">
        <f t="shared" si="139"/>
        <v>0</v>
      </c>
      <c r="BZ192" s="170">
        <v>0</v>
      </c>
      <c r="CA192" s="170">
        <v>0</v>
      </c>
      <c r="CB192" s="170">
        <v>0</v>
      </c>
      <c r="CC192" s="170">
        <v>0</v>
      </c>
      <c r="CD192" s="144">
        <f t="shared" si="140"/>
        <v>0</v>
      </c>
      <c r="CE192" s="371"/>
      <c r="CL192" s="436"/>
      <c r="CM192" s="160"/>
    </row>
    <row r="193" spans="1:92" ht="13.5" customHeight="1">
      <c r="A193" s="371"/>
      <c r="B193" s="373" t="s">
        <v>203</v>
      </c>
      <c r="C193" s="196"/>
      <c r="D193" s="196"/>
      <c r="E193" s="196"/>
      <c r="F193" s="196"/>
      <c r="G193" s="168"/>
      <c r="H193" s="196"/>
      <c r="I193" s="196"/>
      <c r="J193" s="196"/>
      <c r="K193" s="196"/>
      <c r="L193" s="168"/>
      <c r="M193" s="196"/>
      <c r="N193" s="196"/>
      <c r="O193" s="196"/>
      <c r="P193" s="196"/>
      <c r="Q193" s="168"/>
      <c r="R193" s="196"/>
      <c r="S193" s="196"/>
      <c r="T193" s="196"/>
      <c r="U193" s="196"/>
      <c r="V193" s="168"/>
      <c r="W193" s="196"/>
      <c r="X193" s="196"/>
      <c r="Y193" s="196"/>
      <c r="Z193" s="196"/>
      <c r="AA193" s="168"/>
      <c r="AB193" s="196"/>
      <c r="AC193" s="196"/>
      <c r="AD193" s="196"/>
      <c r="AE193" s="196"/>
      <c r="AF193" s="168"/>
      <c r="AG193" s="196"/>
      <c r="AH193" s="196"/>
      <c r="AI193" s="196"/>
      <c r="AJ193" s="196"/>
      <c r="AK193" s="169">
        <v>-4090</v>
      </c>
      <c r="AL193" s="116"/>
      <c r="AM193" s="116"/>
      <c r="AN193" s="116"/>
      <c r="AO193" s="116"/>
      <c r="AP193" s="169">
        <v>-1653</v>
      </c>
      <c r="AQ193" s="116"/>
      <c r="AR193" s="116">
        <v>-774</v>
      </c>
      <c r="AS193" s="116">
        <v>76</v>
      </c>
      <c r="AT193" s="170"/>
      <c r="AU193" s="169">
        <v>-1335</v>
      </c>
      <c r="AV193" s="167">
        <v>-333</v>
      </c>
      <c r="AW193" s="167">
        <f>-774-AV193</f>
        <v>-441</v>
      </c>
      <c r="AX193" s="167">
        <v>-416</v>
      </c>
      <c r="AY193" s="167">
        <v>-459</v>
      </c>
      <c r="AZ193" s="144">
        <f t="shared" si="134"/>
        <v>-1649</v>
      </c>
      <c r="BA193" s="167">
        <v>0</v>
      </c>
      <c r="BB193" s="167">
        <v>0</v>
      </c>
      <c r="BC193" s="167">
        <v>0</v>
      </c>
      <c r="BD193" s="167">
        <v>0</v>
      </c>
      <c r="BE193" s="144">
        <f t="shared" si="135"/>
        <v>0</v>
      </c>
      <c r="BF193" s="167">
        <v>0</v>
      </c>
      <c r="BG193" s="167">
        <v>0</v>
      </c>
      <c r="BH193" s="167">
        <v>0</v>
      </c>
      <c r="BI193" s="167">
        <v>0</v>
      </c>
      <c r="BJ193" s="144">
        <f t="shared" si="136"/>
        <v>0</v>
      </c>
      <c r="BK193" s="167">
        <v>0</v>
      </c>
      <c r="BL193" s="170">
        <v>0</v>
      </c>
      <c r="BM193" s="170">
        <v>0</v>
      </c>
      <c r="BN193" s="170">
        <v>0</v>
      </c>
      <c r="BO193" s="144">
        <f t="shared" si="137"/>
        <v>0</v>
      </c>
      <c r="BP193" s="170">
        <v>0</v>
      </c>
      <c r="BQ193" s="170">
        <v>0</v>
      </c>
      <c r="BR193" s="170">
        <v>0</v>
      </c>
      <c r="BS193" s="170">
        <v>0</v>
      </c>
      <c r="BT193" s="144">
        <f t="shared" si="138"/>
        <v>0</v>
      </c>
      <c r="BU193" s="170">
        <v>0</v>
      </c>
      <c r="BV193" s="170">
        <v>0</v>
      </c>
      <c r="BW193" s="170">
        <v>0</v>
      </c>
      <c r="BX193" s="170">
        <v>0</v>
      </c>
      <c r="BY193" s="144">
        <f t="shared" si="139"/>
        <v>0</v>
      </c>
      <c r="BZ193" s="170">
        <v>0</v>
      </c>
      <c r="CA193" s="170">
        <v>0</v>
      </c>
      <c r="CB193" s="170">
        <v>0</v>
      </c>
      <c r="CC193" s="170">
        <v>0</v>
      </c>
      <c r="CD193" s="144">
        <f t="shared" si="140"/>
        <v>0</v>
      </c>
      <c r="CE193" s="371"/>
      <c r="CL193" s="436"/>
      <c r="CM193" s="160"/>
    </row>
    <row r="194" spans="1:92" ht="13.5" customHeight="1">
      <c r="A194" s="371"/>
      <c r="B194" s="373" t="s">
        <v>204</v>
      </c>
      <c r="C194" s="196"/>
      <c r="D194" s="196"/>
      <c r="E194" s="196"/>
      <c r="F194" s="196"/>
      <c r="G194" s="168"/>
      <c r="H194" s="196"/>
      <c r="I194" s="196"/>
      <c r="J194" s="196"/>
      <c r="K194" s="196"/>
      <c r="L194" s="168"/>
      <c r="M194" s="196"/>
      <c r="N194" s="196"/>
      <c r="O194" s="196"/>
      <c r="P194" s="196"/>
      <c r="Q194" s="168"/>
      <c r="R194" s="196"/>
      <c r="S194" s="196"/>
      <c r="T194" s="196"/>
      <c r="U194" s="196"/>
      <c r="V194" s="168"/>
      <c r="W194" s="196"/>
      <c r="X194" s="196"/>
      <c r="Y194" s="196"/>
      <c r="Z194" s="196"/>
      <c r="AA194" s="168"/>
      <c r="AB194" s="196"/>
      <c r="AC194" s="196"/>
      <c r="AD194" s="196"/>
      <c r="AE194" s="196"/>
      <c r="AF194" s="168"/>
      <c r="AG194" s="196"/>
      <c r="AH194" s="196"/>
      <c r="AI194" s="196"/>
      <c r="AJ194" s="196"/>
      <c r="AK194" s="169">
        <v>4090</v>
      </c>
      <c r="AL194" s="116"/>
      <c r="AM194" s="116"/>
      <c r="AN194" s="116"/>
      <c r="AO194" s="116"/>
      <c r="AP194" s="169">
        <v>1653</v>
      </c>
      <c r="AQ194" s="116"/>
      <c r="AR194" s="116">
        <v>774</v>
      </c>
      <c r="AS194" s="116">
        <v>-76</v>
      </c>
      <c r="AT194" s="170"/>
      <c r="AU194" s="169">
        <v>1335</v>
      </c>
      <c r="AV194" s="167">
        <v>333</v>
      </c>
      <c r="AW194" s="167">
        <f>774-AV194</f>
        <v>441</v>
      </c>
      <c r="AX194" s="167">
        <v>416</v>
      </c>
      <c r="AY194" s="167">
        <v>459</v>
      </c>
      <c r="AZ194" s="144">
        <f t="shared" si="134"/>
        <v>1649</v>
      </c>
      <c r="BA194" s="167">
        <v>738</v>
      </c>
      <c r="BB194" s="167">
        <v>841</v>
      </c>
      <c r="BC194" s="167">
        <v>283</v>
      </c>
      <c r="BD194" s="167">
        <v>1161</v>
      </c>
      <c r="BE194" s="144">
        <f t="shared" si="135"/>
        <v>3023</v>
      </c>
      <c r="BF194" s="167">
        <v>552</v>
      </c>
      <c r="BG194" s="167">
        <v>1086</v>
      </c>
      <c r="BH194" s="167">
        <v>915</v>
      </c>
      <c r="BI194" s="167">
        <v>1739</v>
      </c>
      <c r="BJ194" s="144">
        <f t="shared" si="136"/>
        <v>4292</v>
      </c>
      <c r="BK194" s="167">
        <v>865</v>
      </c>
      <c r="BL194" s="170">
        <v>0</v>
      </c>
      <c r="BM194" s="170">
        <v>0</v>
      </c>
      <c r="BN194" s="170">
        <v>0</v>
      </c>
      <c r="BO194" s="144">
        <f t="shared" si="137"/>
        <v>865</v>
      </c>
      <c r="BP194" s="170">
        <v>0</v>
      </c>
      <c r="BQ194" s="170">
        <v>0</v>
      </c>
      <c r="BR194" s="170">
        <v>0</v>
      </c>
      <c r="BS194" s="170">
        <v>0</v>
      </c>
      <c r="BT194" s="144">
        <f t="shared" si="138"/>
        <v>0</v>
      </c>
      <c r="BU194" s="170">
        <v>0</v>
      </c>
      <c r="BV194" s="170">
        <v>0</v>
      </c>
      <c r="BW194" s="170">
        <v>0</v>
      </c>
      <c r="BX194" s="170">
        <v>0</v>
      </c>
      <c r="BY194" s="144">
        <f t="shared" si="139"/>
        <v>0</v>
      </c>
      <c r="BZ194" s="170">
        <v>0</v>
      </c>
      <c r="CA194" s="170">
        <v>0</v>
      </c>
      <c r="CB194" s="170">
        <v>0</v>
      </c>
      <c r="CC194" s="170">
        <v>0</v>
      </c>
      <c r="CD194" s="144">
        <f t="shared" si="140"/>
        <v>0</v>
      </c>
      <c r="CE194" s="371"/>
      <c r="CL194" s="436"/>
      <c r="CM194" s="160"/>
    </row>
    <row r="195" spans="1:92" ht="13.5" customHeight="1">
      <c r="A195" s="371"/>
      <c r="B195" s="373" t="s">
        <v>205</v>
      </c>
      <c r="C195" s="196"/>
      <c r="D195" s="196"/>
      <c r="E195" s="196"/>
      <c r="F195" s="196"/>
      <c r="G195" s="168"/>
      <c r="H195" s="196"/>
      <c r="I195" s="196"/>
      <c r="J195" s="196"/>
      <c r="K195" s="196"/>
      <c r="L195" s="168"/>
      <c r="M195" s="196"/>
      <c r="N195" s="196"/>
      <c r="O195" s="196"/>
      <c r="P195" s="196"/>
      <c r="Q195" s="168"/>
      <c r="R195" s="196"/>
      <c r="S195" s="196"/>
      <c r="T195" s="196"/>
      <c r="U195" s="196"/>
      <c r="V195" s="168"/>
      <c r="W195" s="196"/>
      <c r="X195" s="196"/>
      <c r="Y195" s="196"/>
      <c r="Z195" s="196"/>
      <c r="AA195" s="168"/>
      <c r="AB195" s="196"/>
      <c r="AC195" s="196"/>
      <c r="AD195" s="196"/>
      <c r="AE195" s="196"/>
      <c r="AF195" s="168"/>
      <c r="AG195" s="196"/>
      <c r="AH195" s="196"/>
      <c r="AI195" s="196"/>
      <c r="AJ195" s="196"/>
      <c r="AK195" s="169">
        <v>0</v>
      </c>
      <c r="AL195" s="116"/>
      <c r="AM195" s="116"/>
      <c r="AN195" s="116"/>
      <c r="AO195" s="116"/>
      <c r="AP195" s="169">
        <v>0</v>
      </c>
      <c r="AQ195" s="116"/>
      <c r="AR195" s="116">
        <v>0</v>
      </c>
      <c r="AS195" s="116">
        <v>0</v>
      </c>
      <c r="AT195" s="170"/>
      <c r="AU195" s="169">
        <v>0</v>
      </c>
      <c r="AV195" s="167">
        <v>0</v>
      </c>
      <c r="AW195" s="167">
        <f>AW252-AV252</f>
        <v>0</v>
      </c>
      <c r="AX195" s="167">
        <v>36</v>
      </c>
      <c r="AY195" s="167">
        <v>39</v>
      </c>
      <c r="AZ195" s="144">
        <f t="shared" si="134"/>
        <v>75</v>
      </c>
      <c r="BA195" s="167">
        <v>6</v>
      </c>
      <c r="BB195" s="167">
        <v>51</v>
      </c>
      <c r="BC195" s="167">
        <v>1</v>
      </c>
      <c r="BD195" s="167">
        <v>51</v>
      </c>
      <c r="BE195" s="144">
        <f t="shared" si="135"/>
        <v>109</v>
      </c>
      <c r="BF195" s="167">
        <v>12</v>
      </c>
      <c r="BG195" s="167">
        <v>74</v>
      </c>
      <c r="BH195" s="167">
        <v>14</v>
      </c>
      <c r="BI195" s="167">
        <v>44</v>
      </c>
      <c r="BJ195" s="144">
        <f t="shared" si="136"/>
        <v>144</v>
      </c>
      <c r="BK195" s="167">
        <v>13</v>
      </c>
      <c r="BL195" s="170">
        <v>0</v>
      </c>
      <c r="BM195" s="170">
        <v>0</v>
      </c>
      <c r="BN195" s="170">
        <v>0</v>
      </c>
      <c r="BO195" s="144">
        <f t="shared" si="137"/>
        <v>13</v>
      </c>
      <c r="BP195" s="170">
        <v>0</v>
      </c>
      <c r="BQ195" s="170">
        <v>0</v>
      </c>
      <c r="BR195" s="170">
        <v>0</v>
      </c>
      <c r="BS195" s="170">
        <v>0</v>
      </c>
      <c r="BT195" s="144">
        <f t="shared" si="138"/>
        <v>0</v>
      </c>
      <c r="BU195" s="170">
        <v>0</v>
      </c>
      <c r="BV195" s="170">
        <v>0</v>
      </c>
      <c r="BW195" s="170">
        <v>0</v>
      </c>
      <c r="BX195" s="170">
        <v>0</v>
      </c>
      <c r="BY195" s="144">
        <f t="shared" si="139"/>
        <v>0</v>
      </c>
      <c r="BZ195" s="170">
        <v>0</v>
      </c>
      <c r="CA195" s="170">
        <v>0</v>
      </c>
      <c r="CB195" s="170">
        <v>0</v>
      </c>
      <c r="CC195" s="170">
        <v>0</v>
      </c>
      <c r="CD195" s="144">
        <f t="shared" si="140"/>
        <v>0</v>
      </c>
      <c r="CE195" s="371"/>
      <c r="CL195" s="436"/>
      <c r="CM195" s="160"/>
    </row>
    <row r="196" spans="1:92" ht="13.5" customHeight="1">
      <c r="A196" s="371"/>
      <c r="B196" s="373" t="s">
        <v>206</v>
      </c>
      <c r="C196" s="196"/>
      <c r="D196" s="196"/>
      <c r="E196" s="196"/>
      <c r="F196" s="196"/>
      <c r="G196" s="168"/>
      <c r="H196" s="196"/>
      <c r="I196" s="196"/>
      <c r="J196" s="196"/>
      <c r="K196" s="196"/>
      <c r="L196" s="168"/>
      <c r="M196" s="196"/>
      <c r="N196" s="196"/>
      <c r="O196" s="196"/>
      <c r="P196" s="196"/>
      <c r="Q196" s="168"/>
      <c r="R196" s="196"/>
      <c r="S196" s="196"/>
      <c r="T196" s="196"/>
      <c r="U196" s="196"/>
      <c r="V196" s="168"/>
      <c r="W196" s="196"/>
      <c r="X196" s="196"/>
      <c r="Y196" s="196"/>
      <c r="Z196" s="196"/>
      <c r="AA196" s="168"/>
      <c r="AB196" s="196"/>
      <c r="AC196" s="196"/>
      <c r="AD196" s="196"/>
      <c r="AE196" s="196"/>
      <c r="AF196" s="168"/>
      <c r="AG196" s="196"/>
      <c r="AH196" s="196"/>
      <c r="AI196" s="196"/>
      <c r="AJ196" s="196"/>
      <c r="AK196" s="169">
        <v>0</v>
      </c>
      <c r="AL196" s="116"/>
      <c r="AM196" s="116"/>
      <c r="AN196" s="116"/>
      <c r="AO196" s="116"/>
      <c r="AP196" s="169">
        <v>0</v>
      </c>
      <c r="AQ196" s="116"/>
      <c r="AR196" s="116">
        <v>0</v>
      </c>
      <c r="AS196" s="116">
        <v>0</v>
      </c>
      <c r="AT196" s="170"/>
      <c r="AU196" s="169">
        <v>0</v>
      </c>
      <c r="AV196" s="167">
        <v>0</v>
      </c>
      <c r="AW196" s="167">
        <v>0</v>
      </c>
      <c r="AX196" s="167">
        <v>0</v>
      </c>
      <c r="AY196" s="167">
        <v>0</v>
      </c>
      <c r="AZ196" s="144">
        <f t="shared" si="134"/>
        <v>0</v>
      </c>
      <c r="BA196" s="167">
        <v>-596</v>
      </c>
      <c r="BB196" s="167">
        <v>-300</v>
      </c>
      <c r="BC196" s="167">
        <v>-49</v>
      </c>
      <c r="BD196" s="167">
        <f>-50-23</f>
        <v>-73</v>
      </c>
      <c r="BE196" s="144">
        <f t="shared" si="135"/>
        <v>-1018</v>
      </c>
      <c r="BF196" s="167">
        <v>-517</v>
      </c>
      <c r="BG196" s="167">
        <v>-89</v>
      </c>
      <c r="BH196" s="167">
        <v>-100</v>
      </c>
      <c r="BI196" s="167">
        <v>-300</v>
      </c>
      <c r="BJ196" s="144">
        <f t="shared" si="136"/>
        <v>-1006</v>
      </c>
      <c r="BK196" s="167">
        <v>-1825</v>
      </c>
      <c r="BL196" s="170">
        <f t="shared" ref="BL196:BN196" si="141">-BL147</f>
        <v>-400</v>
      </c>
      <c r="BM196" s="170">
        <f t="shared" si="141"/>
        <v>-400</v>
      </c>
      <c r="BN196" s="170">
        <f t="shared" si="141"/>
        <v>-400</v>
      </c>
      <c r="BO196" s="144">
        <f t="shared" si="137"/>
        <v>-3025</v>
      </c>
      <c r="BP196" s="170">
        <f>-BP147</f>
        <v>-400</v>
      </c>
      <c r="BQ196" s="170">
        <f>-BQ147</f>
        <v>-400</v>
      </c>
      <c r="BR196" s="170">
        <f>-BR147</f>
        <v>-400</v>
      </c>
      <c r="BS196" s="170">
        <f>-BS147</f>
        <v>-400</v>
      </c>
      <c r="BT196" s="144">
        <f t="shared" si="138"/>
        <v>-1600</v>
      </c>
      <c r="BU196" s="170">
        <f>-BU147</f>
        <v>-500</v>
      </c>
      <c r="BV196" s="170">
        <f>-BV147</f>
        <v>-500</v>
      </c>
      <c r="BW196" s="170">
        <f>-BW147</f>
        <v>-500</v>
      </c>
      <c r="BX196" s="170">
        <f>-BX147</f>
        <v>-500</v>
      </c>
      <c r="BY196" s="144">
        <f t="shared" si="139"/>
        <v>-2000</v>
      </c>
      <c r="BZ196" s="170">
        <f>-BZ147</f>
        <v>-500</v>
      </c>
      <c r="CA196" s="170">
        <f>-CA147</f>
        <v>-500</v>
      </c>
      <c r="CB196" s="170">
        <f>-CB147</f>
        <v>-500</v>
      </c>
      <c r="CC196" s="170">
        <f>-CC147</f>
        <v>-500</v>
      </c>
      <c r="CD196" s="144">
        <f t="shared" si="140"/>
        <v>-2000</v>
      </c>
      <c r="CE196" s="371"/>
      <c r="CL196" s="436"/>
      <c r="CM196" s="160"/>
    </row>
    <row r="197" spans="1:92" ht="13.5" customHeight="1">
      <c r="A197" s="371"/>
      <c r="B197" s="373" t="s">
        <v>207</v>
      </c>
      <c r="C197" s="196"/>
      <c r="D197" s="196"/>
      <c r="E197" s="196"/>
      <c r="F197" s="196"/>
      <c r="G197" s="168"/>
      <c r="H197" s="196"/>
      <c r="I197" s="196"/>
      <c r="J197" s="196"/>
      <c r="K197" s="196"/>
      <c r="L197" s="168"/>
      <c r="M197" s="196"/>
      <c r="N197" s="196"/>
      <c r="O197" s="196"/>
      <c r="P197" s="196"/>
      <c r="Q197" s="168"/>
      <c r="R197" s="196"/>
      <c r="S197" s="196"/>
      <c r="T197" s="196"/>
      <c r="U197" s="196"/>
      <c r="V197" s="168"/>
      <c r="W197" s="196"/>
      <c r="X197" s="196"/>
      <c r="Y197" s="196"/>
      <c r="Z197" s="196"/>
      <c r="AA197" s="168"/>
      <c r="AB197" s="196"/>
      <c r="AC197" s="196"/>
      <c r="AD197" s="196"/>
      <c r="AE197" s="196"/>
      <c r="AF197" s="168"/>
      <c r="AG197" s="196"/>
      <c r="AH197" s="196"/>
      <c r="AI197" s="196"/>
      <c r="AJ197" s="196"/>
      <c r="AK197" s="169">
        <v>0</v>
      </c>
      <c r="AL197" s="116"/>
      <c r="AM197" s="116"/>
      <c r="AN197" s="116"/>
      <c r="AO197" s="116"/>
      <c r="AP197" s="169">
        <v>0</v>
      </c>
      <c r="AQ197" s="116"/>
      <c r="AR197" s="116">
        <v>0</v>
      </c>
      <c r="AS197" s="116">
        <v>0</v>
      </c>
      <c r="AT197" s="170"/>
      <c r="AU197" s="169">
        <v>0</v>
      </c>
      <c r="AV197" s="167">
        <v>0</v>
      </c>
      <c r="AW197" s="167">
        <v>0</v>
      </c>
      <c r="AX197" s="167">
        <v>0</v>
      </c>
      <c r="AY197" s="167">
        <v>0</v>
      </c>
      <c r="AZ197" s="144">
        <f>SUM(AV197:AY197)</f>
        <v>0</v>
      </c>
      <c r="BA197" s="167">
        <v>0</v>
      </c>
      <c r="BB197" s="167">
        <f>+BA197</f>
        <v>0</v>
      </c>
      <c r="BC197" s="167">
        <f>+BB197</f>
        <v>0</v>
      </c>
      <c r="BD197" s="167">
        <f>+BC197</f>
        <v>0</v>
      </c>
      <c r="BE197" s="144">
        <f t="shared" si="135"/>
        <v>0</v>
      </c>
      <c r="BF197" s="167">
        <v>0</v>
      </c>
      <c r="BG197" s="167">
        <f>+BF197</f>
        <v>0</v>
      </c>
      <c r="BH197" s="167">
        <f>+BG197</f>
        <v>0</v>
      </c>
      <c r="BI197" s="167">
        <f>+BH197</f>
        <v>0</v>
      </c>
      <c r="BJ197" s="144">
        <f t="shared" si="136"/>
        <v>0</v>
      </c>
      <c r="BK197" s="167">
        <v>0</v>
      </c>
      <c r="BL197" s="145">
        <f>+BK197</f>
        <v>0</v>
      </c>
      <c r="BM197" s="145">
        <f>+BL197</f>
        <v>0</v>
      </c>
      <c r="BN197" s="145">
        <f>+BM197</f>
        <v>0</v>
      </c>
      <c r="BO197" s="144">
        <f t="shared" si="137"/>
        <v>0</v>
      </c>
      <c r="BP197" s="145">
        <v>0</v>
      </c>
      <c r="BQ197" s="145">
        <f>+BP197</f>
        <v>0</v>
      </c>
      <c r="BR197" s="145">
        <f>+BQ197</f>
        <v>0</v>
      </c>
      <c r="BS197" s="145">
        <f>+BR197</f>
        <v>0</v>
      </c>
      <c r="BT197" s="144">
        <f t="shared" si="138"/>
        <v>0</v>
      </c>
      <c r="BU197" s="145">
        <v>0</v>
      </c>
      <c r="BV197" s="145">
        <f>+BU197</f>
        <v>0</v>
      </c>
      <c r="BW197" s="145">
        <f>+BV197</f>
        <v>0</v>
      </c>
      <c r="BX197" s="145">
        <f>+BW197</f>
        <v>0</v>
      </c>
      <c r="BY197" s="144">
        <f t="shared" si="139"/>
        <v>0</v>
      </c>
      <c r="BZ197" s="145">
        <v>0</v>
      </c>
      <c r="CA197" s="145">
        <f>+BZ197</f>
        <v>0</v>
      </c>
      <c r="CB197" s="145">
        <f>+CA197</f>
        <v>0</v>
      </c>
      <c r="CC197" s="145">
        <f>+CB197</f>
        <v>0</v>
      </c>
      <c r="CD197" s="144">
        <f t="shared" si="140"/>
        <v>0</v>
      </c>
      <c r="CE197" s="371"/>
      <c r="CL197" s="436"/>
      <c r="CM197" s="160"/>
    </row>
    <row r="198" spans="1:92" ht="13.5" customHeight="1">
      <c r="A198" s="362"/>
      <c r="B198" s="374" t="s">
        <v>208</v>
      </c>
      <c r="C198" s="152"/>
      <c r="D198" s="152"/>
      <c r="E198" s="152"/>
      <c r="F198" s="152"/>
      <c r="G198" s="153"/>
      <c r="H198" s="152"/>
      <c r="I198" s="152"/>
      <c r="J198" s="152"/>
      <c r="K198" s="152"/>
      <c r="L198" s="153"/>
      <c r="M198" s="152"/>
      <c r="N198" s="152"/>
      <c r="O198" s="152"/>
      <c r="P198" s="152"/>
      <c r="Q198" s="153"/>
      <c r="R198" s="152"/>
      <c r="S198" s="152"/>
      <c r="T198" s="152"/>
      <c r="U198" s="152"/>
      <c r="V198" s="153"/>
      <c r="W198" s="152"/>
      <c r="X198" s="152"/>
      <c r="Y198" s="152"/>
      <c r="Z198" s="152"/>
      <c r="AA198" s="153"/>
      <c r="AB198" s="152"/>
      <c r="AC198" s="152"/>
      <c r="AD198" s="152"/>
      <c r="AE198" s="152"/>
      <c r="AF198" s="153"/>
      <c r="AG198" s="152"/>
      <c r="AH198" s="152"/>
      <c r="AI198" s="152"/>
      <c r="AJ198" s="152"/>
      <c r="AK198" s="154">
        <f>SUM(AK189:AK197)</f>
        <v>-210</v>
      </c>
      <c r="AL198" s="155"/>
      <c r="AM198" s="155"/>
      <c r="AN198" s="155"/>
      <c r="AO198" s="155"/>
      <c r="AP198" s="154">
        <f>SUM(AP189:AP197)</f>
        <v>-85</v>
      </c>
      <c r="AQ198" s="155"/>
      <c r="AR198" s="155">
        <f>SUM(AR189:AR197)</f>
        <v>-43</v>
      </c>
      <c r="AS198" s="155">
        <f>SUM(AS189:AS197)</f>
        <v>15</v>
      </c>
      <c r="AT198" s="155"/>
      <c r="AU198" s="154">
        <f t="shared" ref="AU198:CD198" si="142">SUM(AU189:AU197)</f>
        <v>-51</v>
      </c>
      <c r="AV198" s="152">
        <f t="shared" si="142"/>
        <v>-94</v>
      </c>
      <c r="AW198" s="152">
        <f t="shared" si="142"/>
        <v>3066</v>
      </c>
      <c r="AX198" s="152">
        <f t="shared" si="142"/>
        <v>62</v>
      </c>
      <c r="AY198" s="152">
        <f t="shared" si="142"/>
        <v>45</v>
      </c>
      <c r="AZ198" s="154">
        <f t="shared" si="142"/>
        <v>3079</v>
      </c>
      <c r="BA198" s="152">
        <f t="shared" si="142"/>
        <v>113</v>
      </c>
      <c r="BB198" s="152">
        <f t="shared" si="142"/>
        <v>544</v>
      </c>
      <c r="BC198" s="152">
        <f t="shared" si="142"/>
        <v>238</v>
      </c>
      <c r="BD198" s="152">
        <f t="shared" si="142"/>
        <v>1143</v>
      </c>
      <c r="BE198" s="154">
        <f t="shared" si="142"/>
        <v>2038</v>
      </c>
      <c r="BF198" s="152">
        <f t="shared" si="142"/>
        <v>-54</v>
      </c>
      <c r="BG198" s="152">
        <f t="shared" si="142"/>
        <v>1042</v>
      </c>
      <c r="BH198" s="152">
        <f t="shared" si="142"/>
        <v>1439</v>
      </c>
      <c r="BI198" s="152">
        <f t="shared" si="142"/>
        <v>1657</v>
      </c>
      <c r="BJ198" s="154">
        <f t="shared" si="142"/>
        <v>4084</v>
      </c>
      <c r="BK198" s="152">
        <f t="shared" si="142"/>
        <v>793</v>
      </c>
      <c r="BL198" s="155">
        <f t="shared" si="142"/>
        <v>-400</v>
      </c>
      <c r="BM198" s="155">
        <f t="shared" si="142"/>
        <v>-400</v>
      </c>
      <c r="BN198" s="155">
        <f t="shared" si="142"/>
        <v>-400</v>
      </c>
      <c r="BO198" s="154">
        <f t="shared" si="142"/>
        <v>-407</v>
      </c>
      <c r="BP198" s="155">
        <f t="shared" si="142"/>
        <v>-400</v>
      </c>
      <c r="BQ198" s="155">
        <f t="shared" si="142"/>
        <v>-400</v>
      </c>
      <c r="BR198" s="155">
        <f t="shared" si="142"/>
        <v>-400</v>
      </c>
      <c r="BS198" s="155">
        <f t="shared" si="142"/>
        <v>-400</v>
      </c>
      <c r="BT198" s="154">
        <f t="shared" si="142"/>
        <v>-1600</v>
      </c>
      <c r="BU198" s="155">
        <f t="shared" si="142"/>
        <v>-500</v>
      </c>
      <c r="BV198" s="155">
        <f t="shared" si="142"/>
        <v>-500</v>
      </c>
      <c r="BW198" s="155">
        <f t="shared" si="142"/>
        <v>-500</v>
      </c>
      <c r="BX198" s="155">
        <f t="shared" si="142"/>
        <v>-500</v>
      </c>
      <c r="BY198" s="154">
        <f t="shared" si="142"/>
        <v>-2000</v>
      </c>
      <c r="BZ198" s="155">
        <f t="shared" si="142"/>
        <v>-500</v>
      </c>
      <c r="CA198" s="155">
        <f t="shared" si="142"/>
        <v>-500</v>
      </c>
      <c r="CB198" s="155">
        <f t="shared" si="142"/>
        <v>-500</v>
      </c>
      <c r="CC198" s="155">
        <f t="shared" si="142"/>
        <v>-500</v>
      </c>
      <c r="CD198" s="154">
        <f t="shared" si="142"/>
        <v>-2000</v>
      </c>
      <c r="CE198" s="371"/>
      <c r="CL198" s="436"/>
    </row>
    <row r="199" spans="1:92" ht="13.5" customHeight="1">
      <c r="A199" s="371"/>
      <c r="B199" s="373" t="s">
        <v>209</v>
      </c>
      <c r="C199" s="196"/>
      <c r="D199" s="196"/>
      <c r="E199" s="196"/>
      <c r="F199" s="196"/>
      <c r="G199" s="168"/>
      <c r="H199" s="196"/>
      <c r="I199" s="196"/>
      <c r="J199" s="196"/>
      <c r="K199" s="196"/>
      <c r="L199" s="168"/>
      <c r="M199" s="196"/>
      <c r="N199" s="196"/>
      <c r="O199" s="196"/>
      <c r="P199" s="196"/>
      <c r="Q199" s="168"/>
      <c r="R199" s="196"/>
      <c r="S199" s="196"/>
      <c r="T199" s="196"/>
      <c r="U199" s="196"/>
      <c r="V199" s="168"/>
      <c r="W199" s="196"/>
      <c r="X199" s="196"/>
      <c r="Y199" s="196"/>
      <c r="Z199" s="196"/>
      <c r="AA199" s="168"/>
      <c r="AB199" s="196"/>
      <c r="AC199" s="196"/>
      <c r="AD199" s="196"/>
      <c r="AE199" s="196"/>
      <c r="AF199" s="168"/>
      <c r="AG199" s="196"/>
      <c r="AH199" s="196"/>
      <c r="AI199" s="196"/>
      <c r="AJ199" s="196"/>
      <c r="AK199" s="169">
        <v>-1</v>
      </c>
      <c r="AL199" s="116"/>
      <c r="AM199" s="116"/>
      <c r="AN199" s="116"/>
      <c r="AO199" s="116"/>
      <c r="AP199" s="169">
        <v>3</v>
      </c>
      <c r="AQ199" s="116"/>
      <c r="AR199" s="116"/>
      <c r="AS199" s="116">
        <v>-17</v>
      </c>
      <c r="AT199" s="170"/>
      <c r="AU199" s="169">
        <v>-26</v>
      </c>
      <c r="AV199" s="167">
        <f>-32</f>
        <v>-32</v>
      </c>
      <c r="AW199" s="167">
        <f>-25-AV199</f>
        <v>7</v>
      </c>
      <c r="AX199" s="167">
        <v>-16</v>
      </c>
      <c r="AY199" s="167">
        <v>-3</v>
      </c>
      <c r="AZ199" s="144">
        <f>SUM(AV199:AY199)</f>
        <v>-44</v>
      </c>
      <c r="BA199" s="167">
        <v>14</v>
      </c>
      <c r="BB199" s="167">
        <v>1</v>
      </c>
      <c r="BC199" s="167">
        <v>1</v>
      </c>
      <c r="BD199" s="167">
        <v>-16</v>
      </c>
      <c r="BE199" s="144">
        <f>SUM(BA199:BD199)</f>
        <v>0</v>
      </c>
      <c r="BF199" s="167">
        <v>11</v>
      </c>
      <c r="BG199" s="167">
        <v>12</v>
      </c>
      <c r="BH199" s="167">
        <v>12</v>
      </c>
      <c r="BI199" s="167">
        <v>1</v>
      </c>
      <c r="BJ199" s="144">
        <f>SUM(BF199:BI199)</f>
        <v>36</v>
      </c>
      <c r="BK199" s="167">
        <v>-7</v>
      </c>
      <c r="BL199" s="170">
        <v>0</v>
      </c>
      <c r="BM199" s="170">
        <v>0</v>
      </c>
      <c r="BN199" s="170">
        <v>0</v>
      </c>
      <c r="BO199" s="144">
        <f>SUM(BK199:BN199)</f>
        <v>-7</v>
      </c>
      <c r="BP199" s="170">
        <v>0</v>
      </c>
      <c r="BQ199" s="170">
        <v>0</v>
      </c>
      <c r="BR199" s="170">
        <v>0</v>
      </c>
      <c r="BS199" s="170">
        <v>0</v>
      </c>
      <c r="BT199" s="144">
        <f>SUM(BP199:BS199)</f>
        <v>0</v>
      </c>
      <c r="BU199" s="170">
        <v>0</v>
      </c>
      <c r="BV199" s="170">
        <v>0</v>
      </c>
      <c r="BW199" s="170">
        <v>0</v>
      </c>
      <c r="BX199" s="170">
        <v>0</v>
      </c>
      <c r="BY199" s="144">
        <f>SUM(BU199:BX199)</f>
        <v>0</v>
      </c>
      <c r="BZ199" s="170">
        <v>0</v>
      </c>
      <c r="CA199" s="170">
        <v>0</v>
      </c>
      <c r="CB199" s="170">
        <v>0</v>
      </c>
      <c r="CC199" s="170">
        <v>0</v>
      </c>
      <c r="CD199" s="144">
        <f>SUM(BZ199:CC199)</f>
        <v>0</v>
      </c>
      <c r="CE199" s="371"/>
      <c r="CL199" s="436"/>
      <c r="CM199" s="160"/>
    </row>
    <row r="200" spans="1:92" ht="13.5" customHeight="1" thickBot="1">
      <c r="A200" s="362"/>
      <c r="B200" s="383" t="s">
        <v>210</v>
      </c>
      <c r="C200" s="266"/>
      <c r="D200" s="266"/>
      <c r="E200" s="266"/>
      <c r="F200" s="266"/>
      <c r="G200" s="384"/>
      <c r="H200" s="266"/>
      <c r="I200" s="266"/>
      <c r="J200" s="266"/>
      <c r="K200" s="266"/>
      <c r="L200" s="384"/>
      <c r="M200" s="266"/>
      <c r="N200" s="266"/>
      <c r="O200" s="266"/>
      <c r="P200" s="266"/>
      <c r="Q200" s="384"/>
      <c r="R200" s="266"/>
      <c r="S200" s="266"/>
      <c r="T200" s="266"/>
      <c r="U200" s="266"/>
      <c r="V200" s="384"/>
      <c r="W200" s="266"/>
      <c r="X200" s="266"/>
      <c r="Y200" s="266"/>
      <c r="Z200" s="266"/>
      <c r="AA200" s="384"/>
      <c r="AB200" s="266"/>
      <c r="AC200" s="266"/>
      <c r="AD200" s="266"/>
      <c r="AE200" s="266"/>
      <c r="AF200" s="384"/>
      <c r="AG200" s="266"/>
      <c r="AH200" s="266"/>
      <c r="AI200" s="266"/>
      <c r="AJ200" s="266"/>
      <c r="AK200" s="385">
        <f>AK177+AK186+AK198+AK199</f>
        <v>-172</v>
      </c>
      <c r="AL200" s="386"/>
      <c r="AM200" s="386"/>
      <c r="AN200" s="386"/>
      <c r="AO200" s="386"/>
      <c r="AP200" s="385">
        <f>AP177+AP186+AP198+AP199</f>
        <v>190</v>
      </c>
      <c r="AQ200" s="386"/>
      <c r="AR200" s="266">
        <f>AR177+AR186+AR198+AR199</f>
        <v>492</v>
      </c>
      <c r="AS200" s="266">
        <f>AS177+AS186+AS198+AS199</f>
        <v>163</v>
      </c>
      <c r="AT200" s="386"/>
      <c r="AU200" s="385">
        <f t="shared" ref="AU200:CD200" si="143">AU177+AU186+AU198+AU199</f>
        <v>597</v>
      </c>
      <c r="AV200" s="266">
        <f t="shared" si="143"/>
        <v>164</v>
      </c>
      <c r="AW200" s="266">
        <f t="shared" si="143"/>
        <v>197</v>
      </c>
      <c r="AX200" s="266">
        <f t="shared" si="143"/>
        <v>-682</v>
      </c>
      <c r="AY200" s="266">
        <f t="shared" si="143"/>
        <v>-487</v>
      </c>
      <c r="AZ200" s="385">
        <f t="shared" si="143"/>
        <v>-808</v>
      </c>
      <c r="BA200" s="266">
        <f t="shared" si="143"/>
        <v>1190</v>
      </c>
      <c r="BB200" s="266">
        <f t="shared" si="143"/>
        <v>-565</v>
      </c>
      <c r="BC200" s="266">
        <f t="shared" si="143"/>
        <v>-649</v>
      </c>
      <c r="BD200" s="266">
        <f t="shared" si="143"/>
        <v>221</v>
      </c>
      <c r="BE200" s="385">
        <f t="shared" si="143"/>
        <v>197</v>
      </c>
      <c r="BF200" s="266">
        <f t="shared" si="143"/>
        <v>-350</v>
      </c>
      <c r="BG200" s="266">
        <f t="shared" si="143"/>
        <v>31</v>
      </c>
      <c r="BH200" s="266">
        <f t="shared" si="143"/>
        <v>1059</v>
      </c>
      <c r="BI200" s="266">
        <f t="shared" si="143"/>
        <v>553</v>
      </c>
      <c r="BJ200" s="385">
        <f t="shared" si="143"/>
        <v>1293</v>
      </c>
      <c r="BK200" s="266">
        <f t="shared" si="143"/>
        <v>442</v>
      </c>
      <c r="BL200" s="386">
        <f t="shared" si="143"/>
        <v>344.07673378221091</v>
      </c>
      <c r="BM200" s="386">
        <f t="shared" si="143"/>
        <v>6512.986697927493</v>
      </c>
      <c r="BN200" s="386">
        <f t="shared" si="143"/>
        <v>405.78140438554726</v>
      </c>
      <c r="BO200" s="385">
        <f t="shared" si="143"/>
        <v>7704.8448360952516</v>
      </c>
      <c r="BP200" s="386">
        <f t="shared" si="143"/>
        <v>-125.29030461856348</v>
      </c>
      <c r="BQ200" s="386">
        <f t="shared" si="143"/>
        <v>545.83703740768965</v>
      </c>
      <c r="BR200" s="386">
        <f t="shared" si="143"/>
        <v>541.64148600652402</v>
      </c>
      <c r="BS200" s="386">
        <f t="shared" si="143"/>
        <v>931.77768348980385</v>
      </c>
      <c r="BT200" s="385">
        <f t="shared" si="143"/>
        <v>1893.9659022854548</v>
      </c>
      <c r="BU200" s="386">
        <f t="shared" si="143"/>
        <v>472.83385566506672</v>
      </c>
      <c r="BV200" s="386">
        <f t="shared" si="143"/>
        <v>659.93073643926687</v>
      </c>
      <c r="BW200" s="386">
        <f t="shared" si="143"/>
        <v>596.02992269542528</v>
      </c>
      <c r="BX200" s="386">
        <f t="shared" si="143"/>
        <v>1109.9987068030619</v>
      </c>
      <c r="BY200" s="385">
        <f t="shared" si="143"/>
        <v>2838.7932216028203</v>
      </c>
      <c r="BZ200" s="386">
        <f t="shared" si="143"/>
        <v>582.48508646858795</v>
      </c>
      <c r="CA200" s="386">
        <f t="shared" si="143"/>
        <v>886.41470251258738</v>
      </c>
      <c r="CB200" s="386">
        <f t="shared" si="143"/>
        <v>844.25858714651349</v>
      </c>
      <c r="CC200" s="386">
        <f t="shared" si="143"/>
        <v>1446.3829959078093</v>
      </c>
      <c r="CD200" s="385">
        <f t="shared" si="143"/>
        <v>3759.5413720354973</v>
      </c>
      <c r="CE200" s="371"/>
      <c r="CL200" s="436"/>
    </row>
    <row r="201" spans="1:92" ht="13.5" customHeight="1" thickTop="1">
      <c r="A201" s="362"/>
      <c r="B201" s="387"/>
      <c r="C201" s="229"/>
      <c r="D201" s="229"/>
      <c r="E201" s="229"/>
      <c r="F201" s="229"/>
      <c r="G201" s="365"/>
      <c r="H201" s="229"/>
      <c r="I201" s="229"/>
      <c r="J201" s="229"/>
      <c r="K201" s="229"/>
      <c r="L201" s="365"/>
      <c r="M201" s="229"/>
      <c r="N201" s="229"/>
      <c r="O201" s="229"/>
      <c r="P201" s="229"/>
      <c r="Q201" s="365"/>
      <c r="R201" s="229"/>
      <c r="S201" s="229"/>
      <c r="T201" s="229"/>
      <c r="U201" s="229"/>
      <c r="V201" s="365"/>
      <c r="W201" s="229"/>
      <c r="X201" s="229"/>
      <c r="Y201" s="229"/>
      <c r="Z201" s="229"/>
      <c r="AA201" s="365"/>
      <c r="AB201" s="229"/>
      <c r="AC201" s="229"/>
      <c r="AD201" s="229"/>
      <c r="AE201" s="229"/>
      <c r="AF201" s="365"/>
      <c r="AG201" s="229"/>
      <c r="AH201" s="229"/>
      <c r="AI201" s="229"/>
      <c r="AJ201" s="229"/>
      <c r="AK201" s="368"/>
      <c r="AL201" s="232"/>
      <c r="AM201" s="232"/>
      <c r="AN201" s="232"/>
      <c r="AO201" s="232"/>
      <c r="AP201" s="368"/>
      <c r="AQ201" s="232"/>
      <c r="AR201" s="232"/>
      <c r="AS201" s="232"/>
      <c r="AT201" s="232"/>
      <c r="AU201" s="368"/>
      <c r="AV201" s="232"/>
      <c r="AW201" s="232"/>
      <c r="AX201" s="232"/>
      <c r="AY201" s="232"/>
      <c r="AZ201" s="368"/>
      <c r="BA201" s="232"/>
      <c r="BB201" s="232"/>
      <c r="BC201" s="232"/>
      <c r="BD201" s="232"/>
      <c r="BE201" s="368"/>
      <c r="BF201" s="232"/>
      <c r="BG201" s="232"/>
      <c r="BH201" s="232"/>
      <c r="BI201" s="232"/>
      <c r="BJ201" s="368"/>
      <c r="BK201" s="232"/>
      <c r="BL201" s="232"/>
      <c r="BM201" s="232"/>
      <c r="BN201" s="232"/>
      <c r="BO201" s="368"/>
      <c r="BP201" s="232"/>
      <c r="BQ201" s="232"/>
      <c r="BR201" s="232"/>
      <c r="BS201" s="232"/>
      <c r="BT201" s="368"/>
      <c r="BU201" s="232"/>
      <c r="BV201" s="232"/>
      <c r="BW201" s="232"/>
      <c r="BX201" s="232"/>
      <c r="BY201" s="368"/>
      <c r="BZ201" s="232"/>
      <c r="CA201" s="232"/>
      <c r="CB201" s="232"/>
      <c r="CC201" s="232"/>
      <c r="CD201" s="368"/>
      <c r="CE201" s="371"/>
      <c r="CL201" s="436"/>
      <c r="CN201" s="1262">
        <f>+BM204-BL204</f>
        <v>6512.9866979274921</v>
      </c>
    </row>
    <row r="202" spans="1:92" ht="13.5" customHeight="1">
      <c r="A202" s="371"/>
      <c r="B202" s="388" t="s">
        <v>211</v>
      </c>
      <c r="C202" s="142"/>
      <c r="D202" s="142"/>
      <c r="E202" s="142"/>
      <c r="F202" s="142"/>
      <c r="G202" s="168"/>
      <c r="H202" s="142"/>
      <c r="I202" s="142"/>
      <c r="J202" s="142"/>
      <c r="K202" s="142"/>
      <c r="L202" s="168"/>
      <c r="M202" s="142"/>
      <c r="N202" s="142"/>
      <c r="O202" s="142"/>
      <c r="P202" s="142"/>
      <c r="Q202" s="168"/>
      <c r="R202" s="142"/>
      <c r="S202" s="142"/>
      <c r="T202" s="142"/>
      <c r="U202" s="142"/>
      <c r="V202" s="168"/>
      <c r="W202" s="142"/>
      <c r="X202" s="142"/>
      <c r="Y202" s="142"/>
      <c r="Z202" s="142"/>
      <c r="AA202" s="168"/>
      <c r="AB202" s="142"/>
      <c r="AC202" s="142"/>
      <c r="AD202" s="142"/>
      <c r="AE202" s="142"/>
      <c r="AF202" s="168"/>
      <c r="AG202" s="142"/>
      <c r="AH202" s="142"/>
      <c r="AI202" s="142"/>
      <c r="AJ202" s="142"/>
      <c r="AK202" s="169">
        <v>1586</v>
      </c>
      <c r="AL202" s="145"/>
      <c r="AM202" s="145"/>
      <c r="AN202" s="145"/>
      <c r="AO202" s="145"/>
      <c r="AP202" s="144">
        <f>AK204</f>
        <v>1414</v>
      </c>
      <c r="AQ202" s="145"/>
      <c r="AR202" s="145">
        <f>AP204</f>
        <v>1604</v>
      </c>
      <c r="AS202" s="145">
        <f>AR204</f>
        <v>2096</v>
      </c>
      <c r="AT202" s="145"/>
      <c r="AU202" s="144">
        <f>AP204</f>
        <v>1604</v>
      </c>
      <c r="AV202" s="145">
        <f>AU204</f>
        <v>2201</v>
      </c>
      <c r="AW202" s="145">
        <f>AV204</f>
        <v>2365</v>
      </c>
      <c r="AX202" s="145">
        <f>AW204</f>
        <v>2562</v>
      </c>
      <c r="AY202" s="145">
        <f>AX204</f>
        <v>1880</v>
      </c>
      <c r="AZ202" s="144">
        <f>AV202</f>
        <v>2201</v>
      </c>
      <c r="BA202" s="145">
        <f>AZ204</f>
        <v>1393</v>
      </c>
      <c r="BB202" s="145">
        <f>BA204</f>
        <v>2583</v>
      </c>
      <c r="BC202" s="145">
        <f>BB204</f>
        <v>2018</v>
      </c>
      <c r="BD202" s="145">
        <f>BC204</f>
        <v>1369</v>
      </c>
      <c r="BE202" s="144">
        <f>BA202</f>
        <v>1393</v>
      </c>
      <c r="BF202" s="145">
        <f>BE204</f>
        <v>1590</v>
      </c>
      <c r="BG202" s="145">
        <f>BF204</f>
        <v>1240</v>
      </c>
      <c r="BH202" s="145">
        <f>BG204</f>
        <v>1271</v>
      </c>
      <c r="BI202" s="145">
        <f>BH204</f>
        <v>2330</v>
      </c>
      <c r="BJ202" s="144">
        <f>BF202</f>
        <v>1590</v>
      </c>
      <c r="BK202" s="145">
        <f>BJ204</f>
        <v>2883</v>
      </c>
      <c r="BL202" s="145">
        <f>BK204</f>
        <v>2879</v>
      </c>
      <c r="BM202" s="145">
        <f>BL204</f>
        <v>3223.0767337822108</v>
      </c>
      <c r="BN202" s="145">
        <f>BM204</f>
        <v>9736.0634317097029</v>
      </c>
      <c r="BO202" s="144">
        <f>BK202</f>
        <v>2883</v>
      </c>
      <c r="BP202" s="145">
        <f>BO204</f>
        <v>10141.844836095252</v>
      </c>
      <c r="BQ202" s="145">
        <f>BP204</f>
        <v>10016.554531476688</v>
      </c>
      <c r="BR202" s="145">
        <f>BQ204</f>
        <v>10562.391568884377</v>
      </c>
      <c r="BS202" s="145">
        <f>BR204</f>
        <v>11104.033054890901</v>
      </c>
      <c r="BT202" s="144">
        <f>BP202</f>
        <v>10141.844836095252</v>
      </c>
      <c r="BU202" s="145">
        <f>BT204</f>
        <v>12035.810738380707</v>
      </c>
      <c r="BV202" s="145">
        <f>BU204</f>
        <v>12508.644594045774</v>
      </c>
      <c r="BW202" s="145">
        <f>BV204</f>
        <v>13168.57533048504</v>
      </c>
      <c r="BX202" s="145">
        <f>BW204</f>
        <v>13764.605253180465</v>
      </c>
      <c r="BY202" s="144">
        <f>BU202</f>
        <v>12035.810738380707</v>
      </c>
      <c r="BZ202" s="145">
        <f>BY204</f>
        <v>14874.603959983528</v>
      </c>
      <c r="CA202" s="145">
        <f>BZ204</f>
        <v>15457.089046452116</v>
      </c>
      <c r="CB202" s="145">
        <f>CA204</f>
        <v>16343.503748964704</v>
      </c>
      <c r="CC202" s="145">
        <f>CB204</f>
        <v>17187.762336111216</v>
      </c>
      <c r="CD202" s="144">
        <f>BZ202</f>
        <v>14874.603959983528</v>
      </c>
      <c r="CE202" s="371"/>
      <c r="CL202" s="436"/>
      <c r="CM202" s="160"/>
    </row>
    <row r="203" spans="1:92" ht="13.5" customHeight="1">
      <c r="A203" s="371"/>
      <c r="B203" s="1309" t="s">
        <v>637</v>
      </c>
      <c r="C203" s="142"/>
      <c r="D203" s="142"/>
      <c r="E203" s="142"/>
      <c r="F203" s="142"/>
      <c r="G203" s="168"/>
      <c r="H203" s="142"/>
      <c r="I203" s="142"/>
      <c r="J203" s="142"/>
      <c r="K203" s="142"/>
      <c r="L203" s="168"/>
      <c r="M203" s="142"/>
      <c r="N203" s="142"/>
      <c r="O203" s="142"/>
      <c r="P203" s="142"/>
      <c r="Q203" s="168"/>
      <c r="R203" s="142"/>
      <c r="S203" s="142"/>
      <c r="T203" s="142"/>
      <c r="U203" s="142"/>
      <c r="V203" s="168"/>
      <c r="W203" s="142"/>
      <c r="X203" s="142"/>
      <c r="Y203" s="142"/>
      <c r="Z203" s="142"/>
      <c r="AA203" s="168"/>
      <c r="AB203" s="142"/>
      <c r="AC203" s="142"/>
      <c r="AD203" s="142"/>
      <c r="AE203" s="142"/>
      <c r="AF203" s="168"/>
      <c r="AG203" s="142"/>
      <c r="AH203" s="142"/>
      <c r="AI203" s="142"/>
      <c r="AJ203" s="142"/>
      <c r="AK203" s="169"/>
      <c r="AL203" s="145"/>
      <c r="AM203" s="145"/>
      <c r="AN203" s="145"/>
      <c r="AO203" s="145"/>
      <c r="AP203" s="144"/>
      <c r="AQ203" s="145"/>
      <c r="AR203" s="145"/>
      <c r="AS203" s="145"/>
      <c r="AT203" s="145"/>
      <c r="AU203" s="144"/>
      <c r="AV203" s="145"/>
      <c r="AW203" s="145"/>
      <c r="AX203" s="145"/>
      <c r="AY203" s="145"/>
      <c r="AZ203" s="144"/>
      <c r="BA203" s="145"/>
      <c r="BB203" s="145"/>
      <c r="BC203" s="145"/>
      <c r="BD203" s="145"/>
      <c r="BE203" s="144"/>
      <c r="BF203" s="145"/>
      <c r="BG203" s="145"/>
      <c r="BH203" s="145"/>
      <c r="BI203" s="145"/>
      <c r="BJ203" s="144"/>
      <c r="BK203" s="145">
        <v>-446</v>
      </c>
      <c r="BL203" s="145"/>
      <c r="BM203" s="145"/>
      <c r="BN203" s="145"/>
      <c r="BO203" s="144">
        <f>SUM(BK203:BN203)</f>
        <v>-446</v>
      </c>
      <c r="BP203" s="145"/>
      <c r="BQ203" s="145"/>
      <c r="BR203" s="145"/>
      <c r="BS203" s="145"/>
      <c r="BT203" s="144"/>
      <c r="BU203" s="145"/>
      <c r="BV203" s="145"/>
      <c r="BW203" s="145"/>
      <c r="BX203" s="145"/>
      <c r="BY203" s="144"/>
      <c r="BZ203" s="145"/>
      <c r="CA203" s="145"/>
      <c r="CB203" s="145"/>
      <c r="CC203" s="145"/>
      <c r="CD203" s="144"/>
      <c r="CE203" s="371"/>
      <c r="CL203" s="436"/>
      <c r="CM203" s="160"/>
    </row>
    <row r="204" spans="1:92" ht="13.5" customHeight="1">
      <c r="A204" s="362"/>
      <c r="B204" s="389" t="s">
        <v>212</v>
      </c>
      <c r="C204" s="229"/>
      <c r="D204" s="229"/>
      <c r="E204" s="229"/>
      <c r="F204" s="229"/>
      <c r="G204" s="365"/>
      <c r="H204" s="229"/>
      <c r="I204" s="229"/>
      <c r="J204" s="229"/>
      <c r="K204" s="229"/>
      <c r="L204" s="365"/>
      <c r="M204" s="229"/>
      <c r="N204" s="229"/>
      <c r="O204" s="229"/>
      <c r="P204" s="229"/>
      <c r="Q204" s="365"/>
      <c r="R204" s="229"/>
      <c r="S204" s="229"/>
      <c r="T204" s="229"/>
      <c r="U204" s="229"/>
      <c r="V204" s="365"/>
      <c r="W204" s="229"/>
      <c r="X204" s="229"/>
      <c r="Y204" s="229"/>
      <c r="Z204" s="229"/>
      <c r="AA204" s="365"/>
      <c r="AB204" s="229"/>
      <c r="AC204" s="229"/>
      <c r="AD204" s="229"/>
      <c r="AE204" s="229"/>
      <c r="AF204" s="365"/>
      <c r="AG204" s="229"/>
      <c r="AH204" s="229"/>
      <c r="AI204" s="229"/>
      <c r="AJ204" s="229"/>
      <c r="AK204" s="368">
        <f>AK202+AK200</f>
        <v>1414</v>
      </c>
      <c r="AL204" s="232"/>
      <c r="AM204" s="232"/>
      <c r="AN204" s="232"/>
      <c r="AO204" s="232"/>
      <c r="AP204" s="368">
        <f>AP202+AP200</f>
        <v>1604</v>
      </c>
      <c r="AQ204" s="232"/>
      <c r="AR204" s="232">
        <f>AR200+AR202</f>
        <v>2096</v>
      </c>
      <c r="AS204" s="232">
        <f>AS200+AS202</f>
        <v>2259</v>
      </c>
      <c r="AT204" s="232"/>
      <c r="AU204" s="368">
        <f>AU202+AU200</f>
        <v>2201</v>
      </c>
      <c r="AV204" s="232">
        <f>AV200+AV202</f>
        <v>2365</v>
      </c>
      <c r="AW204" s="232">
        <f>AW200+AW202</f>
        <v>2562</v>
      </c>
      <c r="AX204" s="232">
        <f>AX200+AX202</f>
        <v>1880</v>
      </c>
      <c r="AY204" s="232">
        <f>AY200+AY202</f>
        <v>1393</v>
      </c>
      <c r="AZ204" s="368">
        <f>AZ200+AZ202</f>
        <v>1393</v>
      </c>
      <c r="BA204" s="232">
        <f t="shared" ref="BA204:CD204" si="144">BA200+BA202</f>
        <v>2583</v>
      </c>
      <c r="BB204" s="232">
        <f t="shared" si="144"/>
        <v>2018</v>
      </c>
      <c r="BC204" s="232">
        <f t="shared" si="144"/>
        <v>1369</v>
      </c>
      <c r="BD204" s="232">
        <f>BD200+BD202</f>
        <v>1590</v>
      </c>
      <c r="BE204" s="368">
        <f>BE200+BE202</f>
        <v>1590</v>
      </c>
      <c r="BF204" s="232">
        <f t="shared" ref="BF204:BI204" si="145">BF200+BF202</f>
        <v>1240</v>
      </c>
      <c r="BG204" s="232">
        <f t="shared" si="145"/>
        <v>1271</v>
      </c>
      <c r="BH204" s="232">
        <f t="shared" si="145"/>
        <v>2330</v>
      </c>
      <c r="BI204" s="232">
        <f t="shared" si="145"/>
        <v>2883</v>
      </c>
      <c r="BJ204" s="368">
        <f t="shared" si="144"/>
        <v>2883</v>
      </c>
      <c r="BK204" s="232">
        <f>BK200+BK202+BK203</f>
        <v>2879</v>
      </c>
      <c r="BL204" s="232">
        <f t="shared" si="144"/>
        <v>3223.0767337822108</v>
      </c>
      <c r="BM204" s="232">
        <f t="shared" si="144"/>
        <v>9736.0634317097029</v>
      </c>
      <c r="BN204" s="232">
        <f t="shared" si="144"/>
        <v>10141.84483609525</v>
      </c>
      <c r="BO204" s="368">
        <f>BO200+BO202+BO203</f>
        <v>10141.844836095252</v>
      </c>
      <c r="BP204" s="232">
        <f t="shared" si="144"/>
        <v>10016.554531476688</v>
      </c>
      <c r="BQ204" s="232">
        <f t="shared" si="144"/>
        <v>10562.391568884377</v>
      </c>
      <c r="BR204" s="232">
        <f t="shared" si="144"/>
        <v>11104.033054890901</v>
      </c>
      <c r="BS204" s="232">
        <f t="shared" si="144"/>
        <v>12035.810738380704</v>
      </c>
      <c r="BT204" s="368">
        <f t="shared" si="144"/>
        <v>12035.810738380707</v>
      </c>
      <c r="BU204" s="232">
        <f t="shared" si="144"/>
        <v>12508.644594045774</v>
      </c>
      <c r="BV204" s="232">
        <f t="shared" si="144"/>
        <v>13168.57533048504</v>
      </c>
      <c r="BW204" s="232">
        <f t="shared" si="144"/>
        <v>13764.605253180465</v>
      </c>
      <c r="BX204" s="232">
        <f t="shared" si="144"/>
        <v>14874.603959983528</v>
      </c>
      <c r="BY204" s="368">
        <f t="shared" si="144"/>
        <v>14874.603959983528</v>
      </c>
      <c r="BZ204" s="232">
        <f t="shared" si="144"/>
        <v>15457.089046452116</v>
      </c>
      <c r="CA204" s="232">
        <f t="shared" si="144"/>
        <v>16343.503748964704</v>
      </c>
      <c r="CB204" s="232">
        <f t="shared" si="144"/>
        <v>17187.762336111216</v>
      </c>
      <c r="CC204" s="232">
        <f t="shared" si="144"/>
        <v>18634.145332019027</v>
      </c>
      <c r="CD204" s="368">
        <f t="shared" si="144"/>
        <v>18634.145332019027</v>
      </c>
      <c r="CE204" s="371"/>
      <c r="CL204" s="436"/>
    </row>
    <row r="205" spans="1:92" ht="13.5" customHeight="1">
      <c r="A205" s="362"/>
      <c r="B205" s="228"/>
      <c r="C205" s="229"/>
      <c r="D205" s="229"/>
      <c r="E205" s="229"/>
      <c r="F205" s="229"/>
      <c r="G205" s="365"/>
      <c r="H205" s="229"/>
      <c r="I205" s="229"/>
      <c r="J205" s="229"/>
      <c r="K205" s="229"/>
      <c r="L205" s="365"/>
      <c r="M205" s="229"/>
      <c r="N205" s="229"/>
      <c r="O205" s="229"/>
      <c r="P205" s="229"/>
      <c r="Q205" s="365"/>
      <c r="R205" s="229"/>
      <c r="S205" s="229"/>
      <c r="T205" s="229"/>
      <c r="U205" s="229"/>
      <c r="V205" s="365"/>
      <c r="W205" s="229"/>
      <c r="X205" s="229"/>
      <c r="Y205" s="229"/>
      <c r="Z205" s="229"/>
      <c r="AA205" s="365"/>
      <c r="AB205" s="229"/>
      <c r="AC205" s="229"/>
      <c r="AD205" s="229"/>
      <c r="AE205" s="229"/>
      <c r="AF205" s="365"/>
      <c r="AG205" s="229"/>
      <c r="AH205" s="229"/>
      <c r="AI205" s="229"/>
      <c r="AJ205" s="229"/>
      <c r="AK205" s="368"/>
      <c r="AL205" s="232"/>
      <c r="AM205" s="232"/>
      <c r="AN205" s="232"/>
      <c r="AO205" s="232"/>
      <c r="AP205" s="368"/>
      <c r="AQ205" s="232"/>
      <c r="AR205" s="232"/>
      <c r="AS205" s="232"/>
      <c r="AT205" s="232"/>
      <c r="AU205" s="368"/>
      <c r="AV205" s="232"/>
      <c r="AW205" s="232"/>
      <c r="AX205" s="232"/>
      <c r="AY205" s="232"/>
      <c r="AZ205" s="368"/>
      <c r="BA205" s="232"/>
      <c r="BB205" s="232"/>
      <c r="BC205" s="232"/>
      <c r="BD205" s="232"/>
      <c r="BE205" s="368"/>
      <c r="BF205" s="232"/>
      <c r="BG205" s="232"/>
      <c r="BH205" s="232"/>
      <c r="BI205" s="232"/>
      <c r="BJ205" s="368"/>
      <c r="BK205" s="232"/>
      <c r="BL205" s="232"/>
      <c r="BM205" s="232"/>
      <c r="BN205" s="232"/>
      <c r="BO205" s="368"/>
      <c r="BP205" s="232"/>
      <c r="BQ205" s="232"/>
      <c r="BR205" s="232"/>
      <c r="BS205" s="232"/>
      <c r="BT205" s="368"/>
      <c r="BU205" s="232"/>
      <c r="BV205" s="232"/>
      <c r="BW205" s="232"/>
      <c r="BX205" s="232"/>
      <c r="BY205" s="368"/>
      <c r="BZ205" s="232"/>
      <c r="CA205" s="232"/>
      <c r="CB205" s="232"/>
      <c r="CC205" s="232"/>
      <c r="CD205" s="368"/>
      <c r="CE205" s="362"/>
      <c r="CL205" s="160"/>
      <c r="CM205" s="160"/>
    </row>
    <row r="206" spans="1:92" ht="13.5" customHeight="1" outlineLevel="1">
      <c r="A206" s="390"/>
      <c r="B206" s="391" t="s">
        <v>213</v>
      </c>
      <c r="C206" s="392"/>
      <c r="D206" s="393"/>
      <c r="E206" s="393"/>
      <c r="F206" s="393"/>
      <c r="G206" s="394"/>
      <c r="H206" s="392"/>
      <c r="I206" s="393"/>
      <c r="J206" s="393"/>
      <c r="K206" s="393"/>
      <c r="L206" s="394"/>
      <c r="M206" s="392"/>
      <c r="N206" s="393"/>
      <c r="O206" s="393"/>
      <c r="P206" s="393"/>
      <c r="Q206" s="394"/>
      <c r="R206" s="392"/>
      <c r="S206" s="393"/>
      <c r="T206" s="393"/>
      <c r="U206" s="393"/>
      <c r="V206" s="394"/>
      <c r="W206" s="392"/>
      <c r="X206" s="393"/>
      <c r="Y206" s="393"/>
      <c r="Z206" s="393"/>
      <c r="AA206" s="394"/>
      <c r="AB206" s="392"/>
      <c r="AC206" s="393"/>
      <c r="AD206" s="393"/>
      <c r="AE206" s="393"/>
      <c r="AF206" s="394"/>
      <c r="AG206" s="392"/>
      <c r="AH206" s="393"/>
      <c r="AI206" s="393"/>
      <c r="AJ206" s="393"/>
      <c r="AK206" s="395"/>
      <c r="AL206" s="396"/>
      <c r="AM206" s="397"/>
      <c r="AN206" s="397"/>
      <c r="AO206" s="397"/>
      <c r="AP206" s="395">
        <f>ROUND(AP204-AP220,3)</f>
        <v>0</v>
      </c>
      <c r="AQ206" s="396"/>
      <c r="AR206" s="396"/>
      <c r="AS206" s="396"/>
      <c r="AT206" s="396"/>
      <c r="AU206" s="395">
        <f>ROUND(AU204-AU220,3)</f>
        <v>0</v>
      </c>
      <c r="AV206" s="396">
        <f>ROUND(AV204-AV220,3)</f>
        <v>0</v>
      </c>
      <c r="AW206" s="396">
        <f t="shared" ref="AW206:CD206" si="146">ROUND(AW204-AW220,3)</f>
        <v>0</v>
      </c>
      <c r="AX206" s="396">
        <f t="shared" si="146"/>
        <v>0</v>
      </c>
      <c r="AY206" s="396">
        <f t="shared" si="146"/>
        <v>0</v>
      </c>
      <c r="AZ206" s="395">
        <f>ROUND(AZ204-AZ220,3)</f>
        <v>0</v>
      </c>
      <c r="BA206" s="396">
        <f t="shared" si="146"/>
        <v>0</v>
      </c>
      <c r="BB206" s="396">
        <f t="shared" si="146"/>
        <v>0</v>
      </c>
      <c r="BC206" s="396">
        <f t="shared" si="146"/>
        <v>0</v>
      </c>
      <c r="BD206" s="396">
        <f t="shared" si="146"/>
        <v>0</v>
      </c>
      <c r="BE206" s="395">
        <f t="shared" si="146"/>
        <v>0</v>
      </c>
      <c r="BF206" s="396">
        <f t="shared" si="146"/>
        <v>0</v>
      </c>
      <c r="BG206" s="396">
        <f t="shared" si="146"/>
        <v>0</v>
      </c>
      <c r="BH206" s="396">
        <f t="shared" si="146"/>
        <v>0</v>
      </c>
      <c r="BI206" s="396">
        <f t="shared" si="146"/>
        <v>0</v>
      </c>
      <c r="BJ206" s="395">
        <f t="shared" si="146"/>
        <v>0</v>
      </c>
      <c r="BK206" s="396">
        <f>ROUND(BK204-BK220,3)</f>
        <v>0</v>
      </c>
      <c r="BL206" s="396">
        <f t="shared" si="146"/>
        <v>0</v>
      </c>
      <c r="BM206" s="396">
        <f t="shared" si="146"/>
        <v>0</v>
      </c>
      <c r="BN206" s="396">
        <f t="shared" si="146"/>
        <v>0</v>
      </c>
      <c r="BO206" s="395">
        <f t="shared" si="146"/>
        <v>0</v>
      </c>
      <c r="BP206" s="396">
        <f t="shared" si="146"/>
        <v>0</v>
      </c>
      <c r="BQ206" s="396">
        <f t="shared" si="146"/>
        <v>0</v>
      </c>
      <c r="BR206" s="396">
        <f t="shared" si="146"/>
        <v>0</v>
      </c>
      <c r="BS206" s="396">
        <f t="shared" si="146"/>
        <v>0</v>
      </c>
      <c r="BT206" s="395">
        <f t="shared" si="146"/>
        <v>0</v>
      </c>
      <c r="BU206" s="396">
        <f t="shared" si="146"/>
        <v>0</v>
      </c>
      <c r="BV206" s="396">
        <f t="shared" si="146"/>
        <v>0</v>
      </c>
      <c r="BW206" s="396">
        <f t="shared" si="146"/>
        <v>0</v>
      </c>
      <c r="BX206" s="396">
        <f t="shared" si="146"/>
        <v>0</v>
      </c>
      <c r="BY206" s="395">
        <f t="shared" si="146"/>
        <v>0</v>
      </c>
      <c r="BZ206" s="396">
        <f t="shared" si="146"/>
        <v>0</v>
      </c>
      <c r="CA206" s="396">
        <f t="shared" si="146"/>
        <v>0</v>
      </c>
      <c r="CB206" s="396">
        <f t="shared" si="146"/>
        <v>0</v>
      </c>
      <c r="CC206" s="396">
        <f t="shared" si="146"/>
        <v>0</v>
      </c>
      <c r="CD206" s="395">
        <f t="shared" si="146"/>
        <v>0</v>
      </c>
      <c r="CE206" s="390"/>
    </row>
    <row r="207" spans="1:92" ht="13.5" customHeight="1" outlineLevel="1">
      <c r="A207" s="362"/>
      <c r="B207" s="228"/>
      <c r="C207" s="229"/>
      <c r="D207" s="229"/>
      <c r="E207" s="229"/>
      <c r="F207" s="398"/>
      <c r="G207" s="365"/>
      <c r="H207" s="229"/>
      <c r="I207" s="229"/>
      <c r="J207" s="229"/>
      <c r="K207" s="398"/>
      <c r="L207" s="365"/>
      <c r="M207" s="229"/>
      <c r="N207" s="229"/>
      <c r="O207" s="229"/>
      <c r="P207" s="398"/>
      <c r="Q207" s="365"/>
      <c r="R207" s="229"/>
      <c r="S207" s="229"/>
      <c r="T207" s="229"/>
      <c r="U207" s="398"/>
      <c r="V207" s="365"/>
      <c r="W207" s="229"/>
      <c r="X207" s="229"/>
      <c r="Y207" s="229"/>
      <c r="Z207" s="398"/>
      <c r="AA207" s="365"/>
      <c r="AB207" s="229"/>
      <c r="AC207" s="229"/>
      <c r="AD207" s="229"/>
      <c r="AE207" s="398"/>
      <c r="AF207" s="365"/>
      <c r="AG207" s="229"/>
      <c r="AH207" s="229"/>
      <c r="AI207" s="229"/>
      <c r="AJ207" s="398"/>
      <c r="AK207" s="368"/>
      <c r="AL207" s="232"/>
      <c r="AM207" s="232"/>
      <c r="AN207" s="232"/>
      <c r="AO207" s="399"/>
      <c r="AP207" s="400"/>
      <c r="AQ207" s="232"/>
      <c r="AR207" s="232"/>
      <c r="AS207" s="232"/>
      <c r="AT207" s="399"/>
      <c r="AU207" s="400"/>
      <c r="AV207" s="399"/>
      <c r="AW207" s="399"/>
      <c r="AX207" s="399"/>
      <c r="AY207" s="399"/>
      <c r="AZ207" s="400"/>
      <c r="BA207" s="399"/>
      <c r="BB207" s="399"/>
      <c r="BC207" s="399"/>
      <c r="BD207" s="399"/>
      <c r="BE207" s="400"/>
      <c r="BF207" s="399"/>
      <c r="BG207" s="399"/>
      <c r="BH207" s="399"/>
      <c r="BI207" s="399"/>
      <c r="BJ207" s="400"/>
      <c r="BK207" s="399"/>
      <c r="BL207" s="399"/>
      <c r="BM207" s="399"/>
      <c r="BN207" s="399"/>
      <c r="BO207" s="400"/>
      <c r="BP207" s="399"/>
      <c r="BQ207" s="399"/>
      <c r="BR207" s="399"/>
      <c r="BS207" s="399"/>
      <c r="BT207" s="400"/>
      <c r="BU207" s="399"/>
      <c r="BV207" s="399"/>
      <c r="BW207" s="399"/>
      <c r="BX207" s="399"/>
      <c r="BY207" s="400"/>
      <c r="BZ207" s="399"/>
      <c r="CA207" s="399"/>
      <c r="CB207" s="399"/>
      <c r="CC207" s="399"/>
      <c r="CD207" s="400"/>
      <c r="CE207" s="362"/>
    </row>
    <row r="208" spans="1:92" ht="13.5" customHeight="1">
      <c r="A208" s="401"/>
      <c r="B208" s="402" t="s">
        <v>214</v>
      </c>
      <c r="C208" s="229"/>
      <c r="D208" s="229"/>
      <c r="E208" s="229"/>
      <c r="F208" s="229"/>
      <c r="G208" s="365"/>
      <c r="H208" s="229"/>
      <c r="I208" s="229"/>
      <c r="J208" s="229"/>
      <c r="K208" s="229"/>
      <c r="L208" s="365"/>
      <c r="M208" s="229"/>
      <c r="N208" s="229"/>
      <c r="O208" s="229"/>
      <c r="P208" s="229"/>
      <c r="Q208" s="365"/>
      <c r="R208" s="229"/>
      <c r="S208" s="229"/>
      <c r="T208" s="229"/>
      <c r="U208" s="229"/>
      <c r="V208" s="365"/>
      <c r="W208" s="229"/>
      <c r="X208" s="229"/>
      <c r="Y208" s="229"/>
      <c r="Z208" s="229"/>
      <c r="AA208" s="365"/>
      <c r="AB208" s="229"/>
      <c r="AC208" s="229"/>
      <c r="AD208" s="229"/>
      <c r="AE208" s="229"/>
      <c r="AF208" s="365"/>
      <c r="AG208" s="229"/>
      <c r="AH208" s="229"/>
      <c r="AI208" s="229"/>
      <c r="AJ208" s="229"/>
      <c r="AK208" s="368">
        <f>AK177+AK180</f>
        <v>1054</v>
      </c>
      <c r="AL208" s="232"/>
      <c r="AM208" s="232"/>
      <c r="AN208" s="232"/>
      <c r="AO208" s="232"/>
      <c r="AP208" s="368">
        <f>AP177+AP180</f>
        <v>1602</v>
      </c>
      <c r="AQ208" s="232"/>
      <c r="AR208" s="232">
        <f>AR177+AR180</f>
        <v>789</v>
      </c>
      <c r="AS208" s="232">
        <f>AS177+AS180</f>
        <v>431</v>
      </c>
      <c r="AT208" s="232"/>
      <c r="AU208" s="368">
        <f>AU177+AU180</f>
        <v>1728</v>
      </c>
      <c r="AV208" s="232">
        <f t="shared" ref="AV208:CD208" si="147">AV177+AV180</f>
        <v>350</v>
      </c>
      <c r="AW208" s="232">
        <f t="shared" si="147"/>
        <v>402</v>
      </c>
      <c r="AX208" s="232">
        <f t="shared" si="147"/>
        <v>534</v>
      </c>
      <c r="AY208" s="232">
        <f t="shared" si="147"/>
        <v>564</v>
      </c>
      <c r="AZ208" s="368">
        <f t="shared" si="147"/>
        <v>1850</v>
      </c>
      <c r="BA208" s="232">
        <f t="shared" si="147"/>
        <v>605</v>
      </c>
      <c r="BB208" s="232">
        <f t="shared" si="147"/>
        <v>495</v>
      </c>
      <c r="BC208" s="232">
        <f t="shared" si="147"/>
        <v>618</v>
      </c>
      <c r="BD208" s="232">
        <f t="shared" si="147"/>
        <v>771</v>
      </c>
      <c r="BE208" s="368">
        <f t="shared" si="147"/>
        <v>2489</v>
      </c>
      <c r="BF208" s="232">
        <f t="shared" si="147"/>
        <v>603</v>
      </c>
      <c r="BG208" s="232">
        <f t="shared" si="147"/>
        <v>747</v>
      </c>
      <c r="BH208" s="232">
        <f t="shared" si="147"/>
        <v>841</v>
      </c>
      <c r="BI208" s="232">
        <f t="shared" si="147"/>
        <v>-327</v>
      </c>
      <c r="BJ208" s="368">
        <f t="shared" si="147"/>
        <v>1864</v>
      </c>
      <c r="BK208" s="232">
        <f t="shared" si="147"/>
        <v>-527</v>
      </c>
      <c r="BL208" s="232">
        <f t="shared" si="147"/>
        <v>1013.3355010198495</v>
      </c>
      <c r="BM208" s="232">
        <f t="shared" si="147"/>
        <v>634.03566075539561</v>
      </c>
      <c r="BN208" s="232">
        <f t="shared" si="147"/>
        <v>1104.691263763282</v>
      </c>
      <c r="BO208" s="368">
        <f t="shared" si="147"/>
        <v>2225.0624255385269</v>
      </c>
      <c r="BP208" s="232">
        <f t="shared" si="147"/>
        <v>298.08222111799057</v>
      </c>
      <c r="BQ208" s="232">
        <f t="shared" si="147"/>
        <v>970.13567964161825</v>
      </c>
      <c r="BR208" s="232">
        <f t="shared" si="147"/>
        <v>966.64111235087466</v>
      </c>
      <c r="BS208" s="232">
        <f t="shared" si="147"/>
        <v>1360.7527544235604</v>
      </c>
      <c r="BT208" s="368">
        <f t="shared" si="147"/>
        <v>3595.6117675340442</v>
      </c>
      <c r="BU208" s="232">
        <f t="shared" si="147"/>
        <v>1000.1581784400402</v>
      </c>
      <c r="BV208" s="232">
        <f t="shared" si="147"/>
        <v>1188.4393368209198</v>
      </c>
      <c r="BW208" s="232">
        <f t="shared" si="147"/>
        <v>1124.8553655891737</v>
      </c>
      <c r="BX208" s="232">
        <f t="shared" si="147"/>
        <v>1643.5271923518164</v>
      </c>
      <c r="BY208" s="368">
        <f t="shared" si="147"/>
        <v>4956.9800732019503</v>
      </c>
      <c r="BZ208" s="232">
        <f t="shared" si="147"/>
        <v>1113.8874528136757</v>
      </c>
      <c r="CA208" s="232">
        <f t="shared" si="147"/>
        <v>1419.2335036447316</v>
      </c>
      <c r="CB208" s="232">
        <f t="shared" si="147"/>
        <v>1377.6657274975462</v>
      </c>
      <c r="CC208" s="232">
        <f t="shared" si="147"/>
        <v>1985.3004553382057</v>
      </c>
      <c r="CD208" s="368">
        <f t="shared" si="147"/>
        <v>5896.087139294159</v>
      </c>
      <c r="CE208" s="401"/>
      <c r="CL208" s="370"/>
      <c r="CM208" s="370"/>
    </row>
    <row r="209" spans="1:91" ht="13.5" customHeight="1">
      <c r="A209" s="403"/>
      <c r="B209" s="402" t="s">
        <v>215</v>
      </c>
      <c r="C209" s="404"/>
      <c r="D209" s="404"/>
      <c r="E209" s="404"/>
      <c r="F209" s="404"/>
      <c r="G209" s="405"/>
      <c r="H209" s="404"/>
      <c r="I209" s="404"/>
      <c r="J209" s="404"/>
      <c r="K209" s="404"/>
      <c r="L209" s="405"/>
      <c r="M209" s="404"/>
      <c r="N209" s="404"/>
      <c r="O209" s="404"/>
      <c r="P209" s="404"/>
      <c r="Q209" s="405"/>
      <c r="R209" s="404"/>
      <c r="S209" s="404"/>
      <c r="T209" s="404"/>
      <c r="U209" s="404"/>
      <c r="V209" s="405"/>
      <c r="W209" s="404"/>
      <c r="X209" s="404"/>
      <c r="Y209" s="404"/>
      <c r="Z209" s="404"/>
      <c r="AA209" s="405"/>
      <c r="AB209" s="404"/>
      <c r="AC209" s="404"/>
      <c r="AD209" s="404"/>
      <c r="AE209" s="404"/>
      <c r="AF209" s="405"/>
      <c r="AG209" s="404"/>
      <c r="AH209" s="404"/>
      <c r="AI209" s="404"/>
      <c r="AJ209" s="404"/>
      <c r="AK209" s="406">
        <f>AK208/AK137</f>
        <v>39.037037037037038</v>
      </c>
      <c r="AL209" s="407"/>
      <c r="AM209" s="407"/>
      <c r="AN209" s="407"/>
      <c r="AO209" s="407"/>
      <c r="AP209" s="406">
        <f>AP208/AP137</f>
        <v>1.3576271186440678</v>
      </c>
      <c r="AQ209" s="407"/>
      <c r="AR209" s="407">
        <f>AR208/AR137</f>
        <v>2.8078291814946619</v>
      </c>
      <c r="AS209" s="407">
        <f>AS208/AS137</f>
        <v>1.8418803418803418</v>
      </c>
      <c r="AT209" s="407"/>
      <c r="AU209" s="406">
        <f t="shared" ref="AU209:CD209" si="148">AU208/AU137</f>
        <v>4.1241050119331746</v>
      </c>
      <c r="AV209" s="407">
        <f t="shared" si="148"/>
        <v>1.3725490196078431</v>
      </c>
      <c r="AW209" s="407">
        <f t="shared" si="148"/>
        <v>1.3094462540716612</v>
      </c>
      <c r="AX209" s="407">
        <f t="shared" si="148"/>
        <v>1.7740863787375416</v>
      </c>
      <c r="AY209" s="407">
        <f t="shared" si="148"/>
        <v>1.5623268698060941</v>
      </c>
      <c r="AZ209" s="406">
        <f t="shared" si="148"/>
        <v>1.5251442704039571</v>
      </c>
      <c r="BA209" s="407">
        <f t="shared" si="148"/>
        <v>1.6530054644808743</v>
      </c>
      <c r="BB209" s="407">
        <f t="shared" si="148"/>
        <v>1.5325077399380804</v>
      </c>
      <c r="BC209" s="407">
        <f t="shared" si="148"/>
        <v>1.9133126934984521</v>
      </c>
      <c r="BD209" s="407">
        <f t="shared" si="148"/>
        <v>1.976923076923077</v>
      </c>
      <c r="BE209" s="406">
        <f t="shared" si="148"/>
        <v>1.7753209700427961</v>
      </c>
      <c r="BF209" s="407">
        <f t="shared" si="148"/>
        <v>1.5703125</v>
      </c>
      <c r="BG209" s="407">
        <f t="shared" si="148"/>
        <v>1.8175182481751824</v>
      </c>
      <c r="BH209" s="407">
        <f t="shared" si="148"/>
        <v>2.2131578947368422</v>
      </c>
      <c r="BI209" s="407">
        <f t="shared" si="148"/>
        <v>-0.52741935483870972</v>
      </c>
      <c r="BJ209" s="406">
        <f t="shared" si="148"/>
        <v>1.0384401114206128</v>
      </c>
      <c r="BK209" s="407">
        <f t="shared" si="148"/>
        <v>-1.0313111545988258</v>
      </c>
      <c r="BL209" s="407">
        <f t="shared" si="148"/>
        <v>2.2435151558444879</v>
      </c>
      <c r="BM209" s="407">
        <f t="shared" si="148"/>
        <v>1.5018407234159841</v>
      </c>
      <c r="BN209" s="407">
        <f t="shared" si="148"/>
        <v>2.0076232594495664</v>
      </c>
      <c r="BO209" s="406">
        <f t="shared" si="148"/>
        <v>1.1498473311908783</v>
      </c>
      <c r="BP209" s="407">
        <f t="shared" si="148"/>
        <v>0.56780852810859916</v>
      </c>
      <c r="BQ209" s="407">
        <f t="shared" si="148"/>
        <v>1.7524853235128244</v>
      </c>
      <c r="BR209" s="407">
        <f t="shared" si="148"/>
        <v>1.7590191086154974</v>
      </c>
      <c r="BS209" s="407">
        <f t="shared" si="148"/>
        <v>1.9152130588464698</v>
      </c>
      <c r="BT209" s="406">
        <f t="shared" si="148"/>
        <v>1.5375207955247814</v>
      </c>
      <c r="BU209" s="407">
        <f t="shared" si="148"/>
        <v>1.5755846122790051</v>
      </c>
      <c r="BV209" s="407">
        <f t="shared" si="148"/>
        <v>1.7570805514428982</v>
      </c>
      <c r="BW209" s="407">
        <f t="shared" si="148"/>
        <v>1.7163680309878713</v>
      </c>
      <c r="BX209" s="407">
        <f t="shared" si="148"/>
        <v>1.9221539940119807</v>
      </c>
      <c r="BY209" s="406">
        <f t="shared" si="148"/>
        <v>1.7568155966818224</v>
      </c>
      <c r="BZ209" s="407">
        <f t="shared" si="148"/>
        <v>1.3985526024497481</v>
      </c>
      <c r="CA209" s="407">
        <f t="shared" si="148"/>
        <v>1.6672293399766338</v>
      </c>
      <c r="CB209" s="407">
        <f t="shared" si="148"/>
        <v>1.6215550432881007</v>
      </c>
      <c r="CC209" s="407">
        <f t="shared" si="148"/>
        <v>1.8029818658690708</v>
      </c>
      <c r="CD209" s="406">
        <f t="shared" si="148"/>
        <v>1.6385183635694516</v>
      </c>
      <c r="CE209" s="403"/>
      <c r="CL209" s="408"/>
      <c r="CM209" s="408"/>
    </row>
    <row r="210" spans="1:91" ht="13.5" customHeight="1">
      <c r="A210" s="401"/>
      <c r="B210" s="389"/>
      <c r="C210" s="229"/>
      <c r="D210" s="229"/>
      <c r="E210" s="229"/>
      <c r="F210" s="229"/>
      <c r="G210" s="409"/>
      <c r="H210" s="229"/>
      <c r="I210" s="229"/>
      <c r="J210" s="229"/>
      <c r="K210" s="229"/>
      <c r="L210" s="409"/>
      <c r="M210" s="229"/>
      <c r="N210" s="229"/>
      <c r="O210" s="229"/>
      <c r="P210" s="229"/>
      <c r="Q210" s="409"/>
      <c r="R210" s="229"/>
      <c r="S210" s="229"/>
      <c r="T210" s="229"/>
      <c r="U210" s="229"/>
      <c r="V210" s="409"/>
      <c r="W210" s="229"/>
      <c r="X210" s="229"/>
      <c r="Y210" s="229"/>
      <c r="Z210" s="229"/>
      <c r="AA210" s="409"/>
      <c r="AB210" s="229"/>
      <c r="AC210" s="229"/>
      <c r="AD210" s="229"/>
      <c r="AE210" s="229"/>
      <c r="AF210" s="409"/>
      <c r="AG210" s="229"/>
      <c r="AH210" s="229"/>
      <c r="AI210" s="229"/>
      <c r="AJ210" s="229"/>
      <c r="AK210" s="410"/>
      <c r="AL210" s="232"/>
      <c r="AM210" s="232"/>
      <c r="AN210" s="232"/>
      <c r="AO210" s="232"/>
      <c r="AP210" s="410"/>
      <c r="AQ210" s="232"/>
      <c r="AR210" s="232"/>
      <c r="AS210" s="232"/>
      <c r="AT210" s="232"/>
      <c r="AU210" s="410"/>
      <c r="AV210" s="232"/>
      <c r="AW210" s="232"/>
      <c r="AX210" s="232"/>
      <c r="AY210" s="232"/>
      <c r="AZ210" s="410"/>
      <c r="BA210" s="232"/>
      <c r="BB210" s="232"/>
      <c r="BC210" s="232"/>
      <c r="BD210" s="232"/>
      <c r="BE210" s="410"/>
      <c r="BF210" s="232"/>
      <c r="BG210" s="232"/>
      <c r="BH210" s="232"/>
      <c r="BI210" s="232"/>
      <c r="BJ210" s="410"/>
      <c r="BK210" s="232"/>
      <c r="BL210" s="232"/>
      <c r="BM210" s="232"/>
      <c r="BN210" s="232"/>
      <c r="BO210" s="410"/>
      <c r="BP210" s="232"/>
      <c r="BQ210" s="232"/>
      <c r="BR210" s="232"/>
      <c r="BS210" s="232"/>
      <c r="BT210" s="410"/>
      <c r="BU210" s="232"/>
      <c r="BV210" s="232"/>
      <c r="BW210" s="232"/>
      <c r="BX210" s="232"/>
      <c r="BY210" s="410"/>
      <c r="BZ210" s="232"/>
      <c r="CA210" s="232"/>
      <c r="CB210" s="232"/>
      <c r="CC210" s="232"/>
      <c r="CD210" s="410"/>
      <c r="CE210" s="401"/>
      <c r="CL210" s="370"/>
      <c r="CM210" s="370"/>
    </row>
    <row r="211" spans="1:91" ht="13.5" customHeight="1">
      <c r="A211" s="411"/>
      <c r="B211" s="389" t="s">
        <v>216</v>
      </c>
      <c r="C211" s="412"/>
      <c r="D211" s="311"/>
      <c r="E211" s="311"/>
      <c r="F211" s="311"/>
      <c r="G211" s="413"/>
      <c r="H211" s="412"/>
      <c r="I211" s="311"/>
      <c r="J211" s="311"/>
      <c r="K211" s="311"/>
      <c r="L211" s="413"/>
      <c r="M211" s="412"/>
      <c r="N211" s="311"/>
      <c r="O211" s="311"/>
      <c r="P211" s="311"/>
      <c r="Q211" s="413"/>
      <c r="R211" s="412"/>
      <c r="S211" s="311"/>
      <c r="T211" s="311"/>
      <c r="U211" s="311"/>
      <c r="V211" s="413"/>
      <c r="W211" s="412"/>
      <c r="X211" s="311"/>
      <c r="Y211" s="311"/>
      <c r="Z211" s="311"/>
      <c r="AA211" s="413"/>
      <c r="AB211" s="412"/>
      <c r="AC211" s="311"/>
      <c r="AD211" s="311"/>
      <c r="AE211" s="311"/>
      <c r="AF211" s="413"/>
      <c r="AG211" s="412"/>
      <c r="AH211" s="311"/>
      <c r="AI211" s="311"/>
      <c r="AJ211" s="311"/>
      <c r="AK211" s="414" t="str">
        <f>IF(ISERROR(AK208/AK143),"NM",AK208/AK143)</f>
        <v>NM</v>
      </c>
      <c r="AL211" s="415"/>
      <c r="AM211" s="292"/>
      <c r="AN211" s="292"/>
      <c r="AO211" s="292"/>
      <c r="AP211" s="414">
        <f>IF(ISERROR(AP208/AP143),"NM",AP208/AP143)</f>
        <v>1.2201066260472202</v>
      </c>
      <c r="AQ211" s="415"/>
      <c r="AR211" s="292">
        <f>AR208/AR143</f>
        <v>0.62273086029992109</v>
      </c>
      <c r="AS211" s="292">
        <f>AS208/AS143</f>
        <v>0.34452438049560352</v>
      </c>
      <c r="AT211" s="292"/>
      <c r="AU211" s="414">
        <f t="shared" ref="AU211:CD211" si="149">AU208/AU143</f>
        <v>1.3924254633360194</v>
      </c>
      <c r="AV211" s="415">
        <f t="shared" si="149"/>
        <v>0.28478437754271768</v>
      </c>
      <c r="AW211" s="292">
        <f t="shared" si="149"/>
        <v>0.32843137254901961</v>
      </c>
      <c r="AX211" s="292">
        <f t="shared" si="149"/>
        <v>0.4352078239608802</v>
      </c>
      <c r="AY211" s="292">
        <f t="shared" si="149"/>
        <v>0.45853658536585368</v>
      </c>
      <c r="AZ211" s="414">
        <f t="shared" si="149"/>
        <v>1.5071283095723014</v>
      </c>
      <c r="BA211" s="415">
        <f t="shared" si="149"/>
        <v>0.49387755102040815</v>
      </c>
      <c r="BB211" s="292">
        <f t="shared" si="149"/>
        <v>0.40740740740740738</v>
      </c>
      <c r="BC211" s="292">
        <f t="shared" si="149"/>
        <v>0.50906095551894559</v>
      </c>
      <c r="BD211" s="292">
        <f t="shared" si="149"/>
        <v>0.63404605263157898</v>
      </c>
      <c r="BE211" s="414">
        <f t="shared" si="149"/>
        <v>2.0443531827515402</v>
      </c>
      <c r="BF211" s="415">
        <f t="shared" si="149"/>
        <v>0.49588815789473684</v>
      </c>
      <c r="BG211" s="292">
        <f t="shared" si="149"/>
        <v>0.61481481481481481</v>
      </c>
      <c r="BH211" s="292">
        <f t="shared" si="149"/>
        <v>0.68765331152902698</v>
      </c>
      <c r="BI211" s="292">
        <f t="shared" si="149"/>
        <v>-0.26628664495114007</v>
      </c>
      <c r="BJ211" s="416">
        <f t="shared" si="149"/>
        <v>1.5272429332240884</v>
      </c>
      <c r="BK211" s="415">
        <f t="shared" si="149"/>
        <v>-0.43303204601479045</v>
      </c>
      <c r="BL211" s="292">
        <f t="shared" si="149"/>
        <v>0.83433261990255692</v>
      </c>
      <c r="BM211" s="292">
        <f t="shared" si="149"/>
        <v>0.52313763971262706</v>
      </c>
      <c r="BN211" s="292">
        <f t="shared" si="149"/>
        <v>0.9129084809247221</v>
      </c>
      <c r="BO211" s="416">
        <f t="shared" si="149"/>
        <v>1.833737606721733</v>
      </c>
      <c r="BP211" s="415">
        <f t="shared" si="149"/>
        <v>0.24681290931044789</v>
      </c>
      <c r="BQ211" s="292">
        <f t="shared" si="149"/>
        <v>0.80470914437775543</v>
      </c>
      <c r="BR211" s="292">
        <f t="shared" si="149"/>
        <v>0.80313864170486893</v>
      </c>
      <c r="BS211" s="292">
        <f t="shared" si="149"/>
        <v>1.1318651847430103</v>
      </c>
      <c r="BT211" s="416">
        <f t="shared" si="149"/>
        <v>2.9844677858355744</v>
      </c>
      <c r="BU211" s="415">
        <f t="shared" si="149"/>
        <v>0.83389439576636937</v>
      </c>
      <c r="BV211" s="292">
        <f t="shared" si="149"/>
        <v>0.99302830226202488</v>
      </c>
      <c r="BW211" s="292">
        <f t="shared" si="149"/>
        <v>0.9418599462493159</v>
      </c>
      <c r="BX211" s="292">
        <f t="shared" si="149"/>
        <v>1.3782128849632862</v>
      </c>
      <c r="BY211" s="416">
        <f t="shared" si="149"/>
        <v>4.1455309202829964</v>
      </c>
      <c r="BZ211" s="415">
        <f t="shared" si="149"/>
        <v>0.9358508311378988</v>
      </c>
      <c r="CA211" s="292">
        <f t="shared" si="149"/>
        <v>1.1944354899650851</v>
      </c>
      <c r="CB211" s="292">
        <f t="shared" si="149"/>
        <v>1.1613241102032101</v>
      </c>
      <c r="CC211" s="292">
        <f t="shared" si="149"/>
        <v>1.6752662323666982</v>
      </c>
      <c r="CD211" s="416">
        <f t="shared" si="149"/>
        <v>4.965335939109675</v>
      </c>
      <c r="CE211" s="417"/>
      <c r="CL211" s="370"/>
      <c r="CM211" s="370"/>
    </row>
    <row r="212" spans="1:91" ht="13.5" customHeight="1">
      <c r="A212" s="418"/>
      <c r="B212" s="419" t="s">
        <v>21</v>
      </c>
      <c r="C212" s="420"/>
      <c r="D212" s="420"/>
      <c r="E212" s="420"/>
      <c r="F212" s="420"/>
      <c r="G212" s="421"/>
      <c r="H212" s="420"/>
      <c r="I212" s="420"/>
      <c r="J212" s="420"/>
      <c r="K212" s="420"/>
      <c r="L212" s="421"/>
      <c r="M212" s="420"/>
      <c r="N212" s="420"/>
      <c r="O212" s="420"/>
      <c r="P212" s="420"/>
      <c r="Q212" s="421"/>
      <c r="R212" s="420"/>
      <c r="S212" s="420"/>
      <c r="T212" s="420"/>
      <c r="U212" s="420"/>
      <c r="V212" s="421"/>
      <c r="W212" s="420"/>
      <c r="X212" s="420"/>
      <c r="Y212" s="420"/>
      <c r="Z212" s="420"/>
      <c r="AA212" s="421"/>
      <c r="AB212" s="420"/>
      <c r="AC212" s="420"/>
      <c r="AD212" s="420"/>
      <c r="AE212" s="420"/>
      <c r="AF212" s="421"/>
      <c r="AG212" s="420"/>
      <c r="AH212" s="420"/>
      <c r="AI212" s="420"/>
      <c r="AJ212" s="420"/>
      <c r="AK212" s="422"/>
      <c r="AL212" s="423"/>
      <c r="AM212" s="423"/>
      <c r="AN212" s="423"/>
      <c r="AO212" s="423"/>
      <c r="AP212" s="422" t="str">
        <f>IF(ISERROR(AP211/AK211-1),"NM",AP211/AK211-1)</f>
        <v>NM</v>
      </c>
      <c r="AQ212" s="423"/>
      <c r="AR212" s="423" t="str">
        <f>IF(ISERROR(AR211/AM211-1),"NM",AR211/AM211-1)</f>
        <v>NM</v>
      </c>
      <c r="AS212" s="423"/>
      <c r="AT212" s="423"/>
      <c r="AU212" s="422">
        <f>IF(ISERROR(AU211/AP211-1),"NM",AU211/AP211-1)</f>
        <v>0.14123260509375357</v>
      </c>
      <c r="AV212" s="423" t="str">
        <f t="shared" ref="AV212:CD212" si="150">IF(ISERROR(AV211/AQ211-1),"NM",AV211/AQ211-1)</f>
        <v>NM</v>
      </c>
      <c r="AW212" s="423">
        <f t="shared" si="150"/>
        <v>-0.47259499490543999</v>
      </c>
      <c r="AX212" s="423">
        <f t="shared" si="150"/>
        <v>0.2632134287124388</v>
      </c>
      <c r="AY212" s="423" t="str">
        <f t="shared" si="150"/>
        <v>NM</v>
      </c>
      <c r="AZ212" s="422">
        <f t="shared" si="150"/>
        <v>8.2376291770385413E-2</v>
      </c>
      <c r="BA212" s="423">
        <f t="shared" si="150"/>
        <v>0.73421574344023299</v>
      </c>
      <c r="BB212" s="423">
        <f t="shared" si="150"/>
        <v>0.24046434494195679</v>
      </c>
      <c r="BC212" s="423">
        <f t="shared" si="150"/>
        <v>0.16969624049016141</v>
      </c>
      <c r="BD212" s="423">
        <f t="shared" si="150"/>
        <v>0.3827600083986562</v>
      </c>
      <c r="BE212" s="422">
        <f t="shared" si="150"/>
        <v>0.35645596315000838</v>
      </c>
      <c r="BF212" s="423">
        <f t="shared" si="150"/>
        <v>4.0710635058720523E-3</v>
      </c>
      <c r="BG212" s="423">
        <f t="shared" si="150"/>
        <v>0.50909090909090926</v>
      </c>
      <c r="BH212" s="423">
        <f t="shared" si="150"/>
        <v>0.35082705533371983</v>
      </c>
      <c r="BI212" s="423">
        <f t="shared" si="150"/>
        <v>-1.4199799743976476</v>
      </c>
      <c r="BJ212" s="422">
        <f t="shared" si="150"/>
        <v>-0.25294565239038669</v>
      </c>
      <c r="BK212" s="423">
        <f t="shared" si="150"/>
        <v>-1.8732453863250169</v>
      </c>
      <c r="BL212" s="423">
        <f t="shared" si="150"/>
        <v>0.35704703237162883</v>
      </c>
      <c r="BM212" s="423">
        <f t="shared" si="150"/>
        <v>-0.23924217197557329</v>
      </c>
      <c r="BN212" s="423">
        <f t="shared" si="150"/>
        <v>-4.4282923993136354</v>
      </c>
      <c r="BO212" s="422">
        <f t="shared" si="150"/>
        <v>0.20068495118233654</v>
      </c>
      <c r="BP212" s="423">
        <f t="shared" si="150"/>
        <v>-1.5699645363013568</v>
      </c>
      <c r="BQ212" s="423">
        <f t="shared" si="150"/>
        <v>-3.5505594313526068E-2</v>
      </c>
      <c r="BR212" s="423">
        <f t="shared" si="150"/>
        <v>0.53523390545183025</v>
      </c>
      <c r="BS212" s="423">
        <f t="shared" si="150"/>
        <v>0.2398451853536272</v>
      </c>
      <c r="BT212" s="422">
        <f t="shared" si="150"/>
        <v>0.62753262783930186</v>
      </c>
      <c r="BU212" s="423">
        <f t="shared" si="150"/>
        <v>2.3786498368181976</v>
      </c>
      <c r="BV212" s="423">
        <f t="shared" si="150"/>
        <v>0.23402139667480482</v>
      </c>
      <c r="BW212" s="423">
        <f t="shared" si="150"/>
        <v>0.17272398231266184</v>
      </c>
      <c r="BX212" s="423">
        <f t="shared" si="150"/>
        <v>0.21764756398634977</v>
      </c>
      <c r="BY212" s="422">
        <f t="shared" si="150"/>
        <v>0.38903523769225545</v>
      </c>
      <c r="BZ212" s="423">
        <f t="shared" si="150"/>
        <v>0.12226540421563681</v>
      </c>
      <c r="CA212" s="423">
        <f t="shared" si="150"/>
        <v>0.20282119577485713</v>
      </c>
      <c r="CB212" s="423">
        <f t="shared" si="150"/>
        <v>0.23301146293336572</v>
      </c>
      <c r="CC212" s="423">
        <f t="shared" si="150"/>
        <v>0.21553516923572014</v>
      </c>
      <c r="CD212" s="422">
        <f t="shared" si="150"/>
        <v>0.19775633919785451</v>
      </c>
      <c r="CE212" s="418"/>
      <c r="CL212" s="160"/>
      <c r="CM212" s="160"/>
    </row>
    <row r="213" spans="1:91" ht="13.5" customHeight="1">
      <c r="A213" s="92"/>
      <c r="B213" s="424"/>
      <c r="C213" s="425"/>
      <c r="D213" s="425"/>
      <c r="E213" s="425"/>
      <c r="F213" s="426"/>
      <c r="G213" s="426"/>
      <c r="H213" s="425"/>
      <c r="I213" s="425"/>
      <c r="J213" s="425"/>
      <c r="K213" s="426"/>
      <c r="L213" s="426"/>
      <c r="M213" s="425"/>
      <c r="N213" s="425"/>
      <c r="O213" s="425"/>
      <c r="P213" s="426"/>
      <c r="Q213" s="426"/>
      <c r="R213" s="425"/>
      <c r="S213" s="425"/>
      <c r="T213" s="425"/>
      <c r="U213" s="426"/>
      <c r="V213" s="426"/>
      <c r="W213" s="425"/>
      <c r="X213" s="425"/>
      <c r="Y213" s="425"/>
      <c r="Z213" s="426"/>
      <c r="AA213" s="426"/>
      <c r="AB213" s="425"/>
      <c r="AC213" s="425"/>
      <c r="AD213" s="425"/>
      <c r="AE213" s="426"/>
      <c r="AF213" s="426"/>
      <c r="AG213" s="425"/>
      <c r="AH213" s="425"/>
      <c r="AI213" s="425"/>
      <c r="AJ213" s="426"/>
      <c r="AK213" s="426"/>
      <c r="AL213" s="427"/>
      <c r="AM213" s="427"/>
      <c r="AN213" s="427"/>
      <c r="AO213" s="426"/>
      <c r="AP213" s="426"/>
      <c r="AQ213" s="426"/>
      <c r="AR213" s="426"/>
      <c r="AS213" s="426"/>
      <c r="AT213" s="426"/>
      <c r="AU213" s="426"/>
      <c r="AV213" s="426"/>
      <c r="AW213" s="426"/>
      <c r="AX213" s="426"/>
      <c r="AY213" s="426"/>
      <c r="AZ213" s="428"/>
      <c r="BA213" s="426"/>
      <c r="BB213" s="426"/>
      <c r="BC213" s="426"/>
      <c r="BD213" s="426"/>
      <c r="BE213" s="426"/>
      <c r="BF213" s="426"/>
      <c r="BG213" s="426"/>
      <c r="BH213" s="426"/>
      <c r="BI213" s="426"/>
      <c r="BJ213" s="426"/>
      <c r="BK213" s="426"/>
      <c r="BL213" s="426"/>
      <c r="BM213" s="426"/>
      <c r="BN213" s="426"/>
      <c r="BO213" s="426"/>
      <c r="BP213" s="426"/>
      <c r="BQ213" s="426"/>
      <c r="BR213" s="426"/>
      <c r="BS213" s="426"/>
      <c r="BT213" s="426"/>
      <c r="BU213" s="426"/>
      <c r="BV213" s="426"/>
      <c r="BW213" s="426"/>
      <c r="BX213" s="426"/>
      <c r="BY213" s="426"/>
      <c r="BZ213" s="426"/>
      <c r="CA213" s="426"/>
      <c r="CB213" s="426"/>
      <c r="CC213" s="426"/>
      <c r="CD213" s="426"/>
      <c r="CE213" s="92"/>
    </row>
    <row r="214" spans="1:91" ht="13.5" customHeight="1">
      <c r="A214" s="92"/>
      <c r="B214" s="424"/>
      <c r="C214" s="425"/>
      <c r="D214" s="425"/>
      <c r="E214" s="425"/>
      <c r="F214" s="426"/>
      <c r="G214" s="426"/>
      <c r="H214" s="425"/>
      <c r="I214" s="425"/>
      <c r="J214" s="425"/>
      <c r="K214" s="426"/>
      <c r="L214" s="426"/>
      <c r="M214" s="425"/>
      <c r="N214" s="425"/>
      <c r="O214" s="425"/>
      <c r="P214" s="426"/>
      <c r="Q214" s="426"/>
      <c r="R214" s="425"/>
      <c r="S214" s="425"/>
      <c r="T214" s="425"/>
      <c r="U214" s="426"/>
      <c r="V214" s="426"/>
      <c r="W214" s="425"/>
      <c r="X214" s="425"/>
      <c r="Y214" s="425"/>
      <c r="Z214" s="426"/>
      <c r="AA214" s="426"/>
      <c r="AB214" s="425"/>
      <c r="AC214" s="425"/>
      <c r="AD214" s="425"/>
      <c r="AE214" s="426"/>
      <c r="AF214" s="426"/>
      <c r="AG214" s="425"/>
      <c r="AH214" s="425"/>
      <c r="AI214" s="425"/>
      <c r="AJ214" s="426"/>
      <c r="AK214" s="426"/>
      <c r="AL214" s="427"/>
      <c r="AM214" s="427"/>
      <c r="AN214" s="427"/>
      <c r="AO214" s="426"/>
      <c r="AP214" s="426"/>
      <c r="AQ214" s="426"/>
      <c r="AR214" s="426"/>
      <c r="AS214" s="426"/>
      <c r="AT214" s="426"/>
      <c r="AU214" s="429"/>
      <c r="AV214" s="429"/>
      <c r="AW214" s="429"/>
      <c r="AX214" s="429"/>
      <c r="AY214" s="429"/>
      <c r="AZ214" s="428"/>
      <c r="BA214" s="426"/>
      <c r="BB214" s="1267"/>
      <c r="BC214" s="1267"/>
      <c r="BD214" s="1267"/>
      <c r="BE214" s="430"/>
      <c r="BF214" s="1268"/>
      <c r="BG214" s="1267"/>
      <c r="BH214" s="1267"/>
      <c r="BI214" s="1267"/>
      <c r="BJ214" s="426"/>
      <c r="BK214" s="1268"/>
      <c r="BL214" s="426"/>
      <c r="BM214" s="1267"/>
      <c r="BN214" s="426"/>
      <c r="BO214" s="426"/>
      <c r="BP214" s="426"/>
      <c r="BQ214" s="426"/>
      <c r="BR214" s="426"/>
      <c r="BS214" s="426"/>
      <c r="BT214" s="426"/>
      <c r="BU214" s="426"/>
      <c r="BV214" s="426"/>
      <c r="BW214" s="426"/>
      <c r="BX214" s="426"/>
      <c r="BY214" s="426"/>
      <c r="BZ214" s="426"/>
      <c r="CA214" s="426"/>
      <c r="CB214" s="426"/>
      <c r="CC214" s="426"/>
      <c r="CD214" s="426"/>
      <c r="CE214" s="92"/>
    </row>
    <row r="215" spans="1:91" ht="13.5" customHeight="1">
      <c r="A215" s="92"/>
      <c r="B215" s="424"/>
      <c r="C215" s="425"/>
      <c r="D215" s="425"/>
      <c r="E215" s="425"/>
      <c r="F215" s="426"/>
      <c r="G215" s="426"/>
      <c r="H215" s="425"/>
      <c r="I215" s="425"/>
      <c r="J215" s="425"/>
      <c r="K215" s="426"/>
      <c r="L215" s="426"/>
      <c r="M215" s="425"/>
      <c r="N215" s="425"/>
      <c r="O215" s="425"/>
      <c r="P215" s="426"/>
      <c r="Q215" s="426"/>
      <c r="R215" s="425"/>
      <c r="S215" s="425"/>
      <c r="T215" s="425"/>
      <c r="U215" s="426"/>
      <c r="V215" s="426"/>
      <c r="W215" s="425"/>
      <c r="X215" s="425"/>
      <c r="Y215" s="425"/>
      <c r="Z215" s="426"/>
      <c r="AA215" s="426"/>
      <c r="AB215" s="425"/>
      <c r="AC215" s="425"/>
      <c r="AD215" s="425"/>
      <c r="AE215" s="426"/>
      <c r="AF215" s="426"/>
      <c r="AG215" s="425"/>
      <c r="AH215" s="425"/>
      <c r="AI215" s="425"/>
      <c r="AJ215" s="426"/>
      <c r="AK215" s="426"/>
      <c r="AL215" s="427"/>
      <c r="AM215" s="427"/>
      <c r="AN215" s="427"/>
      <c r="AO215" s="426"/>
      <c r="AP215" s="426"/>
      <c r="AQ215" s="426"/>
      <c r="AR215" s="426"/>
      <c r="AS215" s="426"/>
      <c r="AT215" s="426"/>
      <c r="AU215" s="429"/>
      <c r="AV215" s="429"/>
      <c r="AW215" s="429"/>
      <c r="AX215" s="429"/>
      <c r="AY215" s="429"/>
      <c r="AZ215" s="428"/>
      <c r="BA215" s="1267"/>
      <c r="BB215" s="1267"/>
      <c r="BC215" s="1267"/>
      <c r="BD215" s="1267"/>
      <c r="BE215" s="1267"/>
      <c r="BF215" s="1267"/>
      <c r="BG215" s="1267"/>
      <c r="BH215" s="1267"/>
      <c r="BI215" s="1267"/>
      <c r="BJ215" s="1267"/>
      <c r="BK215" s="1267"/>
      <c r="BL215" s="1267"/>
      <c r="BM215" s="1267"/>
      <c r="BN215" s="1267"/>
      <c r="BO215" s="426"/>
      <c r="BP215" s="426"/>
      <c r="BQ215" s="426"/>
      <c r="BR215" s="426"/>
      <c r="BS215" s="426"/>
      <c r="BT215" s="426"/>
      <c r="BU215" s="426"/>
      <c r="BV215" s="426"/>
      <c r="BW215" s="426"/>
      <c r="BX215" s="426"/>
      <c r="BY215" s="426"/>
      <c r="BZ215" s="426"/>
      <c r="CA215" s="426"/>
      <c r="CB215" s="426"/>
      <c r="CC215" s="426"/>
      <c r="CD215" s="426"/>
      <c r="CE215" s="92"/>
    </row>
    <row r="216" spans="1:91" ht="18">
      <c r="A216" s="150"/>
      <c r="B216" s="349" t="s">
        <v>217</v>
      </c>
      <c r="C216" s="94"/>
      <c r="D216" s="94"/>
      <c r="E216" s="94"/>
      <c r="F216" s="105"/>
      <c r="G216" s="99"/>
      <c r="H216" s="94"/>
      <c r="I216" s="94"/>
      <c r="J216" s="94"/>
      <c r="K216" s="105"/>
      <c r="L216" s="99"/>
      <c r="M216" s="94"/>
      <c r="N216" s="94"/>
      <c r="O216" s="94"/>
      <c r="P216" s="105"/>
      <c r="Q216" s="99"/>
      <c r="R216" s="94"/>
      <c r="S216" s="94"/>
      <c r="T216" s="94"/>
      <c r="U216" s="105"/>
      <c r="V216" s="99"/>
      <c r="W216" s="94"/>
      <c r="X216" s="94"/>
      <c r="Y216" s="94"/>
      <c r="Z216" s="105"/>
      <c r="AA216" s="99"/>
      <c r="AB216" s="94"/>
      <c r="AC216" s="94"/>
      <c r="AD216" s="94"/>
      <c r="AE216" s="105"/>
      <c r="AF216" s="99"/>
      <c r="AG216" s="94"/>
      <c r="AH216" s="94"/>
      <c r="AI216" s="94"/>
      <c r="AJ216" s="105"/>
      <c r="AK216" s="99"/>
      <c r="AL216" s="97"/>
      <c r="AM216" s="97"/>
      <c r="AN216" s="97"/>
      <c r="AO216" s="105"/>
      <c r="AP216" s="99"/>
      <c r="AQ216" s="99"/>
      <c r="AR216" s="99"/>
      <c r="AS216" s="99"/>
      <c r="AT216" s="99"/>
      <c r="AU216" s="99"/>
      <c r="AV216" s="99"/>
      <c r="AW216" s="99"/>
      <c r="AX216" s="99"/>
      <c r="AY216" s="99"/>
      <c r="AZ216" s="99"/>
      <c r="BA216" s="99"/>
      <c r="BB216" s="99"/>
      <c r="BC216" s="99"/>
      <c r="BD216" s="99"/>
      <c r="BE216" s="99"/>
      <c r="BF216" s="99"/>
      <c r="BG216" s="99"/>
      <c r="BH216" s="99"/>
      <c r="BI216" s="1267"/>
      <c r="BJ216" s="99"/>
      <c r="BK216" s="1310"/>
      <c r="BL216" s="99"/>
      <c r="BM216" s="1267"/>
      <c r="BN216" s="1105"/>
      <c r="BO216" s="1105"/>
      <c r="BP216" s="99"/>
      <c r="BQ216" s="99"/>
      <c r="BR216" s="99"/>
      <c r="BS216" s="99"/>
      <c r="BT216" s="99"/>
      <c r="BU216" s="99"/>
      <c r="BV216" s="99"/>
      <c r="BW216" s="99"/>
      <c r="BX216" s="99"/>
      <c r="BY216" s="99"/>
      <c r="BZ216" s="99"/>
      <c r="CA216" s="99"/>
      <c r="CB216" s="99"/>
      <c r="CC216" s="99"/>
      <c r="CD216" s="99"/>
      <c r="CE216" s="150"/>
    </row>
    <row r="217" spans="1:91" ht="12.75">
      <c r="A217" s="92"/>
      <c r="B217" s="93" t="s">
        <v>115</v>
      </c>
      <c r="C217" s="425"/>
      <c r="D217" s="425"/>
      <c r="E217" s="425"/>
      <c r="F217" s="105"/>
      <c r="G217" s="431"/>
      <c r="H217" s="425"/>
      <c r="I217" s="425"/>
      <c r="J217" s="425"/>
      <c r="K217" s="105"/>
      <c r="L217" s="431"/>
      <c r="M217" s="425"/>
      <c r="N217" s="425"/>
      <c r="O217" s="425"/>
      <c r="P217" s="105"/>
      <c r="Q217" s="431"/>
      <c r="R217" s="425"/>
      <c r="S217" s="425"/>
      <c r="T217" s="425"/>
      <c r="U217" s="105"/>
      <c r="V217" s="431"/>
      <c r="W217" s="425"/>
      <c r="X217" s="425"/>
      <c r="Y217" s="425"/>
      <c r="Z217" s="105"/>
      <c r="AA217" s="431"/>
      <c r="AB217" s="425"/>
      <c r="AC217" s="425"/>
      <c r="AD217" s="425"/>
      <c r="AE217" s="105"/>
      <c r="AF217" s="431"/>
      <c r="AG217" s="425"/>
      <c r="AH217" s="425"/>
      <c r="AI217" s="425"/>
      <c r="AJ217" s="105"/>
      <c r="AK217" s="431"/>
      <c r="AL217" s="427"/>
      <c r="AM217" s="427"/>
      <c r="AN217" s="427"/>
      <c r="AO217" s="105"/>
      <c r="AP217" s="431"/>
      <c r="AQ217" s="431"/>
      <c r="AR217" s="431"/>
      <c r="AS217" s="431"/>
      <c r="AT217" s="431"/>
      <c r="AU217" s="431"/>
      <c r="AV217" s="431"/>
      <c r="AW217" s="431"/>
      <c r="AX217" s="431"/>
      <c r="AY217" s="431"/>
      <c r="AZ217" s="431"/>
      <c r="BA217" s="431"/>
      <c r="BB217" s="431"/>
      <c r="BC217" s="431"/>
      <c r="BD217" s="431"/>
      <c r="BE217" s="431"/>
      <c r="BF217" s="431"/>
      <c r="BG217" s="431"/>
      <c r="BH217" s="431"/>
      <c r="BI217" s="431"/>
      <c r="BJ217" s="431"/>
      <c r="BK217" s="431"/>
      <c r="BL217" s="431"/>
      <c r="BM217" s="431"/>
      <c r="BN217" s="431"/>
      <c r="BO217" s="431"/>
      <c r="BP217" s="431"/>
      <c r="BQ217" s="431"/>
      <c r="BR217" s="431"/>
      <c r="BS217" s="431"/>
      <c r="BT217" s="431"/>
      <c r="BU217" s="431"/>
      <c r="BV217" s="431"/>
      <c r="BW217" s="431"/>
      <c r="BX217" s="431"/>
      <c r="BY217" s="431"/>
      <c r="BZ217" s="431"/>
      <c r="CA217" s="431"/>
      <c r="CB217" s="431"/>
      <c r="CC217" s="431"/>
      <c r="CD217" s="431"/>
      <c r="CE217" s="92"/>
    </row>
    <row r="218" spans="1:91" ht="13.5" customHeight="1">
      <c r="A218" s="92"/>
      <c r="B218" s="108"/>
      <c r="C218" s="352" t="str">
        <f t="shared" ref="C218:BN218" si="151">C3</f>
        <v>1Q06A</v>
      </c>
      <c r="D218" s="352" t="str">
        <f t="shared" si="151"/>
        <v>2Q06A</v>
      </c>
      <c r="E218" s="352" t="str">
        <f t="shared" si="151"/>
        <v>3Q06A</v>
      </c>
      <c r="F218" s="352" t="str">
        <f t="shared" si="151"/>
        <v>4Q06A</v>
      </c>
      <c r="G218" s="353" t="str">
        <f t="shared" si="151"/>
        <v>2006A</v>
      </c>
      <c r="H218" s="352" t="str">
        <f t="shared" si="151"/>
        <v>1Q07A</v>
      </c>
      <c r="I218" s="352" t="str">
        <f t="shared" si="151"/>
        <v>2Q07A</v>
      </c>
      <c r="J218" s="352" t="str">
        <f t="shared" si="151"/>
        <v>3Q07A</v>
      </c>
      <c r="K218" s="352" t="str">
        <f t="shared" si="151"/>
        <v>4Q07A</v>
      </c>
      <c r="L218" s="353" t="str">
        <f t="shared" si="151"/>
        <v>2007A</v>
      </c>
      <c r="M218" s="352" t="str">
        <f t="shared" si="151"/>
        <v>1Q08A</v>
      </c>
      <c r="N218" s="352" t="str">
        <f t="shared" si="151"/>
        <v>2Q08A</v>
      </c>
      <c r="O218" s="352" t="str">
        <f t="shared" si="151"/>
        <v>3Q08A</v>
      </c>
      <c r="P218" s="352" t="str">
        <f t="shared" si="151"/>
        <v>4Q08A</v>
      </c>
      <c r="Q218" s="353" t="str">
        <f t="shared" si="151"/>
        <v>2008A</v>
      </c>
      <c r="R218" s="352" t="str">
        <f t="shared" si="151"/>
        <v>1Q09A</v>
      </c>
      <c r="S218" s="352" t="str">
        <f t="shared" si="151"/>
        <v>2Q09A</v>
      </c>
      <c r="T218" s="352" t="str">
        <f t="shared" si="151"/>
        <v>3Q09A</v>
      </c>
      <c r="U218" s="352" t="str">
        <f t="shared" si="151"/>
        <v>4Q09A</v>
      </c>
      <c r="V218" s="353" t="str">
        <f t="shared" si="151"/>
        <v>2009A</v>
      </c>
      <c r="W218" s="352" t="str">
        <f t="shared" si="151"/>
        <v>1Q10A</v>
      </c>
      <c r="X218" s="352" t="str">
        <f t="shared" si="151"/>
        <v>2Q10A</v>
      </c>
      <c r="Y218" s="352" t="str">
        <f t="shared" si="151"/>
        <v>3Q10A</v>
      </c>
      <c r="Z218" s="352" t="str">
        <f t="shared" si="151"/>
        <v>4Q10A</v>
      </c>
      <c r="AA218" s="353" t="str">
        <f t="shared" si="151"/>
        <v>2010A</v>
      </c>
      <c r="AB218" s="352" t="str">
        <f t="shared" si="151"/>
        <v>1Q11A</v>
      </c>
      <c r="AC218" s="352" t="str">
        <f t="shared" si="151"/>
        <v>2Q11A</v>
      </c>
      <c r="AD218" s="352" t="str">
        <f t="shared" si="151"/>
        <v>3Q11A</v>
      </c>
      <c r="AE218" s="352" t="str">
        <f t="shared" si="151"/>
        <v>4Q11A</v>
      </c>
      <c r="AF218" s="353" t="str">
        <f t="shared" si="151"/>
        <v>2011A</v>
      </c>
      <c r="AG218" s="352" t="str">
        <f t="shared" si="151"/>
        <v>1Q12A</v>
      </c>
      <c r="AH218" s="352" t="str">
        <f t="shared" si="151"/>
        <v>2Q12A</v>
      </c>
      <c r="AI218" s="352" t="str">
        <f t="shared" si="151"/>
        <v>3Q12A</v>
      </c>
      <c r="AJ218" s="352" t="str">
        <f t="shared" si="151"/>
        <v>4Q12A</v>
      </c>
      <c r="AK218" s="353" t="str">
        <f t="shared" si="151"/>
        <v>2012A</v>
      </c>
      <c r="AL218" s="352" t="str">
        <f t="shared" si="151"/>
        <v>1Q13A</v>
      </c>
      <c r="AM218" s="352" t="str">
        <f t="shared" si="151"/>
        <v>2Q13A</v>
      </c>
      <c r="AN218" s="352" t="str">
        <f t="shared" si="151"/>
        <v>3Q13A</v>
      </c>
      <c r="AO218" s="352" t="str">
        <f t="shared" si="151"/>
        <v>4Q13A</v>
      </c>
      <c r="AP218" s="353" t="str">
        <f t="shared" si="151"/>
        <v>2013A</v>
      </c>
      <c r="AQ218" s="354" t="str">
        <f t="shared" si="151"/>
        <v>1Q14A</v>
      </c>
      <c r="AR218" s="352" t="str">
        <f t="shared" si="151"/>
        <v>2Q14A</v>
      </c>
      <c r="AS218" s="352" t="str">
        <f t="shared" si="151"/>
        <v>3Q14A</v>
      </c>
      <c r="AT218" s="352" t="str">
        <f t="shared" si="151"/>
        <v>4Q14A</v>
      </c>
      <c r="AU218" s="353" t="str">
        <f t="shared" si="151"/>
        <v>2014A</v>
      </c>
      <c r="AV218" s="352" t="str">
        <f t="shared" si="151"/>
        <v>1Q15A</v>
      </c>
      <c r="AW218" s="352" t="str">
        <f t="shared" si="151"/>
        <v>2Q15A</v>
      </c>
      <c r="AX218" s="352" t="str">
        <f t="shared" si="151"/>
        <v>3Q15A</v>
      </c>
      <c r="AY218" s="352" t="str">
        <f t="shared" si="151"/>
        <v>4Q15A</v>
      </c>
      <c r="AZ218" s="353" t="str">
        <f t="shared" si="151"/>
        <v>2015A</v>
      </c>
      <c r="BA218" s="352" t="str">
        <f t="shared" si="151"/>
        <v>1Q16A</v>
      </c>
      <c r="BB218" s="352" t="str">
        <f t="shared" si="151"/>
        <v>2Q16A</v>
      </c>
      <c r="BC218" s="352" t="str">
        <f t="shared" si="151"/>
        <v>3Q16A</v>
      </c>
      <c r="BD218" s="352" t="str">
        <f t="shared" si="151"/>
        <v>4Q16A</v>
      </c>
      <c r="BE218" s="353" t="str">
        <f t="shared" si="151"/>
        <v>2016A</v>
      </c>
      <c r="BF218" s="352" t="str">
        <f t="shared" si="151"/>
        <v>1Q17A</v>
      </c>
      <c r="BG218" s="352" t="str">
        <f t="shared" si="151"/>
        <v>2Q17A</v>
      </c>
      <c r="BH218" s="352" t="str">
        <f t="shared" si="151"/>
        <v>3Q17A</v>
      </c>
      <c r="BI218" s="352" t="str">
        <f t="shared" si="151"/>
        <v>4Q17A</v>
      </c>
      <c r="BJ218" s="353" t="str">
        <f t="shared" si="151"/>
        <v>2017A</v>
      </c>
      <c r="BK218" s="352" t="str">
        <f t="shared" si="151"/>
        <v>1Q18A</v>
      </c>
      <c r="BL218" s="352" t="str">
        <f t="shared" si="151"/>
        <v>2Q18E</v>
      </c>
      <c r="BM218" s="352" t="str">
        <f t="shared" si="151"/>
        <v>3Q18E</v>
      </c>
      <c r="BN218" s="352" t="str">
        <f t="shared" si="151"/>
        <v>4Q18E</v>
      </c>
      <c r="BO218" s="353" t="str">
        <f t="shared" ref="BO218:CD218" si="152">BO3</f>
        <v>2018E</v>
      </c>
      <c r="BP218" s="352" t="str">
        <f t="shared" si="152"/>
        <v>1Q19E</v>
      </c>
      <c r="BQ218" s="352" t="str">
        <f t="shared" si="152"/>
        <v>2Q19E</v>
      </c>
      <c r="BR218" s="352" t="str">
        <f t="shared" si="152"/>
        <v>3Q19E</v>
      </c>
      <c r="BS218" s="352" t="str">
        <f t="shared" si="152"/>
        <v>4Q19E</v>
      </c>
      <c r="BT218" s="353" t="str">
        <f t="shared" si="152"/>
        <v>2019E</v>
      </c>
      <c r="BU218" s="352" t="str">
        <f t="shared" si="152"/>
        <v>1Q20E</v>
      </c>
      <c r="BV218" s="352" t="str">
        <f t="shared" si="152"/>
        <v>2Q20E</v>
      </c>
      <c r="BW218" s="352" t="str">
        <f t="shared" si="152"/>
        <v>3Q20E</v>
      </c>
      <c r="BX218" s="352" t="str">
        <f t="shared" si="152"/>
        <v>4Q20E</v>
      </c>
      <c r="BY218" s="353" t="str">
        <f t="shared" si="152"/>
        <v>2020E</v>
      </c>
      <c r="BZ218" s="352" t="str">
        <f t="shared" si="152"/>
        <v>1Q21E</v>
      </c>
      <c r="CA218" s="352" t="str">
        <f t="shared" si="152"/>
        <v>2Q21E</v>
      </c>
      <c r="CB218" s="352" t="str">
        <f t="shared" si="152"/>
        <v>3Q21E</v>
      </c>
      <c r="CC218" s="352" t="str">
        <f t="shared" si="152"/>
        <v>4Q21E</v>
      </c>
      <c r="CD218" s="353" t="str">
        <f t="shared" si="152"/>
        <v>2021E</v>
      </c>
      <c r="CE218" s="92"/>
    </row>
    <row r="219" spans="1:91" ht="13.5" customHeight="1">
      <c r="A219" s="113"/>
      <c r="B219" s="432" t="s">
        <v>218</v>
      </c>
      <c r="C219" s="359"/>
      <c r="D219" s="359"/>
      <c r="E219" s="359"/>
      <c r="F219" s="433"/>
      <c r="G219" s="358"/>
      <c r="H219" s="359"/>
      <c r="I219" s="359"/>
      <c r="J219" s="359"/>
      <c r="K219" s="433"/>
      <c r="L219" s="358"/>
      <c r="M219" s="359"/>
      <c r="N219" s="359"/>
      <c r="O219" s="359"/>
      <c r="P219" s="433"/>
      <c r="Q219" s="358"/>
      <c r="R219" s="359"/>
      <c r="S219" s="359"/>
      <c r="T219" s="359"/>
      <c r="U219" s="433"/>
      <c r="V219" s="358"/>
      <c r="W219" s="359"/>
      <c r="X219" s="359"/>
      <c r="Y219" s="359"/>
      <c r="Z219" s="433"/>
      <c r="AA219" s="358"/>
      <c r="AB219" s="359"/>
      <c r="AC219" s="359"/>
      <c r="AD219" s="359"/>
      <c r="AE219" s="433"/>
      <c r="AF219" s="358"/>
      <c r="AG219" s="359"/>
      <c r="AH219" s="359"/>
      <c r="AI219" s="359"/>
      <c r="AJ219" s="433"/>
      <c r="AK219" s="358"/>
      <c r="AL219" s="359"/>
      <c r="AM219" s="359"/>
      <c r="AN219" s="359"/>
      <c r="AO219" s="433"/>
      <c r="AP219" s="358"/>
      <c r="AQ219" s="433"/>
      <c r="AR219" s="433"/>
      <c r="AS219" s="433"/>
      <c r="AT219" s="433"/>
      <c r="AU219" s="358"/>
      <c r="AV219" s="433"/>
      <c r="AW219" s="433"/>
      <c r="AX219" s="433"/>
      <c r="AY219" s="433"/>
      <c r="AZ219" s="358"/>
      <c r="BA219" s="433"/>
      <c r="BB219" s="433"/>
      <c r="BC219" s="433"/>
      <c r="BD219" s="433"/>
      <c r="BE219" s="358"/>
      <c r="BF219" s="433"/>
      <c r="BG219" s="433"/>
      <c r="BH219" s="433"/>
      <c r="BI219" s="433"/>
      <c r="BJ219" s="358"/>
      <c r="BK219" s="433"/>
      <c r="BL219" s="433"/>
      <c r="BM219" s="433"/>
      <c r="BN219" s="433"/>
      <c r="BO219" s="358"/>
      <c r="BP219" s="433"/>
      <c r="BQ219" s="433"/>
      <c r="BR219" s="433"/>
      <c r="BS219" s="433"/>
      <c r="BT219" s="358"/>
      <c r="BU219" s="433"/>
      <c r="BV219" s="433"/>
      <c r="BW219" s="433"/>
      <c r="BX219" s="433"/>
      <c r="BY219" s="358"/>
      <c r="BZ219" s="433"/>
      <c r="CA219" s="433"/>
      <c r="CB219" s="433"/>
      <c r="CC219" s="433"/>
      <c r="CD219" s="358"/>
      <c r="CE219" s="113"/>
    </row>
    <row r="220" spans="1:91" ht="13.5" customHeight="1">
      <c r="A220" s="434"/>
      <c r="B220" s="435" t="s">
        <v>219</v>
      </c>
      <c r="C220" s="137"/>
      <c r="D220" s="137"/>
      <c r="E220" s="137"/>
      <c r="F220" s="145"/>
      <c r="G220" s="169"/>
      <c r="H220" s="137"/>
      <c r="I220" s="137"/>
      <c r="J220" s="137"/>
      <c r="K220" s="145"/>
      <c r="L220" s="169"/>
      <c r="M220" s="137"/>
      <c r="N220" s="137"/>
      <c r="O220" s="137"/>
      <c r="P220" s="145"/>
      <c r="Q220" s="169"/>
      <c r="R220" s="137"/>
      <c r="S220" s="137"/>
      <c r="T220" s="137"/>
      <c r="U220" s="145"/>
      <c r="V220" s="169"/>
      <c r="W220" s="137"/>
      <c r="X220" s="137"/>
      <c r="Y220" s="137"/>
      <c r="Z220" s="145"/>
      <c r="AA220" s="169"/>
      <c r="AB220" s="137"/>
      <c r="AC220" s="137"/>
      <c r="AD220" s="137"/>
      <c r="AE220" s="145"/>
      <c r="AF220" s="169"/>
      <c r="AG220" s="137"/>
      <c r="AH220" s="137"/>
      <c r="AI220" s="137"/>
      <c r="AJ220" s="145"/>
      <c r="AK220" s="169"/>
      <c r="AL220" s="137"/>
      <c r="AM220" s="137"/>
      <c r="AN220" s="137"/>
      <c r="AO220" s="145"/>
      <c r="AP220" s="169">
        <v>1604</v>
      </c>
      <c r="AQ220" s="137"/>
      <c r="AR220" s="137"/>
      <c r="AS220" s="137"/>
      <c r="AT220" s="196">
        <v>2201</v>
      </c>
      <c r="AU220" s="169">
        <v>2201</v>
      </c>
      <c r="AV220" s="196">
        <f>2365</f>
        <v>2365</v>
      </c>
      <c r="AW220" s="196">
        <f>2562</f>
        <v>2562</v>
      </c>
      <c r="AX220" s="196">
        <v>1880</v>
      </c>
      <c r="AY220" s="196">
        <v>1393</v>
      </c>
      <c r="AZ220" s="144">
        <f>+AY220</f>
        <v>1393</v>
      </c>
      <c r="BA220" s="196">
        <v>2583</v>
      </c>
      <c r="BB220" s="196">
        <v>2018</v>
      </c>
      <c r="BC220" s="196">
        <v>1369</v>
      </c>
      <c r="BD220" s="196">
        <v>1590</v>
      </c>
      <c r="BE220" s="144">
        <f>BE204</f>
        <v>1590</v>
      </c>
      <c r="BF220" s="196">
        <v>1240</v>
      </c>
      <c r="BG220" s="196">
        <v>1271</v>
      </c>
      <c r="BH220" s="196">
        <v>2330</v>
      </c>
      <c r="BI220" s="196">
        <v>2883</v>
      </c>
      <c r="BJ220" s="144">
        <f t="shared" ref="BJ220:CD220" si="153">BJ204</f>
        <v>2883</v>
      </c>
      <c r="BK220" s="196">
        <v>2879</v>
      </c>
      <c r="BL220" s="145">
        <f t="shared" si="153"/>
        <v>3223.0767337822108</v>
      </c>
      <c r="BM220" s="145">
        <f t="shared" si="153"/>
        <v>9736.0634317097029</v>
      </c>
      <c r="BN220" s="145">
        <f t="shared" si="153"/>
        <v>10141.84483609525</v>
      </c>
      <c r="BO220" s="144">
        <f t="shared" si="153"/>
        <v>10141.844836095252</v>
      </c>
      <c r="BP220" s="145">
        <f t="shared" si="153"/>
        <v>10016.554531476688</v>
      </c>
      <c r="BQ220" s="145">
        <f t="shared" si="153"/>
        <v>10562.391568884377</v>
      </c>
      <c r="BR220" s="145">
        <f t="shared" si="153"/>
        <v>11104.033054890901</v>
      </c>
      <c r="BS220" s="145">
        <f t="shared" si="153"/>
        <v>12035.810738380704</v>
      </c>
      <c r="BT220" s="144">
        <f t="shared" si="153"/>
        <v>12035.810738380707</v>
      </c>
      <c r="BU220" s="145">
        <f t="shared" si="153"/>
        <v>12508.644594045774</v>
      </c>
      <c r="BV220" s="145">
        <f t="shared" si="153"/>
        <v>13168.57533048504</v>
      </c>
      <c r="BW220" s="145">
        <f t="shared" si="153"/>
        <v>13764.605253180465</v>
      </c>
      <c r="BX220" s="145">
        <f t="shared" si="153"/>
        <v>14874.603959983528</v>
      </c>
      <c r="BY220" s="144">
        <f t="shared" si="153"/>
        <v>14874.603959983528</v>
      </c>
      <c r="BZ220" s="145">
        <f t="shared" si="153"/>
        <v>15457.089046452116</v>
      </c>
      <c r="CA220" s="145">
        <f t="shared" si="153"/>
        <v>16343.503748964704</v>
      </c>
      <c r="CB220" s="145">
        <f t="shared" si="153"/>
        <v>17187.762336111216</v>
      </c>
      <c r="CC220" s="145">
        <f t="shared" si="153"/>
        <v>18634.145332019027</v>
      </c>
      <c r="CD220" s="144">
        <f t="shared" si="153"/>
        <v>18634.145332019027</v>
      </c>
      <c r="CE220" s="434"/>
      <c r="CL220" s="436"/>
      <c r="CM220" s="160"/>
    </row>
    <row r="221" spans="1:91" ht="13.5" customHeight="1">
      <c r="A221" s="434"/>
      <c r="B221" s="435" t="s">
        <v>220</v>
      </c>
      <c r="C221" s="437"/>
      <c r="D221" s="437"/>
      <c r="E221" s="437"/>
      <c r="F221" s="116"/>
      <c r="G221" s="169"/>
      <c r="H221" s="437"/>
      <c r="I221" s="437"/>
      <c r="J221" s="437"/>
      <c r="K221" s="116"/>
      <c r="L221" s="169"/>
      <c r="M221" s="437"/>
      <c r="N221" s="437"/>
      <c r="O221" s="437"/>
      <c r="P221" s="116"/>
      <c r="Q221" s="169"/>
      <c r="R221" s="437"/>
      <c r="S221" s="437"/>
      <c r="T221" s="437"/>
      <c r="U221" s="116"/>
      <c r="V221" s="169"/>
      <c r="W221" s="437"/>
      <c r="X221" s="437"/>
      <c r="Y221" s="437"/>
      <c r="Z221" s="116"/>
      <c r="AA221" s="169"/>
      <c r="AB221" s="437"/>
      <c r="AC221" s="437"/>
      <c r="AD221" s="437"/>
      <c r="AE221" s="116"/>
      <c r="AF221" s="169"/>
      <c r="AG221" s="437"/>
      <c r="AH221" s="437"/>
      <c r="AI221" s="437"/>
      <c r="AJ221" s="116"/>
      <c r="AK221" s="169"/>
      <c r="AL221" s="437"/>
      <c r="AM221" s="437"/>
      <c r="AN221" s="437"/>
      <c r="AO221" s="116"/>
      <c r="AP221" s="169">
        <v>321</v>
      </c>
      <c r="AQ221" s="437"/>
      <c r="AR221" s="437"/>
      <c r="AS221" s="437"/>
      <c r="AT221" s="196">
        <v>29</v>
      </c>
      <c r="AU221" s="169">
        <v>29</v>
      </c>
      <c r="AV221" s="196">
        <v>10</v>
      </c>
      <c r="AW221" s="196">
        <v>1846</v>
      </c>
      <c r="AX221" s="196">
        <v>2419</v>
      </c>
      <c r="AY221" s="196">
        <v>2018</v>
      </c>
      <c r="AZ221" s="144">
        <f t="shared" ref="AZ221:AZ227" si="154">AY221</f>
        <v>2018</v>
      </c>
      <c r="BA221" s="196">
        <v>2184</v>
      </c>
      <c r="BB221" s="196">
        <v>2939</v>
      </c>
      <c r="BC221" s="196">
        <v>3719</v>
      </c>
      <c r="BD221" s="196">
        <v>3385</v>
      </c>
      <c r="BE221" s="144">
        <f t="shared" ref="BE221:BE227" si="155">BD221</f>
        <v>3385</v>
      </c>
      <c r="BF221" s="196">
        <v>2815</v>
      </c>
      <c r="BG221" s="196">
        <v>2820</v>
      </c>
      <c r="BH221" s="196">
        <v>2591</v>
      </c>
      <c r="BI221" s="196">
        <v>2812</v>
      </c>
      <c r="BJ221" s="144">
        <f t="shared" ref="BJ221:BJ227" si="156">BI221</f>
        <v>2812</v>
      </c>
      <c r="BK221" s="196">
        <v>3427</v>
      </c>
      <c r="BL221" s="145">
        <f>BK221-BL182-BL183</f>
        <v>3427</v>
      </c>
      <c r="BM221" s="145">
        <f>BL221-BM182-BM183</f>
        <v>3427</v>
      </c>
      <c r="BN221" s="145">
        <f>BM221-BN182-BN183</f>
        <v>3427</v>
      </c>
      <c r="BO221" s="144">
        <f t="shared" ref="BO221:BO227" si="157">BN221</f>
        <v>3427</v>
      </c>
      <c r="BP221" s="145">
        <f>BO221-BP182-BP183</f>
        <v>3427</v>
      </c>
      <c r="BQ221" s="145">
        <f>BP221-BQ182-BQ183</f>
        <v>3427</v>
      </c>
      <c r="BR221" s="145">
        <f>BQ221-BR182-BR183</f>
        <v>3427</v>
      </c>
      <c r="BS221" s="145">
        <f>BR221-BS182-BS183</f>
        <v>3427</v>
      </c>
      <c r="BT221" s="144">
        <f t="shared" ref="BT221:BT227" si="158">BS221</f>
        <v>3427</v>
      </c>
      <c r="BU221" s="145">
        <f>BT221-BU182-BU183</f>
        <v>3427</v>
      </c>
      <c r="BV221" s="145">
        <f>BU221-BV182-BV183</f>
        <v>3427</v>
      </c>
      <c r="BW221" s="145">
        <f>BV221-BW182-BW183</f>
        <v>3427</v>
      </c>
      <c r="BX221" s="145">
        <f>BW221-BX182-BX183</f>
        <v>3427</v>
      </c>
      <c r="BY221" s="144">
        <f t="shared" ref="BY221:BY227" si="159">BX221</f>
        <v>3427</v>
      </c>
      <c r="BZ221" s="145">
        <f>BY221-BZ182-BZ183</f>
        <v>3427</v>
      </c>
      <c r="CA221" s="145">
        <f>BZ221-CA182-CA183</f>
        <v>3427</v>
      </c>
      <c r="CB221" s="145">
        <f>CA221-CB182-CB183</f>
        <v>3427</v>
      </c>
      <c r="CC221" s="145">
        <f>CB221-CC182-CC183</f>
        <v>3427</v>
      </c>
      <c r="CD221" s="144">
        <f t="shared" ref="CD221:CD227" si="160">CC221</f>
        <v>3427</v>
      </c>
      <c r="CE221" s="434"/>
      <c r="CL221" s="436"/>
      <c r="CM221" s="160"/>
    </row>
    <row r="222" spans="1:91" ht="13.5" customHeight="1">
      <c r="A222" s="434"/>
      <c r="B222" s="435" t="s">
        <v>221</v>
      </c>
      <c r="C222" s="437"/>
      <c r="D222" s="437"/>
      <c r="E222" s="437"/>
      <c r="F222" s="116"/>
      <c r="G222" s="169"/>
      <c r="H222" s="437"/>
      <c r="I222" s="437"/>
      <c r="J222" s="437"/>
      <c r="K222" s="116"/>
      <c r="L222" s="169"/>
      <c r="M222" s="437"/>
      <c r="N222" s="437"/>
      <c r="O222" s="437"/>
      <c r="P222" s="116"/>
      <c r="Q222" s="169"/>
      <c r="R222" s="437"/>
      <c r="S222" s="437"/>
      <c r="T222" s="437"/>
      <c r="U222" s="116"/>
      <c r="V222" s="169"/>
      <c r="W222" s="437"/>
      <c r="X222" s="437"/>
      <c r="Y222" s="437"/>
      <c r="Z222" s="116"/>
      <c r="AA222" s="169"/>
      <c r="AB222" s="437"/>
      <c r="AC222" s="437"/>
      <c r="AD222" s="437"/>
      <c r="AE222" s="116"/>
      <c r="AF222" s="169"/>
      <c r="AG222" s="437"/>
      <c r="AH222" s="437"/>
      <c r="AI222" s="437"/>
      <c r="AJ222" s="116"/>
      <c r="AK222" s="169"/>
      <c r="AL222" s="437"/>
      <c r="AM222" s="437"/>
      <c r="AN222" s="437"/>
      <c r="AO222" s="116"/>
      <c r="AP222" s="169">
        <v>52</v>
      </c>
      <c r="AQ222" s="437"/>
      <c r="AR222" s="437"/>
      <c r="AS222" s="437"/>
      <c r="AT222" s="196">
        <v>65</v>
      </c>
      <c r="AU222" s="169">
        <v>65</v>
      </c>
      <c r="AV222" s="196">
        <v>53</v>
      </c>
      <c r="AW222" s="196">
        <v>81</v>
      </c>
      <c r="AX222" s="196">
        <v>173</v>
      </c>
      <c r="AY222" s="196">
        <v>137</v>
      </c>
      <c r="AZ222" s="144">
        <f t="shared" si="154"/>
        <v>137</v>
      </c>
      <c r="BA222" s="196">
        <v>159</v>
      </c>
      <c r="BB222" s="196">
        <v>167</v>
      </c>
      <c r="BC222" s="196">
        <v>187</v>
      </c>
      <c r="BD222" s="196">
        <v>214</v>
      </c>
      <c r="BE222" s="144">
        <f t="shared" si="155"/>
        <v>214</v>
      </c>
      <c r="BF222" s="196">
        <v>178</v>
      </c>
      <c r="BG222" s="196">
        <v>176</v>
      </c>
      <c r="BH222" s="196">
        <v>301</v>
      </c>
      <c r="BI222" s="196">
        <v>283</v>
      </c>
      <c r="BJ222" s="144">
        <f t="shared" si="156"/>
        <v>283</v>
      </c>
      <c r="BK222" s="196">
        <v>258</v>
      </c>
      <c r="BL222" s="145">
        <f t="shared" ref="BL222" si="161">BL14*BL267/90</f>
        <v>267.51067406705846</v>
      </c>
      <c r="BM222" s="145">
        <f>BM14*BM267/90</f>
        <v>256.37364642419686</v>
      </c>
      <c r="BN222" s="145">
        <f>BN14*BN267/90</f>
        <v>296.96926413117001</v>
      </c>
      <c r="BO222" s="144">
        <f t="shared" si="157"/>
        <v>296.96926413117001</v>
      </c>
      <c r="BP222" s="145">
        <f>BP14*BP267/90</f>
        <v>317.53111319441729</v>
      </c>
      <c r="BQ222" s="145">
        <f>BQ14*BQ267/90</f>
        <v>330.11301408410696</v>
      </c>
      <c r="BR222" s="145">
        <f>BR14*BR267/90</f>
        <v>339.63634363020736</v>
      </c>
      <c r="BS222" s="145">
        <f>BS14*BS267/90</f>
        <v>393.6453694473222</v>
      </c>
      <c r="BT222" s="144">
        <f t="shared" si="158"/>
        <v>393.6453694473222</v>
      </c>
      <c r="BU222" s="145">
        <f>BU14*BU267/90</f>
        <v>318.18760414258617</v>
      </c>
      <c r="BV222" s="145">
        <f>BV14*BV267/90</f>
        <v>331.97833767374482</v>
      </c>
      <c r="BW222" s="145">
        <f>BW14*BW267/90</f>
        <v>335.6679207841654</v>
      </c>
      <c r="BX222" s="145">
        <f>BX14*BX267/90</f>
        <v>390.43414086217405</v>
      </c>
      <c r="BY222" s="144">
        <f t="shared" si="159"/>
        <v>390.43414086217405</v>
      </c>
      <c r="BZ222" s="145">
        <f>BZ14*BZ267/90</f>
        <v>365.67580444858589</v>
      </c>
      <c r="CA222" s="145">
        <f>CA14*CA267/90</f>
        <v>382.16997321643953</v>
      </c>
      <c r="CB222" s="145">
        <f>CB14*CB267/90</f>
        <v>389.02109439601657</v>
      </c>
      <c r="CC222" s="145">
        <f>CC14*CC267/90</f>
        <v>453.18792628287417</v>
      </c>
      <c r="CD222" s="144">
        <f t="shared" si="160"/>
        <v>453.18792628287417</v>
      </c>
      <c r="CE222" s="434"/>
      <c r="CL222" s="436"/>
      <c r="CM222" s="160"/>
    </row>
    <row r="223" spans="1:91" ht="13.5" customHeight="1">
      <c r="A223" s="434"/>
      <c r="B223" s="435" t="s">
        <v>222</v>
      </c>
      <c r="C223" s="437"/>
      <c r="D223" s="437"/>
      <c r="E223" s="437"/>
      <c r="F223" s="116"/>
      <c r="G223" s="169"/>
      <c r="H223" s="437"/>
      <c r="I223" s="437"/>
      <c r="J223" s="437"/>
      <c r="K223" s="116"/>
      <c r="L223" s="169"/>
      <c r="M223" s="437"/>
      <c r="N223" s="437"/>
      <c r="O223" s="437"/>
      <c r="P223" s="116"/>
      <c r="Q223" s="169"/>
      <c r="R223" s="437"/>
      <c r="S223" s="437"/>
      <c r="T223" s="437"/>
      <c r="U223" s="116"/>
      <c r="V223" s="169"/>
      <c r="W223" s="437"/>
      <c r="X223" s="437"/>
      <c r="Y223" s="437"/>
      <c r="Z223" s="116"/>
      <c r="AA223" s="169"/>
      <c r="AB223" s="437"/>
      <c r="AC223" s="437"/>
      <c r="AD223" s="437"/>
      <c r="AE223" s="116"/>
      <c r="AF223" s="169"/>
      <c r="AG223" s="437"/>
      <c r="AH223" s="437"/>
      <c r="AI223" s="437"/>
      <c r="AJ223" s="116"/>
      <c r="AK223" s="169"/>
      <c r="AL223" s="437"/>
      <c r="AM223" s="437"/>
      <c r="AN223" s="437"/>
      <c r="AO223" s="116"/>
      <c r="AP223" s="169">
        <v>2789</v>
      </c>
      <c r="AQ223" s="437"/>
      <c r="AR223" s="437"/>
      <c r="AS223" s="437"/>
      <c r="AT223" s="196">
        <v>3586</v>
      </c>
      <c r="AU223" s="169">
        <v>3586</v>
      </c>
      <c r="AV223" s="196">
        <v>3566</v>
      </c>
      <c r="AW223" s="196">
        <v>3152</v>
      </c>
      <c r="AX223" s="196">
        <v>3602</v>
      </c>
      <c r="AY223" s="196">
        <v>4184</v>
      </c>
      <c r="AZ223" s="144">
        <f t="shared" si="154"/>
        <v>4184</v>
      </c>
      <c r="BA223" s="196">
        <v>4224</v>
      </c>
      <c r="BB223" s="196">
        <v>4507</v>
      </c>
      <c r="BC223" s="196">
        <v>4815</v>
      </c>
      <c r="BD223" s="196">
        <v>5348</v>
      </c>
      <c r="BE223" s="144">
        <f t="shared" si="155"/>
        <v>5348</v>
      </c>
      <c r="BF223" s="196">
        <v>5354</v>
      </c>
      <c r="BG223" s="196">
        <v>5752</v>
      </c>
      <c r="BH223" s="196">
        <v>6321</v>
      </c>
      <c r="BI223" s="196">
        <v>1314</v>
      </c>
      <c r="BJ223" s="144">
        <f t="shared" si="156"/>
        <v>1314</v>
      </c>
      <c r="BK223" s="196">
        <v>1579</v>
      </c>
      <c r="BL223" s="145">
        <f t="shared" ref="BL223:BN223" si="162">BK223-BL181-BL162</f>
        <v>1524.9676901327439</v>
      </c>
      <c r="BM223" s="145">
        <f t="shared" si="162"/>
        <v>1444.7787575314667</v>
      </c>
      <c r="BN223" s="145">
        <f t="shared" si="162"/>
        <v>1358.2356463424499</v>
      </c>
      <c r="BO223" s="144">
        <f t="shared" si="157"/>
        <v>1358.2356463424499</v>
      </c>
      <c r="BP223" s="145">
        <f>BO223-BP181-BP162</f>
        <v>1011.9943090980914</v>
      </c>
      <c r="BQ223" s="145">
        <f>BP223-BQ181-BQ162</f>
        <v>643.60674171987034</v>
      </c>
      <c r="BR223" s="145">
        <f>BQ223-BR181-BR162</f>
        <v>257.76497308139517</v>
      </c>
      <c r="BS223" s="145">
        <f>BR223-BS181-BS162</f>
        <v>-181.45124462499388</v>
      </c>
      <c r="BT223" s="144">
        <f t="shared" si="158"/>
        <v>-181.45124462499388</v>
      </c>
      <c r="BU223" s="145">
        <f>BT223-BU181-BU162</f>
        <v>-597.66355742711517</v>
      </c>
      <c r="BV223" s="145">
        <f>BU223-BV181-BV162</f>
        <v>-1040.3784085800419</v>
      </c>
      <c r="BW223" s="145">
        <f>BV223-BW181-BW162</f>
        <v>-1496.3458117660277</v>
      </c>
      <c r="BX223" s="145">
        <f>BW223-BX181-BX162</f>
        <v>-2015.2830468126449</v>
      </c>
      <c r="BY223" s="144">
        <f t="shared" si="159"/>
        <v>-2015.2830468126449</v>
      </c>
      <c r="BZ223" s="145">
        <f>BY223-BZ181-BZ162</f>
        <v>-2502.8185440927582</v>
      </c>
      <c r="CA223" s="145">
        <f>BZ223-CA181-CA162</f>
        <v>-3021.3311812560719</v>
      </c>
      <c r="CB223" s="145">
        <f>CA223-CB181-CB162</f>
        <v>-3555.1316708183281</v>
      </c>
      <c r="CC223" s="145">
        <f>CB223-CC181-CC162</f>
        <v>-4162.5991044845159</v>
      </c>
      <c r="CD223" s="144">
        <f t="shared" si="160"/>
        <v>-4162.5991044845159</v>
      </c>
      <c r="CE223" s="434"/>
      <c r="CL223" s="436"/>
      <c r="CM223" s="160"/>
    </row>
    <row r="224" spans="1:91" ht="13.5" customHeight="1">
      <c r="A224" s="434"/>
      <c r="B224" s="1273" t="s">
        <v>602</v>
      </c>
      <c r="C224" s="437"/>
      <c r="D224" s="437"/>
      <c r="E224" s="437"/>
      <c r="F224" s="116"/>
      <c r="G224" s="169"/>
      <c r="H224" s="437"/>
      <c r="I224" s="437"/>
      <c r="J224" s="437"/>
      <c r="K224" s="116"/>
      <c r="L224" s="169"/>
      <c r="M224" s="437"/>
      <c r="N224" s="437"/>
      <c r="O224" s="437"/>
      <c r="P224" s="116"/>
      <c r="Q224" s="169"/>
      <c r="R224" s="437"/>
      <c r="S224" s="437"/>
      <c r="T224" s="437"/>
      <c r="U224" s="116"/>
      <c r="V224" s="169"/>
      <c r="W224" s="437"/>
      <c r="X224" s="437"/>
      <c r="Y224" s="437"/>
      <c r="Z224" s="116"/>
      <c r="AA224" s="169"/>
      <c r="AB224" s="437"/>
      <c r="AC224" s="437"/>
      <c r="AD224" s="437"/>
      <c r="AE224" s="116"/>
      <c r="AF224" s="169"/>
      <c r="AG224" s="437"/>
      <c r="AH224" s="437"/>
      <c r="AI224" s="437"/>
      <c r="AJ224" s="116"/>
      <c r="AK224" s="169"/>
      <c r="AL224" s="437"/>
      <c r="AM224" s="437"/>
      <c r="AN224" s="437"/>
      <c r="AO224" s="116"/>
      <c r="AP224" s="169"/>
      <c r="AQ224" s="437"/>
      <c r="AR224" s="437"/>
      <c r="AS224" s="437"/>
      <c r="AT224" s="196"/>
      <c r="AU224" s="169"/>
      <c r="AV224" s="196"/>
      <c r="AW224" s="196"/>
      <c r="AX224" s="196"/>
      <c r="AY224" s="196"/>
      <c r="AZ224" s="144"/>
      <c r="BA224" s="196"/>
      <c r="BB224" s="196"/>
      <c r="BC224" s="196"/>
      <c r="BD224" s="196"/>
      <c r="BE224" s="144"/>
      <c r="BF224" s="196"/>
      <c r="BG224" s="196"/>
      <c r="BH224" s="196"/>
      <c r="BI224" s="196">
        <v>6398</v>
      </c>
      <c r="BJ224" s="144">
        <f t="shared" si="156"/>
        <v>6398</v>
      </c>
      <c r="BK224" s="196">
        <v>6537</v>
      </c>
      <c r="BL224" s="145">
        <f>+BK224</f>
        <v>6537</v>
      </c>
      <c r="BM224" s="145">
        <f>BL224-BM185</f>
        <v>0</v>
      </c>
      <c r="BN224" s="145">
        <f>BM224-BN185</f>
        <v>0</v>
      </c>
      <c r="BO224" s="144">
        <f t="shared" si="157"/>
        <v>0</v>
      </c>
      <c r="BP224" s="145">
        <f>BO224-BP185</f>
        <v>0</v>
      </c>
      <c r="BQ224" s="145">
        <f>BP224-BQ185</f>
        <v>0</v>
      </c>
      <c r="BR224" s="145">
        <f>BQ224-BR185</f>
        <v>0</v>
      </c>
      <c r="BS224" s="145">
        <f>BR224-BS185</f>
        <v>0</v>
      </c>
      <c r="BT224" s="144">
        <f t="shared" si="158"/>
        <v>0</v>
      </c>
      <c r="BU224" s="145"/>
      <c r="BV224" s="145"/>
      <c r="BW224" s="145"/>
      <c r="BX224" s="145"/>
      <c r="BY224" s="144">
        <f t="shared" si="159"/>
        <v>0</v>
      </c>
      <c r="BZ224" s="145"/>
      <c r="CA224" s="145"/>
      <c r="CB224" s="145"/>
      <c r="CC224" s="145"/>
      <c r="CD224" s="144">
        <f t="shared" si="160"/>
        <v>0</v>
      </c>
      <c r="CE224" s="434"/>
      <c r="CL224" s="436"/>
      <c r="CM224" s="160"/>
    </row>
    <row r="225" spans="1:91" ht="13.5" customHeight="1">
      <c r="A225" s="434"/>
      <c r="B225" s="435" t="s">
        <v>203</v>
      </c>
      <c r="C225" s="437"/>
      <c r="D225" s="437"/>
      <c r="E225" s="437"/>
      <c r="F225" s="116"/>
      <c r="G225" s="169"/>
      <c r="H225" s="437"/>
      <c r="I225" s="437"/>
      <c r="J225" s="437"/>
      <c r="K225" s="116"/>
      <c r="L225" s="169"/>
      <c r="M225" s="437"/>
      <c r="N225" s="437"/>
      <c r="O225" s="437"/>
      <c r="P225" s="116"/>
      <c r="Q225" s="169"/>
      <c r="R225" s="437"/>
      <c r="S225" s="437"/>
      <c r="T225" s="437"/>
      <c r="U225" s="116"/>
      <c r="V225" s="169"/>
      <c r="W225" s="437"/>
      <c r="X225" s="437"/>
      <c r="Y225" s="437"/>
      <c r="Z225" s="116"/>
      <c r="AA225" s="169"/>
      <c r="AB225" s="437"/>
      <c r="AC225" s="437"/>
      <c r="AD225" s="437"/>
      <c r="AE225" s="116"/>
      <c r="AF225" s="169"/>
      <c r="AG225" s="437"/>
      <c r="AH225" s="437"/>
      <c r="AI225" s="437"/>
      <c r="AJ225" s="116"/>
      <c r="AK225" s="169"/>
      <c r="AL225" s="437"/>
      <c r="AM225" s="437"/>
      <c r="AN225" s="437"/>
      <c r="AO225" s="116"/>
      <c r="AP225" s="169">
        <v>9277</v>
      </c>
      <c r="AQ225" s="437"/>
      <c r="AR225" s="437"/>
      <c r="AS225" s="437"/>
      <c r="AT225" s="196">
        <v>10612</v>
      </c>
      <c r="AU225" s="169">
        <v>10612</v>
      </c>
      <c r="AV225" s="196">
        <v>10945</v>
      </c>
      <c r="AW225" s="196">
        <v>11386</v>
      </c>
      <c r="AX225" s="196">
        <v>11802</v>
      </c>
      <c r="AY225" s="196">
        <v>12261</v>
      </c>
      <c r="AZ225" s="144">
        <f t="shared" si="154"/>
        <v>12261</v>
      </c>
      <c r="BA225" s="196">
        <v>12232</v>
      </c>
      <c r="BB225" s="196">
        <v>13034</v>
      </c>
      <c r="BC225" s="196">
        <v>13320</v>
      </c>
      <c r="BD225" s="196">
        <v>14363</v>
      </c>
      <c r="BE225" s="144">
        <f t="shared" si="155"/>
        <v>14363</v>
      </c>
      <c r="BF225" s="196">
        <v>14941</v>
      </c>
      <c r="BG225" s="196">
        <v>16178</v>
      </c>
      <c r="BH225" s="196">
        <v>17175</v>
      </c>
      <c r="BI225" s="196">
        <v>18242</v>
      </c>
      <c r="BJ225" s="144">
        <f t="shared" si="156"/>
        <v>18242</v>
      </c>
      <c r="BK225" s="196">
        <v>19162</v>
      </c>
      <c r="BL225" s="145">
        <f>BK225-BL193</f>
        <v>19162</v>
      </c>
      <c r="BM225" s="145">
        <f>BL225-BM193</f>
        <v>19162</v>
      </c>
      <c r="BN225" s="145">
        <f>BM225-BN193</f>
        <v>19162</v>
      </c>
      <c r="BO225" s="144">
        <f t="shared" si="157"/>
        <v>19162</v>
      </c>
      <c r="BP225" s="145">
        <f>BO225-BP193</f>
        <v>19162</v>
      </c>
      <c r="BQ225" s="145">
        <f>BP225-BQ193</f>
        <v>19162</v>
      </c>
      <c r="BR225" s="145">
        <f>BQ225-BR193</f>
        <v>19162</v>
      </c>
      <c r="BS225" s="145">
        <f>BR225-BS193</f>
        <v>19162</v>
      </c>
      <c r="BT225" s="144">
        <f t="shared" si="158"/>
        <v>19162</v>
      </c>
      <c r="BU225" s="145">
        <f>BT225-BU193</f>
        <v>19162</v>
      </c>
      <c r="BV225" s="145">
        <f>BU225-BV193</f>
        <v>19162</v>
      </c>
      <c r="BW225" s="145">
        <f>BV225-BW193</f>
        <v>19162</v>
      </c>
      <c r="BX225" s="145">
        <f>BW225-BX193</f>
        <v>19162</v>
      </c>
      <c r="BY225" s="144">
        <f t="shared" si="159"/>
        <v>19162</v>
      </c>
      <c r="BZ225" s="145">
        <f>BY225-BZ193</f>
        <v>19162</v>
      </c>
      <c r="CA225" s="145">
        <f>BZ225-CA193</f>
        <v>19162</v>
      </c>
      <c r="CB225" s="145">
        <f>CA225-CB193</f>
        <v>19162</v>
      </c>
      <c r="CC225" s="145">
        <f>CB225-CC193</f>
        <v>19162</v>
      </c>
      <c r="CD225" s="144">
        <f t="shared" si="160"/>
        <v>19162</v>
      </c>
      <c r="CE225" s="434"/>
      <c r="CL225" s="436"/>
      <c r="CM225" s="160"/>
    </row>
    <row r="226" spans="1:91" ht="13.5" customHeight="1">
      <c r="A226" s="434"/>
      <c r="B226" s="435" t="s">
        <v>184</v>
      </c>
      <c r="C226" s="437"/>
      <c r="D226" s="437"/>
      <c r="E226" s="437"/>
      <c r="F226" s="116"/>
      <c r="G226" s="169"/>
      <c r="H226" s="437"/>
      <c r="I226" s="437"/>
      <c r="J226" s="437"/>
      <c r="K226" s="116"/>
      <c r="L226" s="169"/>
      <c r="M226" s="437"/>
      <c r="N226" s="437"/>
      <c r="O226" s="437"/>
      <c r="P226" s="116"/>
      <c r="Q226" s="169"/>
      <c r="R226" s="437"/>
      <c r="S226" s="437"/>
      <c r="T226" s="437"/>
      <c r="U226" s="116"/>
      <c r="V226" s="169"/>
      <c r="W226" s="437"/>
      <c r="X226" s="437"/>
      <c r="Y226" s="437"/>
      <c r="Z226" s="116"/>
      <c r="AA226" s="169"/>
      <c r="AB226" s="437"/>
      <c r="AC226" s="437"/>
      <c r="AD226" s="437"/>
      <c r="AE226" s="116"/>
      <c r="AF226" s="169"/>
      <c r="AG226" s="437"/>
      <c r="AH226" s="437"/>
      <c r="AI226" s="437"/>
      <c r="AJ226" s="116"/>
      <c r="AK226" s="169"/>
      <c r="AL226" s="437"/>
      <c r="AM226" s="437"/>
      <c r="AN226" s="437"/>
      <c r="AO226" s="116"/>
      <c r="AP226" s="169">
        <v>310</v>
      </c>
      <c r="AQ226" s="437"/>
      <c r="AR226" s="437"/>
      <c r="AS226" s="437"/>
      <c r="AT226" s="196">
        <v>694</v>
      </c>
      <c r="AU226" s="169">
        <v>694</v>
      </c>
      <c r="AV226" s="196">
        <f>788</f>
        <v>788</v>
      </c>
      <c r="AW226" s="196">
        <v>103</v>
      </c>
      <c r="AX226" s="196">
        <v>0</v>
      </c>
      <c r="AY226" s="196">
        <v>0</v>
      </c>
      <c r="AZ226" s="144">
        <f t="shared" si="154"/>
        <v>0</v>
      </c>
      <c r="BA226" s="196">
        <v>0</v>
      </c>
      <c r="BB226" s="196">
        <v>0</v>
      </c>
      <c r="BC226" s="196">
        <v>0</v>
      </c>
      <c r="BD226" s="196">
        <v>0</v>
      </c>
      <c r="BE226" s="144">
        <f t="shared" si="155"/>
        <v>0</v>
      </c>
      <c r="BF226" s="196">
        <v>0</v>
      </c>
      <c r="BG226" s="196">
        <v>0</v>
      </c>
      <c r="BH226" s="196">
        <v>0</v>
      </c>
      <c r="BI226" s="196">
        <v>0</v>
      </c>
      <c r="BJ226" s="144">
        <f t="shared" si="156"/>
        <v>0</v>
      </c>
      <c r="BK226" s="196">
        <v>0</v>
      </c>
      <c r="BL226" s="145">
        <f>BK226-BL185-BL170</f>
        <v>0</v>
      </c>
      <c r="BM226" s="145">
        <f>BL226-BM170</f>
        <v>0</v>
      </c>
      <c r="BN226" s="145">
        <f>BM226-BN185-BN170</f>
        <v>0</v>
      </c>
      <c r="BO226" s="144">
        <f t="shared" si="157"/>
        <v>0</v>
      </c>
      <c r="BP226" s="145">
        <f>BO226-BP185-BP170</f>
        <v>0</v>
      </c>
      <c r="BQ226" s="145">
        <f>BP226-BQ185-BQ170</f>
        <v>0</v>
      </c>
      <c r="BR226" s="145">
        <f>BQ226-BR185-BR170</f>
        <v>0</v>
      </c>
      <c r="BS226" s="145">
        <f>BR226-BS185-BS170</f>
        <v>0</v>
      </c>
      <c r="BT226" s="144">
        <f t="shared" si="158"/>
        <v>0</v>
      </c>
      <c r="BU226" s="145">
        <f>BT226-BU185-BU170</f>
        <v>0</v>
      </c>
      <c r="BV226" s="145">
        <f>BU226-BV185-BV170</f>
        <v>0</v>
      </c>
      <c r="BW226" s="145">
        <f>BV226-BW185-BW170</f>
        <v>0</v>
      </c>
      <c r="BX226" s="145">
        <f>BW226-BX185-BX170</f>
        <v>0</v>
      </c>
      <c r="BY226" s="144">
        <f t="shared" si="159"/>
        <v>0</v>
      </c>
      <c r="BZ226" s="145">
        <f>BY226-BZ185-BZ170</f>
        <v>0</v>
      </c>
      <c r="CA226" s="145">
        <f>BZ226-CA185-CA170</f>
        <v>0</v>
      </c>
      <c r="CB226" s="145">
        <f>CA226-CB185-CB170</f>
        <v>0</v>
      </c>
      <c r="CC226" s="145">
        <f>CB226-CC185-CC170</f>
        <v>0</v>
      </c>
      <c r="CD226" s="144">
        <f t="shared" si="160"/>
        <v>0</v>
      </c>
      <c r="CE226" s="434"/>
      <c r="CL226" s="436"/>
      <c r="CM226" s="160"/>
    </row>
    <row r="227" spans="1:91" ht="13.5" customHeight="1" thickBot="1">
      <c r="A227" s="434"/>
      <c r="B227" s="435" t="s">
        <v>223</v>
      </c>
      <c r="C227" s="437"/>
      <c r="D227" s="437"/>
      <c r="E227" s="437"/>
      <c r="F227" s="116"/>
      <c r="G227" s="169"/>
      <c r="H227" s="437"/>
      <c r="I227" s="437"/>
      <c r="J227" s="437"/>
      <c r="K227" s="116"/>
      <c r="L227" s="169"/>
      <c r="M227" s="437"/>
      <c r="N227" s="437"/>
      <c r="O227" s="437"/>
      <c r="P227" s="116"/>
      <c r="Q227" s="169"/>
      <c r="R227" s="437"/>
      <c r="S227" s="437"/>
      <c r="T227" s="437"/>
      <c r="U227" s="116"/>
      <c r="V227" s="169"/>
      <c r="W227" s="437"/>
      <c r="X227" s="437"/>
      <c r="Y227" s="437"/>
      <c r="Z227" s="116"/>
      <c r="AA227" s="169"/>
      <c r="AB227" s="437"/>
      <c r="AC227" s="437"/>
      <c r="AD227" s="437"/>
      <c r="AE227" s="116"/>
      <c r="AF227" s="169"/>
      <c r="AG227" s="437"/>
      <c r="AH227" s="437"/>
      <c r="AI227" s="437"/>
      <c r="AJ227" s="116"/>
      <c r="AK227" s="169"/>
      <c r="AL227" s="437"/>
      <c r="AM227" s="437"/>
      <c r="AN227" s="437"/>
      <c r="AO227" s="116"/>
      <c r="AP227" s="169">
        <v>267</v>
      </c>
      <c r="AQ227" s="437"/>
      <c r="AR227" s="437"/>
      <c r="AS227" s="437"/>
      <c r="AT227" s="196">
        <v>378</v>
      </c>
      <c r="AU227" s="169">
        <v>378</v>
      </c>
      <c r="AV227" s="196">
        <v>480</v>
      </c>
      <c r="AW227" s="196">
        <v>583</v>
      </c>
      <c r="AX227" s="196">
        <v>678</v>
      </c>
      <c r="AY227" s="196">
        <v>655</v>
      </c>
      <c r="AZ227" s="144">
        <f t="shared" si="154"/>
        <v>655</v>
      </c>
      <c r="BA227" s="196">
        <v>586</v>
      </c>
      <c r="BB227" s="196">
        <v>792</v>
      </c>
      <c r="BC227" s="196">
        <v>751</v>
      </c>
      <c r="BD227" s="196">
        <v>833</v>
      </c>
      <c r="BE227" s="144">
        <f t="shared" si="155"/>
        <v>833</v>
      </c>
      <c r="BF227" s="196">
        <v>897</v>
      </c>
      <c r="BG227" s="196">
        <v>838</v>
      </c>
      <c r="BH227" s="196">
        <v>719</v>
      </c>
      <c r="BI227" s="196">
        <v>713</v>
      </c>
      <c r="BJ227" s="144">
        <f t="shared" si="156"/>
        <v>713</v>
      </c>
      <c r="BK227" s="196">
        <v>900</v>
      </c>
      <c r="BL227" s="116">
        <f>BK227-BL172</f>
        <v>1079.0248057868739</v>
      </c>
      <c r="BM227" s="116">
        <f>BL227-BM172</f>
        <v>1250.5964352929893</v>
      </c>
      <c r="BN227" s="116">
        <f>BM227-BN172</f>
        <v>1449.3356632552591</v>
      </c>
      <c r="BO227" s="144">
        <f t="shared" si="157"/>
        <v>1449.3356632552591</v>
      </c>
      <c r="BP227" s="116">
        <f>BO227-BP172</f>
        <v>1640.622490873368</v>
      </c>
      <c r="BQ227" s="116">
        <f>BP227-BQ172</f>
        <v>1839.4888967015675</v>
      </c>
      <c r="BR227" s="116">
        <f>BQ227-BR172</f>
        <v>2044.0923387493326</v>
      </c>
      <c r="BS227" s="116">
        <f>BR227-BS172</f>
        <v>2281.2318529550876</v>
      </c>
      <c r="BT227" s="144">
        <f t="shared" si="158"/>
        <v>2281.2318529550876</v>
      </c>
      <c r="BU227" s="116">
        <f>BT227-BU172</f>
        <v>2504.8612150254166</v>
      </c>
      <c r="BV227" s="116">
        <f>BU227-BV172</f>
        <v>2738.1830129477498</v>
      </c>
      <c r="BW227" s="116">
        <f>BV227-BW172</f>
        <v>2974.0979323699357</v>
      </c>
      <c r="BX227" s="116">
        <f>BW227-BX172</f>
        <v>3248.5037756986358</v>
      </c>
      <c r="BY227" s="144">
        <f t="shared" si="159"/>
        <v>3248.5037756986358</v>
      </c>
      <c r="BZ227" s="116">
        <f>BY227-BZ172</f>
        <v>3505.5089066613941</v>
      </c>
      <c r="CA227" s="116">
        <f>BZ227-CA172</f>
        <v>3774.1065082025552</v>
      </c>
      <c r="CB227" s="116">
        <f>CA227-CB172</f>
        <v>4047.5192308826554</v>
      </c>
      <c r="CC227" s="116">
        <f>CB227-CC172</f>
        <v>4366.0298376226947</v>
      </c>
      <c r="CD227" s="144">
        <f t="shared" si="160"/>
        <v>4366.0298376226947</v>
      </c>
      <c r="CE227" s="434"/>
      <c r="CL227" s="436"/>
      <c r="CM227" s="160"/>
    </row>
    <row r="228" spans="1:91" ht="13.5" customHeight="1" thickTop="1" thickBot="1">
      <c r="A228" s="438"/>
      <c r="B228" s="439" t="s">
        <v>224</v>
      </c>
      <c r="C228" s="440"/>
      <c r="D228" s="440"/>
      <c r="E228" s="440"/>
      <c r="F228" s="440"/>
      <c r="G228" s="441"/>
      <c r="H228" s="440"/>
      <c r="I228" s="440"/>
      <c r="J228" s="440"/>
      <c r="K228" s="440"/>
      <c r="L228" s="441"/>
      <c r="M228" s="440"/>
      <c r="N228" s="440"/>
      <c r="O228" s="440"/>
      <c r="P228" s="440"/>
      <c r="Q228" s="441"/>
      <c r="R228" s="440"/>
      <c r="S228" s="440"/>
      <c r="T228" s="440"/>
      <c r="U228" s="440"/>
      <c r="V228" s="441"/>
      <c r="W228" s="440"/>
      <c r="X228" s="440"/>
      <c r="Y228" s="440"/>
      <c r="Z228" s="440"/>
      <c r="AA228" s="441"/>
      <c r="AB228" s="440"/>
      <c r="AC228" s="440"/>
      <c r="AD228" s="440"/>
      <c r="AE228" s="440"/>
      <c r="AF228" s="441"/>
      <c r="AG228" s="440"/>
      <c r="AH228" s="440"/>
      <c r="AI228" s="440"/>
      <c r="AJ228" s="440"/>
      <c r="AK228" s="441"/>
      <c r="AL228" s="440"/>
      <c r="AM228" s="440"/>
      <c r="AN228" s="440"/>
      <c r="AO228" s="440"/>
      <c r="AP228" s="441">
        <f>SUM(AP220:AP227)</f>
        <v>14620</v>
      </c>
      <c r="AQ228" s="440"/>
      <c r="AR228" s="440"/>
      <c r="AS228" s="440"/>
      <c r="AT228" s="442">
        <v>17565</v>
      </c>
      <c r="AU228" s="441">
        <f t="shared" ref="AU228:CD228" si="163">SUM(AU220:AU227)</f>
        <v>17565</v>
      </c>
      <c r="AV228" s="442">
        <f>SUM(AV220:AV227)</f>
        <v>18207</v>
      </c>
      <c r="AW228" s="442">
        <f t="shared" si="163"/>
        <v>19713</v>
      </c>
      <c r="AX228" s="442">
        <f t="shared" si="163"/>
        <v>20554</v>
      </c>
      <c r="AY228" s="442">
        <f t="shared" si="163"/>
        <v>20648</v>
      </c>
      <c r="AZ228" s="441">
        <f t="shared" si="163"/>
        <v>20648</v>
      </c>
      <c r="BA228" s="442">
        <f t="shared" si="163"/>
        <v>21968</v>
      </c>
      <c r="BB228" s="442">
        <f t="shared" si="163"/>
        <v>23457</v>
      </c>
      <c r="BC228" s="442">
        <f t="shared" si="163"/>
        <v>24161</v>
      </c>
      <c r="BD228" s="442">
        <f t="shared" si="163"/>
        <v>25733</v>
      </c>
      <c r="BE228" s="441">
        <f t="shared" si="163"/>
        <v>25733</v>
      </c>
      <c r="BF228" s="442">
        <f t="shared" si="163"/>
        <v>25425</v>
      </c>
      <c r="BG228" s="442">
        <f t="shared" si="163"/>
        <v>27035</v>
      </c>
      <c r="BH228" s="442">
        <f t="shared" si="163"/>
        <v>29437</v>
      </c>
      <c r="BI228" s="442">
        <f t="shared" si="163"/>
        <v>32645</v>
      </c>
      <c r="BJ228" s="441">
        <f t="shared" si="163"/>
        <v>32645</v>
      </c>
      <c r="BK228" s="442">
        <f t="shared" si="163"/>
        <v>34742</v>
      </c>
      <c r="BL228" s="440">
        <f t="shared" si="163"/>
        <v>35220.579903768885</v>
      </c>
      <c r="BM228" s="440">
        <f t="shared" si="163"/>
        <v>35276.812270958355</v>
      </c>
      <c r="BN228" s="440">
        <f t="shared" si="163"/>
        <v>35835.385409824128</v>
      </c>
      <c r="BO228" s="441">
        <f t="shared" si="163"/>
        <v>35835.385409824128</v>
      </c>
      <c r="BP228" s="440">
        <f t="shared" si="163"/>
        <v>35575.702444642564</v>
      </c>
      <c r="BQ228" s="440">
        <f t="shared" si="163"/>
        <v>35964.600221389919</v>
      </c>
      <c r="BR228" s="440">
        <f t="shared" si="163"/>
        <v>36334.526710351834</v>
      </c>
      <c r="BS228" s="440">
        <f t="shared" si="163"/>
        <v>37118.236716158121</v>
      </c>
      <c r="BT228" s="441">
        <f t="shared" si="163"/>
        <v>37118.236716158128</v>
      </c>
      <c r="BU228" s="440">
        <f t="shared" si="163"/>
        <v>37323.029855786663</v>
      </c>
      <c r="BV228" s="440">
        <f t="shared" si="163"/>
        <v>37787.358272526493</v>
      </c>
      <c r="BW228" s="440">
        <f t="shared" si="163"/>
        <v>38167.025294568542</v>
      </c>
      <c r="BX228" s="440">
        <f t="shared" si="163"/>
        <v>39087.258829731691</v>
      </c>
      <c r="BY228" s="441">
        <f t="shared" si="163"/>
        <v>39087.258829731691</v>
      </c>
      <c r="BZ228" s="440">
        <f t="shared" si="163"/>
        <v>39414.455213469337</v>
      </c>
      <c r="CA228" s="440">
        <f t="shared" si="163"/>
        <v>40067.449049127623</v>
      </c>
      <c r="CB228" s="440">
        <f t="shared" si="163"/>
        <v>40658.170990571554</v>
      </c>
      <c r="CC228" s="440">
        <f t="shared" si="163"/>
        <v>41879.763991440079</v>
      </c>
      <c r="CD228" s="441">
        <f t="shared" si="163"/>
        <v>41879.763991440079</v>
      </c>
      <c r="CE228" s="434"/>
      <c r="CL228" s="436"/>
    </row>
    <row r="229" spans="1:91" ht="13.5" customHeight="1" thickTop="1">
      <c r="A229" s="438"/>
      <c r="B229" s="435"/>
      <c r="C229" s="137"/>
      <c r="D229" s="137"/>
      <c r="E229" s="137"/>
      <c r="F229" s="137"/>
      <c r="G229" s="368"/>
      <c r="H229" s="137"/>
      <c r="I229" s="137"/>
      <c r="J229" s="137"/>
      <c r="K229" s="137"/>
      <c r="L229" s="368"/>
      <c r="M229" s="137"/>
      <c r="N229" s="137"/>
      <c r="O229" s="137"/>
      <c r="P229" s="137"/>
      <c r="Q229" s="368"/>
      <c r="R229" s="137"/>
      <c r="S229" s="137"/>
      <c r="T229" s="137"/>
      <c r="U229" s="137"/>
      <c r="V229" s="368"/>
      <c r="W229" s="137"/>
      <c r="X229" s="137"/>
      <c r="Y229" s="137"/>
      <c r="Z229" s="137"/>
      <c r="AA229" s="368"/>
      <c r="AB229" s="137"/>
      <c r="AC229" s="137"/>
      <c r="AD229" s="137"/>
      <c r="AE229" s="137"/>
      <c r="AF229" s="368"/>
      <c r="AG229" s="137"/>
      <c r="AH229" s="137"/>
      <c r="AI229" s="137"/>
      <c r="AJ229" s="137"/>
      <c r="AK229" s="368"/>
      <c r="AL229" s="137"/>
      <c r="AM229" s="137"/>
      <c r="AN229" s="137"/>
      <c r="AO229" s="137"/>
      <c r="AP229" s="368"/>
      <c r="AQ229" s="137"/>
      <c r="AR229" s="137"/>
      <c r="AS229" s="137"/>
      <c r="AT229" s="142"/>
      <c r="AU229" s="368"/>
      <c r="AV229" s="142"/>
      <c r="AW229" s="142"/>
      <c r="AX229" s="142"/>
      <c r="AY229" s="142"/>
      <c r="AZ229" s="368"/>
      <c r="BA229" s="142"/>
      <c r="BB229" s="142"/>
      <c r="BC229" s="142"/>
      <c r="BD229" s="142"/>
      <c r="BE229" s="368"/>
      <c r="BF229" s="142"/>
      <c r="BG229" s="142"/>
      <c r="BH229" s="142"/>
      <c r="BI229" s="142"/>
      <c r="BJ229" s="368"/>
      <c r="BK229" s="142"/>
      <c r="BL229" s="145"/>
      <c r="BM229" s="145"/>
      <c r="BN229" s="145"/>
      <c r="BO229" s="368"/>
      <c r="BP229" s="145"/>
      <c r="BQ229" s="145"/>
      <c r="BR229" s="145"/>
      <c r="BS229" s="145"/>
      <c r="BT229" s="368"/>
      <c r="BU229" s="145"/>
      <c r="BV229" s="145"/>
      <c r="BW229" s="145"/>
      <c r="BX229" s="145"/>
      <c r="BY229" s="368"/>
      <c r="BZ229" s="145"/>
      <c r="CA229" s="145"/>
      <c r="CB229" s="145"/>
      <c r="CC229" s="145"/>
      <c r="CD229" s="368"/>
      <c r="CE229" s="434"/>
      <c r="CL229" s="436"/>
    </row>
    <row r="230" spans="1:91" ht="13.5" customHeight="1">
      <c r="A230" s="434"/>
      <c r="B230" s="435" t="s">
        <v>225</v>
      </c>
      <c r="C230" s="437"/>
      <c r="D230" s="437"/>
      <c r="E230" s="437"/>
      <c r="F230" s="437"/>
      <c r="G230" s="169"/>
      <c r="H230" s="437"/>
      <c r="I230" s="437"/>
      <c r="J230" s="437"/>
      <c r="K230" s="437"/>
      <c r="L230" s="169"/>
      <c r="M230" s="437"/>
      <c r="N230" s="437"/>
      <c r="O230" s="437"/>
      <c r="P230" s="437"/>
      <c r="Q230" s="169"/>
      <c r="R230" s="437"/>
      <c r="S230" s="437"/>
      <c r="T230" s="437"/>
      <c r="U230" s="437"/>
      <c r="V230" s="169"/>
      <c r="W230" s="437"/>
      <c r="X230" s="437"/>
      <c r="Y230" s="437"/>
      <c r="Z230" s="437"/>
      <c r="AA230" s="169"/>
      <c r="AB230" s="437"/>
      <c r="AC230" s="437"/>
      <c r="AD230" s="437"/>
      <c r="AE230" s="437"/>
      <c r="AF230" s="169"/>
      <c r="AG230" s="437"/>
      <c r="AH230" s="437"/>
      <c r="AI230" s="437"/>
      <c r="AJ230" s="437"/>
      <c r="AK230" s="169"/>
      <c r="AL230" s="437"/>
      <c r="AM230" s="437"/>
      <c r="AN230" s="437"/>
      <c r="AO230" s="437"/>
      <c r="AP230" s="169">
        <f>196+5265</f>
        <v>5461</v>
      </c>
      <c r="AQ230" s="437"/>
      <c r="AR230" s="437"/>
      <c r="AS230" s="437"/>
      <c r="AT230" s="196">
        <f>31+4578</f>
        <v>4609</v>
      </c>
      <c r="AU230" s="169">
        <f>31+4578</f>
        <v>4609</v>
      </c>
      <c r="AV230" s="196">
        <f>31+4218</f>
        <v>4249</v>
      </c>
      <c r="AW230" s="196">
        <v>2258</v>
      </c>
      <c r="AX230" s="196">
        <v>2392</v>
      </c>
      <c r="AY230" s="196">
        <v>2348</v>
      </c>
      <c r="AZ230" s="144">
        <f>AY230</f>
        <v>2348</v>
      </c>
      <c r="BA230" s="196">
        <v>1661</v>
      </c>
      <c r="BB230" s="196">
        <v>1315</v>
      </c>
      <c r="BC230" s="196">
        <v>1339</v>
      </c>
      <c r="BD230" s="196">
        <v>1539</v>
      </c>
      <c r="BE230" s="144">
        <f>BD230</f>
        <v>1539</v>
      </c>
      <c r="BF230" s="196">
        <v>2325</v>
      </c>
      <c r="BG230" s="196">
        <v>2511</v>
      </c>
      <c r="BH230" s="196">
        <v>2217</v>
      </c>
      <c r="BI230" s="196">
        <v>1961</v>
      </c>
      <c r="BJ230" s="144">
        <f t="shared" ref="BJ230:CD230" si="164">BI230</f>
        <v>1961</v>
      </c>
      <c r="BK230" s="196">
        <v>1487</v>
      </c>
      <c r="BL230" s="116">
        <f t="shared" si="164"/>
        <v>1487</v>
      </c>
      <c r="BM230" s="116">
        <f t="shared" si="164"/>
        <v>1487</v>
      </c>
      <c r="BN230" s="116">
        <f t="shared" si="164"/>
        <v>1487</v>
      </c>
      <c r="BO230" s="144">
        <f t="shared" si="164"/>
        <v>1487</v>
      </c>
      <c r="BP230" s="116">
        <f t="shared" si="164"/>
        <v>1487</v>
      </c>
      <c r="BQ230" s="116">
        <f t="shared" si="164"/>
        <v>1487</v>
      </c>
      <c r="BR230" s="116">
        <f t="shared" si="164"/>
        <v>1487</v>
      </c>
      <c r="BS230" s="116">
        <f t="shared" si="164"/>
        <v>1487</v>
      </c>
      <c r="BT230" s="144">
        <f t="shared" si="164"/>
        <v>1487</v>
      </c>
      <c r="BU230" s="116">
        <f t="shared" si="164"/>
        <v>1487</v>
      </c>
      <c r="BV230" s="116">
        <f t="shared" si="164"/>
        <v>1487</v>
      </c>
      <c r="BW230" s="116">
        <f t="shared" si="164"/>
        <v>1487</v>
      </c>
      <c r="BX230" s="116">
        <f t="shared" si="164"/>
        <v>1487</v>
      </c>
      <c r="BY230" s="144">
        <f t="shared" si="164"/>
        <v>1487</v>
      </c>
      <c r="BZ230" s="116">
        <f t="shared" si="164"/>
        <v>1487</v>
      </c>
      <c r="CA230" s="116">
        <f t="shared" si="164"/>
        <v>1487</v>
      </c>
      <c r="CB230" s="116">
        <f t="shared" si="164"/>
        <v>1487</v>
      </c>
      <c r="CC230" s="116">
        <f t="shared" si="164"/>
        <v>1487</v>
      </c>
      <c r="CD230" s="144">
        <f t="shared" si="164"/>
        <v>1487</v>
      </c>
      <c r="CE230" s="434"/>
      <c r="CL230" s="436"/>
      <c r="CM230" s="160"/>
    </row>
    <row r="231" spans="1:91" ht="13.5" customHeight="1">
      <c r="A231" s="434"/>
      <c r="B231" s="435" t="s">
        <v>226</v>
      </c>
      <c r="C231" s="437"/>
      <c r="D231" s="437"/>
      <c r="E231" s="437"/>
      <c r="F231" s="437"/>
      <c r="G231" s="169"/>
      <c r="H231" s="437"/>
      <c r="I231" s="437"/>
      <c r="J231" s="437"/>
      <c r="K231" s="437"/>
      <c r="L231" s="169"/>
      <c r="M231" s="437"/>
      <c r="N231" s="437"/>
      <c r="O231" s="437"/>
      <c r="P231" s="437"/>
      <c r="Q231" s="169"/>
      <c r="R231" s="437"/>
      <c r="S231" s="437"/>
      <c r="T231" s="437"/>
      <c r="U231" s="437"/>
      <c r="V231" s="169"/>
      <c r="W231" s="437"/>
      <c r="X231" s="437"/>
      <c r="Y231" s="437"/>
      <c r="Z231" s="437"/>
      <c r="AA231" s="169"/>
      <c r="AB231" s="437"/>
      <c r="AC231" s="437"/>
      <c r="AD231" s="437"/>
      <c r="AE231" s="437"/>
      <c r="AF231" s="169"/>
      <c r="AG231" s="437"/>
      <c r="AH231" s="437"/>
      <c r="AI231" s="437"/>
      <c r="AJ231" s="437"/>
      <c r="AK231" s="169"/>
      <c r="AL231" s="437"/>
      <c r="AM231" s="437"/>
      <c r="AN231" s="437"/>
      <c r="AO231" s="437"/>
      <c r="AP231" s="169">
        <v>858</v>
      </c>
      <c r="AQ231" s="437"/>
      <c r="AR231" s="437"/>
      <c r="AS231" s="437"/>
      <c r="AT231" s="196">
        <v>922</v>
      </c>
      <c r="AU231" s="169">
        <v>922</v>
      </c>
      <c r="AV231" s="196">
        <f>989</f>
        <v>989</v>
      </c>
      <c r="AW231" s="196">
        <v>1291</v>
      </c>
      <c r="AX231" s="196">
        <v>1298</v>
      </c>
      <c r="AY231" s="196">
        <v>1344</v>
      </c>
      <c r="AZ231" s="144">
        <f>AY231</f>
        <v>1344</v>
      </c>
      <c r="BA231" s="196">
        <v>1345</v>
      </c>
      <c r="BB231" s="196">
        <v>1412</v>
      </c>
      <c r="BC231" s="196">
        <v>1451</v>
      </c>
      <c r="BD231" s="196">
        <v>1482</v>
      </c>
      <c r="BE231" s="144">
        <f>BD231</f>
        <v>1482</v>
      </c>
      <c r="BF231" s="196">
        <v>1448</v>
      </c>
      <c r="BG231" s="196">
        <v>1479</v>
      </c>
      <c r="BH231" s="196">
        <v>1485</v>
      </c>
      <c r="BI231" s="196">
        <v>1528</v>
      </c>
      <c r="BJ231" s="144">
        <f>BI231</f>
        <v>1528</v>
      </c>
      <c r="BK231" s="196">
        <v>1523</v>
      </c>
      <c r="BL231" s="145">
        <f>BK231-BL180-0.95*BL163</f>
        <v>1613.0233253929607</v>
      </c>
      <c r="BM231" s="145">
        <f>BL231-BM180-0.95*BM163</f>
        <v>1692.4751510003523</v>
      </c>
      <c r="BN231" s="145">
        <f>BM231-BN180-0.95*BN163</f>
        <v>1803.8419143863728</v>
      </c>
      <c r="BO231" s="144">
        <f>BN231</f>
        <v>1803.8419143863728</v>
      </c>
      <c r="BP231" s="145">
        <f>BO231-BP180-0.95*BP163</f>
        <v>1893.006773002425</v>
      </c>
      <c r="BQ231" s="145">
        <f>BP231-BQ180-0.95*BQ163</f>
        <v>1989.6438329619007</v>
      </c>
      <c r="BR231" s="145">
        <f>BQ231-BR180-0.95*BR163</f>
        <v>2091.5902473861188</v>
      </c>
      <c r="BS231" s="145">
        <f>BR231-BS180-0.95*BS163</f>
        <v>2230.3037586381538</v>
      </c>
      <c r="BT231" s="144">
        <f>BS231</f>
        <v>2230.3037586381538</v>
      </c>
      <c r="BU231" s="145">
        <f>BT231-BU180-0.95*BU163</f>
        <v>2336.4764969004405</v>
      </c>
      <c r="BV231" s="145">
        <f>BU231-BV180-0.95*BV163</f>
        <v>2452.0844378185147</v>
      </c>
      <c r="BW231" s="145">
        <f>BV231-BW180-0.95*BW163</f>
        <v>2569.1729254360448</v>
      </c>
      <c r="BX231" s="145">
        <f>BW231-BX180-0.95*BX163</f>
        <v>2727.9648113650064</v>
      </c>
      <c r="BY231" s="144">
        <f>BX231</f>
        <v>2727.9648113650064</v>
      </c>
      <c r="BZ231" s="145">
        <f>BY231-BZ180-0.95*BZ163</f>
        <v>2862.5095073682678</v>
      </c>
      <c r="CA231" s="145">
        <f>BZ231-CA180-0.95*CA163</f>
        <v>3008.6183612762138</v>
      </c>
      <c r="CB231" s="145">
        <f>CA231-CB180-0.95*CB163</f>
        <v>3158.6974731130767</v>
      </c>
      <c r="CC231" s="145">
        <f>CB231-CC180-0.95*CC163</f>
        <v>3357.8829650608404</v>
      </c>
      <c r="CD231" s="144">
        <f>CC231</f>
        <v>3357.8829650608404</v>
      </c>
      <c r="CE231" s="434"/>
      <c r="CL231" s="436"/>
      <c r="CM231" s="160"/>
    </row>
    <row r="232" spans="1:91" ht="13.5" customHeight="1">
      <c r="A232" s="434"/>
      <c r="B232" s="435" t="s">
        <v>227</v>
      </c>
      <c r="C232" s="437"/>
      <c r="D232" s="437"/>
      <c r="E232" s="437"/>
      <c r="F232" s="437"/>
      <c r="G232" s="169"/>
      <c r="H232" s="437"/>
      <c r="I232" s="437"/>
      <c r="J232" s="437"/>
      <c r="K232" s="437"/>
      <c r="L232" s="169"/>
      <c r="M232" s="437"/>
      <c r="N232" s="437"/>
      <c r="O232" s="437"/>
      <c r="P232" s="437"/>
      <c r="Q232" s="169"/>
      <c r="R232" s="437"/>
      <c r="S232" s="437"/>
      <c r="T232" s="437"/>
      <c r="U232" s="437"/>
      <c r="V232" s="169"/>
      <c r="W232" s="437"/>
      <c r="X232" s="437"/>
      <c r="Y232" s="437"/>
      <c r="Z232" s="437"/>
      <c r="AA232" s="169"/>
      <c r="AB232" s="437"/>
      <c r="AC232" s="437"/>
      <c r="AD232" s="437"/>
      <c r="AE232" s="437"/>
      <c r="AF232" s="169"/>
      <c r="AG232" s="437"/>
      <c r="AH232" s="437"/>
      <c r="AI232" s="437"/>
      <c r="AJ232" s="437"/>
      <c r="AK232" s="169"/>
      <c r="AL232" s="437"/>
      <c r="AM232" s="437"/>
      <c r="AN232" s="437"/>
      <c r="AO232" s="437"/>
      <c r="AP232" s="169">
        <v>3187</v>
      </c>
      <c r="AQ232" s="437"/>
      <c r="AR232" s="437"/>
      <c r="AS232" s="437"/>
      <c r="AT232" s="196">
        <v>3189</v>
      </c>
      <c r="AU232" s="169">
        <v>3189</v>
      </c>
      <c r="AV232" s="196">
        <v>3184</v>
      </c>
      <c r="AW232" s="196">
        <v>3409</v>
      </c>
      <c r="AX232" s="196">
        <v>3415</v>
      </c>
      <c r="AY232" s="196">
        <v>4069</v>
      </c>
      <c r="AZ232" s="144">
        <f>AY232</f>
        <v>4069</v>
      </c>
      <c r="BA232" s="196">
        <v>4071</v>
      </c>
      <c r="BB232" s="196">
        <v>4069</v>
      </c>
      <c r="BC232" s="196">
        <v>4068</v>
      </c>
      <c r="BD232" s="196">
        <v>4059</v>
      </c>
      <c r="BE232" s="144">
        <f>BD232</f>
        <v>4059</v>
      </c>
      <c r="BF232" s="196">
        <v>4060</v>
      </c>
      <c r="BG232" s="196">
        <v>4062</v>
      </c>
      <c r="BH232" s="196">
        <v>4326</v>
      </c>
      <c r="BI232" s="196">
        <v>4339</v>
      </c>
      <c r="BJ232" s="144">
        <f>BI232</f>
        <v>4339</v>
      </c>
      <c r="BK232" s="196">
        <v>4338</v>
      </c>
      <c r="BL232" s="145">
        <f>BK232-BL184</f>
        <v>4338</v>
      </c>
      <c r="BM232" s="145">
        <f>BL232-BM184</f>
        <v>4338</v>
      </c>
      <c r="BN232" s="145">
        <f>BM232-BN184</f>
        <v>4338</v>
      </c>
      <c r="BO232" s="144">
        <f>BN232</f>
        <v>4338</v>
      </c>
      <c r="BP232" s="145">
        <f>BO232-BP184</f>
        <v>4338</v>
      </c>
      <c r="BQ232" s="145">
        <f>BP232-BQ184</f>
        <v>4338</v>
      </c>
      <c r="BR232" s="145">
        <f>BQ232-BR184</f>
        <v>4338</v>
      </c>
      <c r="BS232" s="145">
        <f>BR232-BS184</f>
        <v>4338</v>
      </c>
      <c r="BT232" s="144">
        <f>BS232</f>
        <v>4338</v>
      </c>
      <c r="BU232" s="145">
        <f>BT232-BU184</f>
        <v>4338</v>
      </c>
      <c r="BV232" s="145">
        <f>BU232-BV184</f>
        <v>4338</v>
      </c>
      <c r="BW232" s="145">
        <f>BV232-BW184</f>
        <v>4338</v>
      </c>
      <c r="BX232" s="145">
        <f>BW232-BX184</f>
        <v>4338</v>
      </c>
      <c r="BY232" s="144">
        <f>BX232</f>
        <v>4338</v>
      </c>
      <c r="BZ232" s="145">
        <f>BY232-BZ184</f>
        <v>4338</v>
      </c>
      <c r="CA232" s="145">
        <f>BZ232-CA184</f>
        <v>4338</v>
      </c>
      <c r="CB232" s="145">
        <f>CA232-CB184</f>
        <v>4338</v>
      </c>
      <c r="CC232" s="145">
        <f>CB232-CC184</f>
        <v>4338</v>
      </c>
      <c r="CD232" s="144">
        <f>CC232</f>
        <v>4338</v>
      </c>
      <c r="CE232" s="434"/>
      <c r="CL232" s="436"/>
      <c r="CM232" s="160"/>
    </row>
    <row r="233" spans="1:91" ht="13.5" customHeight="1">
      <c r="A233" s="434"/>
      <c r="B233" s="435" t="s">
        <v>228</v>
      </c>
      <c r="C233" s="437"/>
      <c r="D233" s="437"/>
      <c r="E233" s="437"/>
      <c r="F233" s="116"/>
      <c r="G233" s="169"/>
      <c r="H233" s="437"/>
      <c r="I233" s="437"/>
      <c r="J233" s="437"/>
      <c r="K233" s="116"/>
      <c r="L233" s="169"/>
      <c r="M233" s="437"/>
      <c r="N233" s="437"/>
      <c r="O233" s="437"/>
      <c r="P233" s="116"/>
      <c r="Q233" s="169"/>
      <c r="R233" s="437"/>
      <c r="S233" s="437"/>
      <c r="T233" s="437"/>
      <c r="U233" s="116"/>
      <c r="V233" s="169"/>
      <c r="W233" s="437"/>
      <c r="X233" s="437"/>
      <c r="Y233" s="437"/>
      <c r="Z233" s="116"/>
      <c r="AA233" s="169"/>
      <c r="AB233" s="437"/>
      <c r="AC233" s="437"/>
      <c r="AD233" s="437"/>
      <c r="AE233" s="116"/>
      <c r="AF233" s="169"/>
      <c r="AG233" s="437"/>
      <c r="AH233" s="437"/>
      <c r="AI233" s="437"/>
      <c r="AJ233" s="116"/>
      <c r="AK233" s="169"/>
      <c r="AL233" s="437"/>
      <c r="AM233" s="437"/>
      <c r="AN233" s="437"/>
      <c r="AO233" s="116"/>
      <c r="AP233" s="169">
        <v>258</v>
      </c>
      <c r="AQ233" s="437"/>
      <c r="AR233" s="437"/>
      <c r="AS233" s="437"/>
      <c r="AT233" s="196">
        <v>156</v>
      </c>
      <c r="AU233" s="169">
        <v>156</v>
      </c>
      <c r="AV233" s="196">
        <v>138</v>
      </c>
      <c r="AW233" s="196">
        <v>186</v>
      </c>
      <c r="AX233" s="196">
        <v>174</v>
      </c>
      <c r="AY233" s="196">
        <v>358</v>
      </c>
      <c r="AZ233" s="144">
        <f>AY233</f>
        <v>358</v>
      </c>
      <c r="BA233" s="196">
        <v>320</v>
      </c>
      <c r="BB233" s="196">
        <v>281</v>
      </c>
      <c r="BC233" s="196">
        <v>245</v>
      </c>
      <c r="BD233" s="196">
        <v>211</v>
      </c>
      <c r="BE233" s="144">
        <f>BD233</f>
        <v>211</v>
      </c>
      <c r="BF233" s="196">
        <v>184</v>
      </c>
      <c r="BG233" s="196">
        <v>143</v>
      </c>
      <c r="BH233" s="196">
        <v>226</v>
      </c>
      <c r="BI233" s="196">
        <v>168</v>
      </c>
      <c r="BJ233" s="144">
        <f>BI233</f>
        <v>168</v>
      </c>
      <c r="BK233" s="196">
        <v>138</v>
      </c>
      <c r="BL233" s="145">
        <f>BK233-0.05*BL163</f>
        <v>131.17500000000001</v>
      </c>
      <c r="BM233" s="145">
        <f>BL233-0.05*BM163</f>
        <v>124.27500000000001</v>
      </c>
      <c r="BN233" s="145">
        <f>BM233-0.05*BN163</f>
        <v>117.30000000000001</v>
      </c>
      <c r="BO233" s="144">
        <f>BN233</f>
        <v>117.30000000000001</v>
      </c>
      <c r="BP233" s="145">
        <f>BO233-0.05*BP163</f>
        <v>110.17500000000001</v>
      </c>
      <c r="BQ233" s="145">
        <f>BP233-0.05*BQ163</f>
        <v>102.97500000000001</v>
      </c>
      <c r="BR233" s="145">
        <f>BQ233-0.05*BR163</f>
        <v>95.7</v>
      </c>
      <c r="BS233" s="145">
        <f>BR233-0.05*BS163</f>
        <v>88.350000000000009</v>
      </c>
      <c r="BT233" s="144">
        <f>BS233</f>
        <v>88.350000000000009</v>
      </c>
      <c r="BU233" s="145">
        <f>BT233-0.05*BU163</f>
        <v>80.750000000000014</v>
      </c>
      <c r="BV233" s="145">
        <f>BU233-0.05*BV163</f>
        <v>73.075000000000017</v>
      </c>
      <c r="BW233" s="145">
        <f>BV233-0.05*BW163</f>
        <v>65.325000000000017</v>
      </c>
      <c r="BX233" s="145">
        <f>BW233-0.05*BX163</f>
        <v>57.500000000000014</v>
      </c>
      <c r="BY233" s="144">
        <f>BX233</f>
        <v>57.500000000000014</v>
      </c>
      <c r="BZ233" s="145">
        <f>BY233-0.05*BZ163</f>
        <v>49.425000000000011</v>
      </c>
      <c r="CA233" s="145">
        <f>BZ233-0.05*CA163</f>
        <v>41.275000000000013</v>
      </c>
      <c r="CB233" s="145">
        <f>CA233-0.05*CB163</f>
        <v>33.050000000000011</v>
      </c>
      <c r="CC233" s="145">
        <f>CB233-0.05*CC163</f>
        <v>24.750000000000011</v>
      </c>
      <c r="CD233" s="144">
        <f>CC233</f>
        <v>24.750000000000011</v>
      </c>
      <c r="CE233" s="434"/>
      <c r="CL233" s="436"/>
      <c r="CM233" s="160"/>
    </row>
    <row r="234" spans="1:91" ht="13.5" customHeight="1" thickBot="1">
      <c r="A234" s="434"/>
      <c r="B234" s="435" t="s">
        <v>186</v>
      </c>
      <c r="C234" s="437"/>
      <c r="D234" s="437"/>
      <c r="E234" s="437"/>
      <c r="F234" s="116"/>
      <c r="G234" s="169"/>
      <c r="H234" s="437"/>
      <c r="I234" s="437"/>
      <c r="J234" s="437"/>
      <c r="K234" s="116"/>
      <c r="L234" s="169"/>
      <c r="M234" s="437"/>
      <c r="N234" s="437"/>
      <c r="O234" s="437"/>
      <c r="P234" s="116"/>
      <c r="Q234" s="169"/>
      <c r="R234" s="437"/>
      <c r="S234" s="437"/>
      <c r="T234" s="437"/>
      <c r="U234" s="116"/>
      <c r="V234" s="169"/>
      <c r="W234" s="437"/>
      <c r="X234" s="437"/>
      <c r="Y234" s="437"/>
      <c r="Z234" s="116"/>
      <c r="AA234" s="169"/>
      <c r="AB234" s="437"/>
      <c r="AC234" s="437"/>
      <c r="AD234" s="437"/>
      <c r="AE234" s="116"/>
      <c r="AF234" s="169"/>
      <c r="AG234" s="437"/>
      <c r="AH234" s="437"/>
      <c r="AI234" s="437"/>
      <c r="AJ234" s="116"/>
      <c r="AK234" s="169"/>
      <c r="AL234" s="437"/>
      <c r="AM234" s="437"/>
      <c r="AN234" s="437"/>
      <c r="AO234" s="116"/>
      <c r="AP234" s="169">
        <v>41</v>
      </c>
      <c r="AQ234" s="437"/>
      <c r="AR234" s="437"/>
      <c r="AS234" s="437"/>
      <c r="AT234" s="196">
        <v>54</v>
      </c>
      <c r="AU234" s="169">
        <v>54</v>
      </c>
      <c r="AV234" s="196">
        <v>30</v>
      </c>
      <c r="AW234" s="196">
        <v>54</v>
      </c>
      <c r="AX234" s="196">
        <v>63</v>
      </c>
      <c r="AY234" s="196">
        <v>114</v>
      </c>
      <c r="AZ234" s="144">
        <f>AY234</f>
        <v>114</v>
      </c>
      <c r="BA234" s="196">
        <v>105</v>
      </c>
      <c r="BB234" s="196">
        <v>97</v>
      </c>
      <c r="BC234" s="196">
        <v>92</v>
      </c>
      <c r="BD234" s="196">
        <v>79</v>
      </c>
      <c r="BE234" s="144">
        <f>BD234</f>
        <v>79</v>
      </c>
      <c r="BF234" s="196">
        <v>51</v>
      </c>
      <c r="BG234" s="196">
        <v>60</v>
      </c>
      <c r="BH234" s="196">
        <v>70</v>
      </c>
      <c r="BI234" s="196">
        <v>133</v>
      </c>
      <c r="BJ234" s="144">
        <f>BI234</f>
        <v>133</v>
      </c>
      <c r="BK234" s="196">
        <v>94</v>
      </c>
      <c r="BL234" s="145">
        <f>BK234-BL165-BL166</f>
        <v>94</v>
      </c>
      <c r="BM234" s="145">
        <f>BL234-BM165-BM166</f>
        <v>94</v>
      </c>
      <c r="BN234" s="145">
        <f>BM234-BN165-BN166</f>
        <v>94</v>
      </c>
      <c r="BO234" s="144">
        <f>BN234</f>
        <v>94</v>
      </c>
      <c r="BP234" s="145">
        <f>BO234-BP165-BP166</f>
        <v>94</v>
      </c>
      <c r="BQ234" s="145">
        <f>BP234-BQ165-BQ166</f>
        <v>94</v>
      </c>
      <c r="BR234" s="145">
        <f>BQ234-BR165-BR166</f>
        <v>94</v>
      </c>
      <c r="BS234" s="145">
        <f>BR234-BS165-BS166</f>
        <v>94</v>
      </c>
      <c r="BT234" s="144">
        <f>BS234</f>
        <v>94</v>
      </c>
      <c r="BU234" s="145">
        <f>BT234-BU165-BU166</f>
        <v>94</v>
      </c>
      <c r="BV234" s="145">
        <f>BU234-BV165-BV166</f>
        <v>94</v>
      </c>
      <c r="BW234" s="145">
        <f>BV234-BW165-BW166</f>
        <v>94</v>
      </c>
      <c r="BX234" s="145">
        <f>BW234-BX165-BX166</f>
        <v>94</v>
      </c>
      <c r="BY234" s="144">
        <f>BX234</f>
        <v>94</v>
      </c>
      <c r="BZ234" s="145">
        <f>BY234-BZ165-BZ166</f>
        <v>94</v>
      </c>
      <c r="CA234" s="145">
        <f>BZ234-CA165-CA166</f>
        <v>94</v>
      </c>
      <c r="CB234" s="145">
        <f>CA234-CB165-CB166</f>
        <v>94</v>
      </c>
      <c r="CC234" s="145">
        <f>CB234-CC165-CC166</f>
        <v>94</v>
      </c>
      <c r="CD234" s="144">
        <f>CC234</f>
        <v>94</v>
      </c>
      <c r="CE234" s="434"/>
      <c r="CL234" s="436"/>
      <c r="CM234" s="160"/>
    </row>
    <row r="235" spans="1:91" ht="13.5" customHeight="1" thickTop="1" thickBot="1">
      <c r="A235" s="438"/>
      <c r="B235" s="443" t="s">
        <v>229</v>
      </c>
      <c r="C235" s="444"/>
      <c r="D235" s="444"/>
      <c r="E235" s="444"/>
      <c r="F235" s="444"/>
      <c r="G235" s="441"/>
      <c r="H235" s="444"/>
      <c r="I235" s="444"/>
      <c r="J235" s="444"/>
      <c r="K235" s="444"/>
      <c r="L235" s="441"/>
      <c r="M235" s="444"/>
      <c r="N235" s="444"/>
      <c r="O235" s="444"/>
      <c r="P235" s="444"/>
      <c r="Q235" s="441"/>
      <c r="R235" s="444"/>
      <c r="S235" s="444"/>
      <c r="T235" s="444"/>
      <c r="U235" s="444"/>
      <c r="V235" s="441"/>
      <c r="W235" s="444"/>
      <c r="X235" s="444"/>
      <c r="Y235" s="444"/>
      <c r="Z235" s="444"/>
      <c r="AA235" s="441"/>
      <c r="AB235" s="444"/>
      <c r="AC235" s="444"/>
      <c r="AD235" s="444"/>
      <c r="AE235" s="444"/>
      <c r="AF235" s="441"/>
      <c r="AG235" s="444"/>
      <c r="AH235" s="444"/>
      <c r="AI235" s="444"/>
      <c r="AJ235" s="444"/>
      <c r="AK235" s="441"/>
      <c r="AL235" s="444"/>
      <c r="AM235" s="444"/>
      <c r="AN235" s="444"/>
      <c r="AO235" s="444"/>
      <c r="AP235" s="441">
        <f>SUM(AP228:AP234)</f>
        <v>24425</v>
      </c>
      <c r="AQ235" s="444"/>
      <c r="AR235" s="444"/>
      <c r="AS235" s="444"/>
      <c r="AT235" s="445">
        <v>21917</v>
      </c>
      <c r="AU235" s="441">
        <f t="shared" ref="AU235:CD235" si="165">SUM(AU228:AU234)</f>
        <v>26495</v>
      </c>
      <c r="AV235" s="445">
        <f>SUM(AV228:AV234)</f>
        <v>26797</v>
      </c>
      <c r="AW235" s="445">
        <f t="shared" si="165"/>
        <v>26911</v>
      </c>
      <c r="AX235" s="445">
        <f t="shared" si="165"/>
        <v>27896</v>
      </c>
      <c r="AY235" s="445">
        <f t="shared" si="165"/>
        <v>28881</v>
      </c>
      <c r="AZ235" s="441">
        <f t="shared" si="165"/>
        <v>28881</v>
      </c>
      <c r="BA235" s="445">
        <f t="shared" si="165"/>
        <v>29470</v>
      </c>
      <c r="BB235" s="445">
        <f t="shared" si="165"/>
        <v>30631</v>
      </c>
      <c r="BC235" s="445">
        <f t="shared" si="165"/>
        <v>31356</v>
      </c>
      <c r="BD235" s="445">
        <f t="shared" si="165"/>
        <v>33103</v>
      </c>
      <c r="BE235" s="441">
        <f t="shared" si="165"/>
        <v>33103</v>
      </c>
      <c r="BF235" s="445">
        <f t="shared" si="165"/>
        <v>33493</v>
      </c>
      <c r="BG235" s="445">
        <f t="shared" si="165"/>
        <v>35290</v>
      </c>
      <c r="BH235" s="445">
        <f t="shared" si="165"/>
        <v>37761</v>
      </c>
      <c r="BI235" s="445">
        <f t="shared" si="165"/>
        <v>40774</v>
      </c>
      <c r="BJ235" s="441">
        <f t="shared" si="165"/>
        <v>40774</v>
      </c>
      <c r="BK235" s="445">
        <f t="shared" si="165"/>
        <v>42322</v>
      </c>
      <c r="BL235" s="444">
        <f t="shared" si="165"/>
        <v>42883.77822916185</v>
      </c>
      <c r="BM235" s="444">
        <f t="shared" si="165"/>
        <v>43012.562421958712</v>
      </c>
      <c r="BN235" s="444">
        <f t="shared" si="165"/>
        <v>43675.527324210503</v>
      </c>
      <c r="BO235" s="441">
        <f t="shared" si="165"/>
        <v>43675.527324210503</v>
      </c>
      <c r="BP235" s="444">
        <f t="shared" si="165"/>
        <v>43497.884217644991</v>
      </c>
      <c r="BQ235" s="444">
        <f t="shared" si="165"/>
        <v>43976.219054351815</v>
      </c>
      <c r="BR235" s="444">
        <f t="shared" si="165"/>
        <v>44440.816957737952</v>
      </c>
      <c r="BS235" s="444">
        <f t="shared" si="165"/>
        <v>45355.890474796273</v>
      </c>
      <c r="BT235" s="441">
        <f t="shared" si="165"/>
        <v>45355.890474796281</v>
      </c>
      <c r="BU235" s="444">
        <f t="shared" si="165"/>
        <v>45659.256352687102</v>
      </c>
      <c r="BV235" s="444">
        <f t="shared" si="165"/>
        <v>46231.517710345004</v>
      </c>
      <c r="BW235" s="444">
        <f t="shared" si="165"/>
        <v>46720.523220004587</v>
      </c>
      <c r="BX235" s="444">
        <f t="shared" si="165"/>
        <v>47791.723641096694</v>
      </c>
      <c r="BY235" s="441">
        <f t="shared" si="165"/>
        <v>47791.723641096694</v>
      </c>
      <c r="BZ235" s="444">
        <f t="shared" si="165"/>
        <v>48245.389720837607</v>
      </c>
      <c r="CA235" s="444">
        <f t="shared" si="165"/>
        <v>49036.342410403835</v>
      </c>
      <c r="CB235" s="444">
        <f t="shared" si="165"/>
        <v>49768.918463684633</v>
      </c>
      <c r="CC235" s="444">
        <f t="shared" si="165"/>
        <v>51181.396956500917</v>
      </c>
      <c r="CD235" s="441">
        <f t="shared" si="165"/>
        <v>51181.396956500917</v>
      </c>
      <c r="CE235" s="438"/>
      <c r="CL235" s="436"/>
    </row>
    <row r="236" spans="1:91" ht="13.5" customHeight="1" thickTop="1">
      <c r="A236" s="438"/>
      <c r="B236" s="388"/>
      <c r="C236" s="232"/>
      <c r="D236" s="232"/>
      <c r="E236" s="232"/>
      <c r="F236" s="232"/>
      <c r="G236" s="368"/>
      <c r="H236" s="232"/>
      <c r="I236" s="232"/>
      <c r="J236" s="232"/>
      <c r="K236" s="232"/>
      <c r="L236" s="368"/>
      <c r="M236" s="232"/>
      <c r="N236" s="232"/>
      <c r="O236" s="232"/>
      <c r="P236" s="232"/>
      <c r="Q236" s="368"/>
      <c r="R236" s="232"/>
      <c r="S236" s="232"/>
      <c r="T236" s="232"/>
      <c r="U236" s="232"/>
      <c r="V236" s="368"/>
      <c r="W236" s="232"/>
      <c r="X236" s="232"/>
      <c r="Y236" s="232"/>
      <c r="Z236" s="232"/>
      <c r="AA236" s="368"/>
      <c r="AB236" s="232"/>
      <c r="AC236" s="232"/>
      <c r="AD236" s="232"/>
      <c r="AE236" s="232"/>
      <c r="AF236" s="368"/>
      <c r="AG236" s="232"/>
      <c r="AH236" s="232"/>
      <c r="AI236" s="232"/>
      <c r="AJ236" s="232"/>
      <c r="AK236" s="368"/>
      <c r="AL236" s="232"/>
      <c r="AM236" s="232"/>
      <c r="AN236" s="232"/>
      <c r="AO236" s="232"/>
      <c r="AP236" s="368"/>
      <c r="AQ236" s="232"/>
      <c r="AR236" s="232"/>
      <c r="AS236" s="232"/>
      <c r="AT236" s="229"/>
      <c r="AU236" s="368"/>
      <c r="AV236" s="229"/>
      <c r="AW236" s="229"/>
      <c r="AX236" s="229"/>
      <c r="AY236" s="229"/>
      <c r="AZ236" s="368"/>
      <c r="BA236" s="229"/>
      <c r="BB236" s="229"/>
      <c r="BC236" s="229"/>
      <c r="BD236" s="229"/>
      <c r="BE236" s="368"/>
      <c r="BF236" s="229"/>
      <c r="BG236" s="229"/>
      <c r="BH236" s="229"/>
      <c r="BI236" s="229"/>
      <c r="BJ236" s="368"/>
      <c r="BK236" s="229"/>
      <c r="BL236" s="232"/>
      <c r="BM236" s="232"/>
      <c r="BN236" s="232"/>
      <c r="BO236" s="368"/>
      <c r="BP236" s="232"/>
      <c r="BQ236" s="232"/>
      <c r="BR236" s="232"/>
      <c r="BS236" s="232"/>
      <c r="BT236" s="368"/>
      <c r="BU236" s="232"/>
      <c r="BV236" s="232"/>
      <c r="BW236" s="232"/>
      <c r="BX236" s="232"/>
      <c r="BY236" s="368"/>
      <c r="BZ236" s="232"/>
      <c r="CA236" s="232"/>
      <c r="CB236" s="232"/>
      <c r="CC236" s="232"/>
      <c r="CD236" s="368"/>
      <c r="CE236" s="438"/>
      <c r="CL236" s="436"/>
    </row>
    <row r="237" spans="1:91" ht="13.5" customHeight="1">
      <c r="A237" s="438"/>
      <c r="B237" s="446" t="s">
        <v>230</v>
      </c>
      <c r="C237" s="116"/>
      <c r="D237" s="232"/>
      <c r="E237" s="232"/>
      <c r="F237" s="232"/>
      <c r="G237" s="368"/>
      <c r="H237" s="116"/>
      <c r="I237" s="232"/>
      <c r="J237" s="232"/>
      <c r="K237" s="232"/>
      <c r="L237" s="368"/>
      <c r="M237" s="116"/>
      <c r="N237" s="232"/>
      <c r="O237" s="232"/>
      <c r="P237" s="232"/>
      <c r="Q237" s="368"/>
      <c r="R237" s="116"/>
      <c r="S237" s="232"/>
      <c r="T237" s="232"/>
      <c r="U237" s="232"/>
      <c r="V237" s="368"/>
      <c r="W237" s="116"/>
      <c r="X237" s="232"/>
      <c r="Y237" s="232"/>
      <c r="Z237" s="232"/>
      <c r="AA237" s="368"/>
      <c r="AB237" s="116"/>
      <c r="AC237" s="232"/>
      <c r="AD237" s="232"/>
      <c r="AE237" s="232"/>
      <c r="AF237" s="368"/>
      <c r="AG237" s="116"/>
      <c r="AH237" s="232"/>
      <c r="AI237" s="232"/>
      <c r="AJ237" s="232"/>
      <c r="AK237" s="368"/>
      <c r="AL237" s="116"/>
      <c r="AM237" s="232"/>
      <c r="AN237" s="232"/>
      <c r="AO237" s="232"/>
      <c r="AP237" s="368"/>
      <c r="AQ237" s="116"/>
      <c r="AR237" s="116"/>
      <c r="AS237" s="116"/>
      <c r="AT237" s="229"/>
      <c r="AU237" s="368"/>
      <c r="AV237" s="229"/>
      <c r="AW237" s="229"/>
      <c r="AX237" s="229"/>
      <c r="AY237" s="229"/>
      <c r="AZ237" s="368"/>
      <c r="BA237" s="229"/>
      <c r="BB237" s="229"/>
      <c r="BC237" s="229"/>
      <c r="BD237" s="229"/>
      <c r="BE237" s="368"/>
      <c r="BF237" s="229"/>
      <c r="BG237" s="229"/>
      <c r="BH237" s="229"/>
      <c r="BI237" s="229"/>
      <c r="BJ237" s="368"/>
      <c r="BK237" s="229"/>
      <c r="BL237" s="232"/>
      <c r="BM237" s="232"/>
      <c r="BN237" s="232"/>
      <c r="BO237" s="368"/>
      <c r="BP237" s="232"/>
      <c r="BQ237" s="232"/>
      <c r="BR237" s="232"/>
      <c r="BS237" s="232"/>
      <c r="BT237" s="368"/>
      <c r="BU237" s="232"/>
      <c r="BV237" s="232"/>
      <c r="BW237" s="232"/>
      <c r="BX237" s="232"/>
      <c r="BY237" s="368"/>
      <c r="BZ237" s="232"/>
      <c r="CA237" s="232"/>
      <c r="CB237" s="232"/>
      <c r="CC237" s="232"/>
      <c r="CD237" s="368"/>
      <c r="CE237" s="438"/>
      <c r="CL237" s="436"/>
    </row>
    <row r="238" spans="1:91" ht="13.5" customHeight="1">
      <c r="A238" s="434"/>
      <c r="B238" s="435" t="s">
        <v>187</v>
      </c>
      <c r="C238" s="116"/>
      <c r="D238" s="116"/>
      <c r="E238" s="116"/>
      <c r="F238" s="116"/>
      <c r="G238" s="169"/>
      <c r="H238" s="116"/>
      <c r="I238" s="116"/>
      <c r="J238" s="116"/>
      <c r="K238" s="116"/>
      <c r="L238" s="169"/>
      <c r="M238" s="116"/>
      <c r="N238" s="116"/>
      <c r="O238" s="116"/>
      <c r="P238" s="116"/>
      <c r="Q238" s="169"/>
      <c r="R238" s="116"/>
      <c r="S238" s="116"/>
      <c r="T238" s="116"/>
      <c r="U238" s="116"/>
      <c r="V238" s="169"/>
      <c r="W238" s="116"/>
      <c r="X238" s="116"/>
      <c r="Y238" s="116"/>
      <c r="Z238" s="116"/>
      <c r="AA238" s="169"/>
      <c r="AB238" s="116"/>
      <c r="AC238" s="116"/>
      <c r="AD238" s="116"/>
      <c r="AE238" s="116"/>
      <c r="AF238" s="169"/>
      <c r="AG238" s="116"/>
      <c r="AH238" s="116"/>
      <c r="AI238" s="116"/>
      <c r="AJ238" s="116"/>
      <c r="AK238" s="169"/>
      <c r="AL238" s="116"/>
      <c r="AM238" s="116"/>
      <c r="AN238" s="116"/>
      <c r="AO238" s="116"/>
      <c r="AP238" s="169">
        <v>73</v>
      </c>
      <c r="AQ238" s="116"/>
      <c r="AR238" s="116"/>
      <c r="AS238" s="116"/>
      <c r="AT238" s="196">
        <v>115</v>
      </c>
      <c r="AU238" s="169">
        <v>115</v>
      </c>
      <c r="AV238" s="196">
        <v>125</v>
      </c>
      <c r="AW238" s="196">
        <v>188</v>
      </c>
      <c r="AX238" s="196">
        <v>114</v>
      </c>
      <c r="AY238" s="196">
        <v>145</v>
      </c>
      <c r="AZ238" s="144">
        <f>AY238</f>
        <v>145</v>
      </c>
      <c r="BA238" s="196">
        <v>158</v>
      </c>
      <c r="BB238" s="196">
        <v>169</v>
      </c>
      <c r="BC238" s="196">
        <v>174</v>
      </c>
      <c r="BD238" s="196">
        <v>192</v>
      </c>
      <c r="BE238" s="144">
        <f>BD238</f>
        <v>192</v>
      </c>
      <c r="BF238" s="196">
        <v>164</v>
      </c>
      <c r="BG238" s="196">
        <v>171</v>
      </c>
      <c r="BH238" s="196">
        <v>974</v>
      </c>
      <c r="BI238" s="196">
        <v>257</v>
      </c>
      <c r="BJ238" s="144">
        <f>BI238</f>
        <v>257</v>
      </c>
      <c r="BK238" s="196">
        <v>187</v>
      </c>
      <c r="BL238" s="145">
        <f>BL14*BL268/90</f>
        <v>382.08404416167082</v>
      </c>
      <c r="BM238" s="145">
        <f>BM14*BM268/90</f>
        <v>325.49074490031541</v>
      </c>
      <c r="BN238" s="145">
        <f>BN14*BN268/90</f>
        <v>282.77305899828463</v>
      </c>
      <c r="BO238" s="144">
        <f>BN238</f>
        <v>282.77305899828463</v>
      </c>
      <c r="BP238" s="145">
        <f>BP14*BP268/90</f>
        <v>136.08476279760743</v>
      </c>
      <c r="BQ238" s="145">
        <f>BQ14*BQ268/90</f>
        <v>141.47700603604582</v>
      </c>
      <c r="BR238" s="145">
        <f>BR14*BR268/90</f>
        <v>145.55843298437458</v>
      </c>
      <c r="BS238" s="145">
        <f>BS14*BS268/90</f>
        <v>168.70515833456665</v>
      </c>
      <c r="BT238" s="144">
        <f>BS238</f>
        <v>168.70515833456665</v>
      </c>
      <c r="BU238" s="145">
        <f>BU14*BU268/90</f>
        <v>159.09380207129308</v>
      </c>
      <c r="BV238" s="145">
        <f>BV14*BV268/90</f>
        <v>165.98916883687241</v>
      </c>
      <c r="BW238" s="145">
        <f>BW14*BW268/90</f>
        <v>167.8339603920827</v>
      </c>
      <c r="BX238" s="145">
        <f>BX14*BX268/90</f>
        <v>195.21707043108702</v>
      </c>
      <c r="BY238" s="144">
        <f>BX238</f>
        <v>195.21707043108702</v>
      </c>
      <c r="BZ238" s="145">
        <f>BZ14*BZ268/90</f>
        <v>182.83790222429295</v>
      </c>
      <c r="CA238" s="145">
        <f>CA14*CA268/90</f>
        <v>191.08498660821977</v>
      </c>
      <c r="CB238" s="145">
        <f>CB14*CB268/90</f>
        <v>194.51054719800828</v>
      </c>
      <c r="CC238" s="145">
        <f>CC14*CC268/90</f>
        <v>226.59396314143709</v>
      </c>
      <c r="CD238" s="144">
        <f>CC238</f>
        <v>226.59396314143709</v>
      </c>
      <c r="CE238" s="434"/>
      <c r="CL238" s="436"/>
      <c r="CM238" s="160"/>
    </row>
    <row r="239" spans="1:91" ht="13.5" customHeight="1">
      <c r="A239" s="434"/>
      <c r="B239" s="435" t="s">
        <v>204</v>
      </c>
      <c r="C239" s="116"/>
      <c r="D239" s="116"/>
      <c r="E239" s="116"/>
      <c r="F239" s="116"/>
      <c r="G239" s="169"/>
      <c r="H239" s="116"/>
      <c r="I239" s="116"/>
      <c r="J239" s="116"/>
      <c r="K239" s="116"/>
      <c r="L239" s="169"/>
      <c r="M239" s="116"/>
      <c r="N239" s="116"/>
      <c r="O239" s="116"/>
      <c r="P239" s="116"/>
      <c r="Q239" s="169"/>
      <c r="R239" s="116"/>
      <c r="S239" s="116"/>
      <c r="T239" s="116"/>
      <c r="U239" s="116"/>
      <c r="V239" s="169"/>
      <c r="W239" s="116"/>
      <c r="X239" s="116"/>
      <c r="Y239" s="116"/>
      <c r="Z239" s="116"/>
      <c r="AA239" s="169"/>
      <c r="AB239" s="116"/>
      <c r="AC239" s="116"/>
      <c r="AD239" s="116"/>
      <c r="AE239" s="116"/>
      <c r="AF239" s="169"/>
      <c r="AG239" s="116"/>
      <c r="AH239" s="116"/>
      <c r="AI239" s="116"/>
      <c r="AJ239" s="116"/>
      <c r="AK239" s="169"/>
      <c r="AL239" s="116"/>
      <c r="AM239" s="116"/>
      <c r="AN239" s="116"/>
      <c r="AO239" s="116"/>
      <c r="AP239" s="169">
        <v>9277</v>
      </c>
      <c r="AQ239" s="116"/>
      <c r="AR239" s="116"/>
      <c r="AS239" s="116"/>
      <c r="AT239" s="196">
        <v>10612</v>
      </c>
      <c r="AU239" s="169">
        <v>10612</v>
      </c>
      <c r="AV239" s="196">
        <v>10945</v>
      </c>
      <c r="AW239" s="196">
        <v>11386</v>
      </c>
      <c r="AX239" s="196">
        <v>11802</v>
      </c>
      <c r="AY239" s="196">
        <v>12261</v>
      </c>
      <c r="AZ239" s="144">
        <f>AY239</f>
        <v>12261</v>
      </c>
      <c r="BA239" s="196">
        <v>13032</v>
      </c>
      <c r="BB239" s="196">
        <v>13834</v>
      </c>
      <c r="BC239" s="196">
        <v>14120</v>
      </c>
      <c r="BD239" s="196">
        <v>15163</v>
      </c>
      <c r="BE239" s="144">
        <f>BD239</f>
        <v>15163</v>
      </c>
      <c r="BF239" s="196">
        <v>15741</v>
      </c>
      <c r="BG239" s="196">
        <v>16978</v>
      </c>
      <c r="BH239" s="196">
        <v>17975</v>
      </c>
      <c r="BI239" s="196">
        <v>19742</v>
      </c>
      <c r="BJ239" s="144">
        <f>BI239</f>
        <v>19742</v>
      </c>
      <c r="BK239" s="196">
        <v>20662</v>
      </c>
      <c r="BL239" s="145">
        <f>BK239+BL194</f>
        <v>20662</v>
      </c>
      <c r="BM239" s="145">
        <f>BL239+BM194</f>
        <v>20662</v>
      </c>
      <c r="BN239" s="145">
        <f>BM239+BN194</f>
        <v>20662</v>
      </c>
      <c r="BO239" s="144">
        <f>BN239</f>
        <v>20662</v>
      </c>
      <c r="BP239" s="145">
        <f>BO239+BP194</f>
        <v>20662</v>
      </c>
      <c r="BQ239" s="145">
        <f>BP239+BQ194</f>
        <v>20662</v>
      </c>
      <c r="BR239" s="145">
        <f>BQ239+BR194</f>
        <v>20662</v>
      </c>
      <c r="BS239" s="145">
        <f>BR239+BS194</f>
        <v>20662</v>
      </c>
      <c r="BT239" s="144">
        <f>BS239</f>
        <v>20662</v>
      </c>
      <c r="BU239" s="145">
        <f>BT239+BU194</f>
        <v>20662</v>
      </c>
      <c r="BV239" s="145">
        <f>BU239+BV194</f>
        <v>20662</v>
      </c>
      <c r="BW239" s="145">
        <f>BV239+BW194</f>
        <v>20662</v>
      </c>
      <c r="BX239" s="145">
        <f>BW239+BX194</f>
        <v>20662</v>
      </c>
      <c r="BY239" s="144">
        <f>BX239</f>
        <v>20662</v>
      </c>
      <c r="BZ239" s="145">
        <f>BY239+BZ194</f>
        <v>20662</v>
      </c>
      <c r="CA239" s="145">
        <f>BZ239+CA194</f>
        <v>20662</v>
      </c>
      <c r="CB239" s="145">
        <f>CA239+CB194</f>
        <v>20662</v>
      </c>
      <c r="CC239" s="145">
        <f>CB239+CC194</f>
        <v>20662</v>
      </c>
      <c r="CD239" s="144">
        <f>CC239</f>
        <v>20662</v>
      </c>
      <c r="CE239" s="434"/>
      <c r="CL239" s="436"/>
      <c r="CM239" s="160"/>
    </row>
    <row r="240" spans="1:91" ht="13.5" customHeight="1">
      <c r="A240" s="434"/>
      <c r="B240" s="435" t="s">
        <v>231</v>
      </c>
      <c r="C240" s="116"/>
      <c r="D240" s="116"/>
      <c r="E240" s="116"/>
      <c r="F240" s="116"/>
      <c r="G240" s="169"/>
      <c r="H240" s="116"/>
      <c r="I240" s="116"/>
      <c r="J240" s="116"/>
      <c r="K240" s="116"/>
      <c r="L240" s="169"/>
      <c r="M240" s="116"/>
      <c r="N240" s="116"/>
      <c r="O240" s="116"/>
      <c r="P240" s="116"/>
      <c r="Q240" s="169"/>
      <c r="R240" s="116"/>
      <c r="S240" s="116"/>
      <c r="T240" s="116"/>
      <c r="U240" s="116"/>
      <c r="V240" s="169"/>
      <c r="W240" s="116"/>
      <c r="X240" s="116"/>
      <c r="Y240" s="116"/>
      <c r="Z240" s="116"/>
      <c r="AA240" s="169"/>
      <c r="AB240" s="116"/>
      <c r="AC240" s="116"/>
      <c r="AD240" s="116"/>
      <c r="AE240" s="116"/>
      <c r="AF240" s="169"/>
      <c r="AG240" s="116"/>
      <c r="AH240" s="116"/>
      <c r="AI240" s="116"/>
      <c r="AJ240" s="116"/>
      <c r="AK240" s="169"/>
      <c r="AL240" s="116"/>
      <c r="AM240" s="116"/>
      <c r="AN240" s="116"/>
      <c r="AO240" s="116"/>
      <c r="AP240" s="169">
        <v>1103</v>
      </c>
      <c r="AQ240" s="116"/>
      <c r="AR240" s="116"/>
      <c r="AS240" s="116"/>
      <c r="AT240" s="196">
        <v>1093</v>
      </c>
      <c r="AU240" s="169">
        <v>1093</v>
      </c>
      <c r="AV240" s="196">
        <f>868</f>
        <v>868</v>
      </c>
      <c r="AW240" s="196">
        <v>102</v>
      </c>
      <c r="AX240" s="196">
        <v>0</v>
      </c>
      <c r="AY240" s="196">
        <v>0</v>
      </c>
      <c r="AZ240" s="144">
        <f>AY240</f>
        <v>0</v>
      </c>
      <c r="BA240" s="196">
        <v>0</v>
      </c>
      <c r="BB240" s="196">
        <f>BA240+BB174+BB191</f>
        <v>0</v>
      </c>
      <c r="BC240" s="196">
        <f>BB240+BC174+BC191</f>
        <v>0</v>
      </c>
      <c r="BD240" s="196">
        <f>BC240+BD174+BD191</f>
        <v>0</v>
      </c>
      <c r="BE240" s="144">
        <f>BD240</f>
        <v>0</v>
      </c>
      <c r="BF240" s="196">
        <f>BE240+BF174+BF191</f>
        <v>0</v>
      </c>
      <c r="BG240" s="196">
        <v>0</v>
      </c>
      <c r="BH240" s="196">
        <v>0</v>
      </c>
      <c r="BI240" s="196">
        <v>1000</v>
      </c>
      <c r="BJ240" s="144">
        <f>BI240</f>
        <v>1000</v>
      </c>
      <c r="BK240" s="196">
        <v>3000</v>
      </c>
      <c r="BL240" s="145">
        <f>BK240+BL174+BL191</f>
        <v>3000</v>
      </c>
      <c r="BM240" s="145">
        <f>BL240+BM174+BM191</f>
        <v>3000</v>
      </c>
      <c r="BN240" s="145">
        <f>BM240+BN174+BN191</f>
        <v>3000</v>
      </c>
      <c r="BO240" s="144">
        <f>BN240</f>
        <v>3000</v>
      </c>
      <c r="BP240" s="145">
        <f>BO240+BP174+BP191</f>
        <v>3000</v>
      </c>
      <c r="BQ240" s="145">
        <f>BP240+BQ174+BQ191</f>
        <v>3000</v>
      </c>
      <c r="BR240" s="145">
        <f>BQ240+BR174+BR191</f>
        <v>3000</v>
      </c>
      <c r="BS240" s="145">
        <f>BR240+BS174+BS191</f>
        <v>3000</v>
      </c>
      <c r="BT240" s="144">
        <f>BS240</f>
        <v>3000</v>
      </c>
      <c r="BU240" s="145">
        <f>BT240+BU174+BU191</f>
        <v>3000</v>
      </c>
      <c r="BV240" s="145">
        <f>BU240+BV174+BV191</f>
        <v>3000</v>
      </c>
      <c r="BW240" s="145">
        <f>BV240+BW174+BW191</f>
        <v>3000</v>
      </c>
      <c r="BX240" s="145">
        <f>BW240+BX174+BX191</f>
        <v>3000</v>
      </c>
      <c r="BY240" s="144">
        <f>BX240</f>
        <v>3000</v>
      </c>
      <c r="BZ240" s="145">
        <f>BY240+BZ174+BZ191</f>
        <v>3000</v>
      </c>
      <c r="CA240" s="145">
        <f>BZ240+CA174+CA191</f>
        <v>3000</v>
      </c>
      <c r="CB240" s="145">
        <f>CA240+CB174+CB191</f>
        <v>3000</v>
      </c>
      <c r="CC240" s="145">
        <f>CB240+CC174+CC191</f>
        <v>3000</v>
      </c>
      <c r="CD240" s="144">
        <f>CC240</f>
        <v>3000</v>
      </c>
      <c r="CE240" s="434"/>
      <c r="CL240" s="436"/>
      <c r="CM240" s="279"/>
    </row>
    <row r="241" spans="1:91" ht="13.5" customHeight="1">
      <c r="A241" s="434"/>
      <c r="B241" s="435" t="s">
        <v>189</v>
      </c>
      <c r="C241" s="116"/>
      <c r="D241" s="116"/>
      <c r="E241" s="116"/>
      <c r="F241" s="116"/>
      <c r="G241" s="169"/>
      <c r="H241" s="116"/>
      <c r="I241" s="116"/>
      <c r="J241" s="116"/>
      <c r="K241" s="116"/>
      <c r="L241" s="169"/>
      <c r="M241" s="116"/>
      <c r="N241" s="116"/>
      <c r="O241" s="116"/>
      <c r="P241" s="116"/>
      <c r="Q241" s="169"/>
      <c r="R241" s="116"/>
      <c r="S241" s="116"/>
      <c r="T241" s="116"/>
      <c r="U241" s="116"/>
      <c r="V241" s="169"/>
      <c r="W241" s="116"/>
      <c r="X241" s="116"/>
      <c r="Y241" s="116"/>
      <c r="Z241" s="116"/>
      <c r="AA241" s="169"/>
      <c r="AB241" s="116"/>
      <c r="AC241" s="116"/>
      <c r="AD241" s="116"/>
      <c r="AE241" s="116"/>
      <c r="AF241" s="169"/>
      <c r="AG241" s="116"/>
      <c r="AH241" s="116"/>
      <c r="AI241" s="116"/>
      <c r="AJ241" s="116"/>
      <c r="AK241" s="169"/>
      <c r="AL241" s="116"/>
      <c r="AM241" s="116"/>
      <c r="AN241" s="116"/>
      <c r="AO241" s="116"/>
      <c r="AP241" s="169">
        <v>771</v>
      </c>
      <c r="AQ241" s="116"/>
      <c r="AR241" s="116"/>
      <c r="AS241" s="116"/>
      <c r="AT241" s="196">
        <v>1434</v>
      </c>
      <c r="AU241" s="169">
        <v>1434</v>
      </c>
      <c r="AV241" s="196">
        <v>1565</v>
      </c>
      <c r="AW241" s="196">
        <v>877</v>
      </c>
      <c r="AX241" s="196">
        <v>1089</v>
      </c>
      <c r="AY241" s="196">
        <v>1179</v>
      </c>
      <c r="AZ241" s="144">
        <f>AY241</f>
        <v>1179</v>
      </c>
      <c r="BA241" s="196">
        <v>1145</v>
      </c>
      <c r="BB241" s="196">
        <v>1181</v>
      </c>
      <c r="BC241" s="196">
        <v>1272</v>
      </c>
      <c r="BD241" s="196">
        <v>1459</v>
      </c>
      <c r="BE241" s="144">
        <f>BD241</f>
        <v>1459</v>
      </c>
      <c r="BF241" s="196">
        <v>1300</v>
      </c>
      <c r="BG241" s="196">
        <v>1407</v>
      </c>
      <c r="BH241" s="196">
        <v>1665</v>
      </c>
      <c r="BI241" s="196">
        <v>1781</v>
      </c>
      <c r="BJ241" s="144">
        <f>BI241</f>
        <v>1781</v>
      </c>
      <c r="BK241" s="196">
        <v>1767</v>
      </c>
      <c r="BL241" s="145">
        <f>BL14*BL270*4</f>
        <v>1832.137058436017</v>
      </c>
      <c r="BM241" s="145">
        <f t="shared" ref="BM241:BX241" si="166">BM14*BM270*4</f>
        <v>1755.8613691145579</v>
      </c>
      <c r="BN241" s="145">
        <f t="shared" si="166"/>
        <v>2033.8941462006876</v>
      </c>
      <c r="BO241" s="144">
        <f>BN241</f>
        <v>2033.8941462006876</v>
      </c>
      <c r="BP241" s="145">
        <f t="shared" si="166"/>
        <v>1633.0171535712889</v>
      </c>
      <c r="BQ241" s="145">
        <f t="shared" si="166"/>
        <v>1697.7240724325502</v>
      </c>
      <c r="BR241" s="145">
        <f t="shared" si="166"/>
        <v>1746.7011958124949</v>
      </c>
      <c r="BS241" s="145">
        <f t="shared" si="166"/>
        <v>2024.4619000148</v>
      </c>
      <c r="BT241" s="144">
        <f>BS241</f>
        <v>2024.4619000148</v>
      </c>
      <c r="BU241" s="145">
        <f t="shared" si="166"/>
        <v>1909.1256248555173</v>
      </c>
      <c r="BV241" s="145">
        <f t="shared" si="166"/>
        <v>1991.8700260424689</v>
      </c>
      <c r="BW241" s="145">
        <f t="shared" si="166"/>
        <v>2014.0075247049926</v>
      </c>
      <c r="BX241" s="145">
        <f t="shared" si="166"/>
        <v>2342.6048451730444</v>
      </c>
      <c r="BY241" s="144">
        <f>BX241</f>
        <v>2342.6048451730444</v>
      </c>
      <c r="BZ241" s="145">
        <f t="shared" ref="BZ241:CC241" si="167">BZ14*BZ270*4</f>
        <v>2194.0548266915152</v>
      </c>
      <c r="CA241" s="145">
        <f t="shared" si="167"/>
        <v>2293.0198392986376</v>
      </c>
      <c r="CB241" s="145">
        <f t="shared" si="167"/>
        <v>2334.1265663761001</v>
      </c>
      <c r="CC241" s="145">
        <f t="shared" si="167"/>
        <v>2719.1275576972453</v>
      </c>
      <c r="CD241" s="144">
        <f>CC241</f>
        <v>2719.1275576972453</v>
      </c>
      <c r="CE241" s="434"/>
      <c r="CL241" s="436"/>
      <c r="CM241" s="279"/>
    </row>
    <row r="242" spans="1:91" ht="13.5" customHeight="1" thickBot="1">
      <c r="A242" s="434"/>
      <c r="B242" s="435" t="s">
        <v>232</v>
      </c>
      <c r="C242" s="116"/>
      <c r="D242" s="116"/>
      <c r="E242" s="116"/>
      <c r="F242" s="116"/>
      <c r="G242" s="169"/>
      <c r="H242" s="116"/>
      <c r="I242" s="116"/>
      <c r="J242" s="116"/>
      <c r="K242" s="116"/>
      <c r="L242" s="169"/>
      <c r="M242" s="116"/>
      <c r="N242" s="116"/>
      <c r="O242" s="116"/>
      <c r="P242" s="116"/>
      <c r="Q242" s="169"/>
      <c r="R242" s="116"/>
      <c r="S242" s="116"/>
      <c r="T242" s="116"/>
      <c r="U242" s="116"/>
      <c r="V242" s="169"/>
      <c r="W242" s="116"/>
      <c r="X242" s="116"/>
      <c r="Y242" s="116"/>
      <c r="Z242" s="116"/>
      <c r="AA242" s="169"/>
      <c r="AB242" s="116"/>
      <c r="AC242" s="116"/>
      <c r="AD242" s="116"/>
      <c r="AE242" s="116"/>
      <c r="AF242" s="169"/>
      <c r="AG242" s="116"/>
      <c r="AH242" s="116"/>
      <c r="AI242" s="116"/>
      <c r="AJ242" s="116"/>
      <c r="AK242" s="169"/>
      <c r="AL242" s="116"/>
      <c r="AM242" s="116"/>
      <c r="AN242" s="116"/>
      <c r="AO242" s="116"/>
      <c r="AP242" s="169">
        <v>37</v>
      </c>
      <c r="AQ242" s="116"/>
      <c r="AR242" s="116"/>
      <c r="AS242" s="116"/>
      <c r="AT242" s="196">
        <v>29</v>
      </c>
      <c r="AU242" s="169">
        <v>29</v>
      </c>
      <c r="AV242" s="196">
        <v>46</v>
      </c>
      <c r="AW242" s="196">
        <v>31</v>
      </c>
      <c r="AX242" s="196">
        <v>67</v>
      </c>
      <c r="AY242" s="196">
        <v>32</v>
      </c>
      <c r="AZ242" s="144">
        <f>AY242</f>
        <v>32</v>
      </c>
      <c r="BA242" s="196">
        <v>27</v>
      </c>
      <c r="BB242" s="196">
        <v>39</v>
      </c>
      <c r="BC242" s="196">
        <v>50</v>
      </c>
      <c r="BD242" s="196">
        <v>64</v>
      </c>
      <c r="BE242" s="144">
        <f>BD242</f>
        <v>64</v>
      </c>
      <c r="BF242" s="196">
        <v>81</v>
      </c>
      <c r="BG242" s="196">
        <v>85</v>
      </c>
      <c r="BH242" s="196">
        <v>89</v>
      </c>
      <c r="BI242" s="196">
        <v>83</v>
      </c>
      <c r="BJ242" s="144">
        <f>BI242</f>
        <v>83</v>
      </c>
      <c r="BK242" s="196">
        <v>98</v>
      </c>
      <c r="BL242" s="116">
        <f>BK242</f>
        <v>98</v>
      </c>
      <c r="BM242" s="116">
        <f>BL242</f>
        <v>98</v>
      </c>
      <c r="BN242" s="116">
        <f>BM242</f>
        <v>98</v>
      </c>
      <c r="BO242" s="144">
        <f>BN242</f>
        <v>98</v>
      </c>
      <c r="BP242" s="116">
        <f>BO242</f>
        <v>98</v>
      </c>
      <c r="BQ242" s="116">
        <f>BP242</f>
        <v>98</v>
      </c>
      <c r="BR242" s="116">
        <f>BQ242</f>
        <v>98</v>
      </c>
      <c r="BS242" s="116">
        <f>BR242</f>
        <v>98</v>
      </c>
      <c r="BT242" s="144">
        <f>BS242</f>
        <v>98</v>
      </c>
      <c r="BU242" s="116">
        <f>BT242</f>
        <v>98</v>
      </c>
      <c r="BV242" s="116">
        <f>BU242</f>
        <v>98</v>
      </c>
      <c r="BW242" s="116">
        <f>BV242</f>
        <v>98</v>
      </c>
      <c r="BX242" s="116">
        <f>BW242</f>
        <v>98</v>
      </c>
      <c r="BY242" s="144">
        <f>BX242</f>
        <v>98</v>
      </c>
      <c r="BZ242" s="116">
        <f>BY242</f>
        <v>98</v>
      </c>
      <c r="CA242" s="116">
        <f>BZ242</f>
        <v>98</v>
      </c>
      <c r="CB242" s="116">
        <f>CA242</f>
        <v>98</v>
      </c>
      <c r="CC242" s="116">
        <f>CB242</f>
        <v>98</v>
      </c>
      <c r="CD242" s="144">
        <f>CC242</f>
        <v>98</v>
      </c>
      <c r="CE242" s="434"/>
      <c r="CL242" s="436"/>
      <c r="CM242" s="279"/>
    </row>
    <row r="243" spans="1:91" ht="13.5" customHeight="1" thickTop="1" thickBot="1">
      <c r="A243" s="438"/>
      <c r="B243" s="439" t="s">
        <v>233</v>
      </c>
      <c r="C243" s="440"/>
      <c r="D243" s="440"/>
      <c r="E243" s="440"/>
      <c r="F243" s="440"/>
      <c r="G243" s="441"/>
      <c r="H243" s="440"/>
      <c r="I243" s="440"/>
      <c r="J243" s="440"/>
      <c r="K243" s="440"/>
      <c r="L243" s="441"/>
      <c r="M243" s="440"/>
      <c r="N243" s="440"/>
      <c r="O243" s="440"/>
      <c r="P243" s="440"/>
      <c r="Q243" s="441"/>
      <c r="R243" s="440"/>
      <c r="S243" s="440"/>
      <c r="T243" s="440"/>
      <c r="U243" s="440"/>
      <c r="V243" s="441"/>
      <c r="W243" s="440"/>
      <c r="X243" s="440"/>
      <c r="Y243" s="440"/>
      <c r="Z243" s="440"/>
      <c r="AA243" s="441"/>
      <c r="AB243" s="440"/>
      <c r="AC243" s="440"/>
      <c r="AD243" s="440"/>
      <c r="AE243" s="440"/>
      <c r="AF243" s="441"/>
      <c r="AG243" s="440"/>
      <c r="AH243" s="440"/>
      <c r="AI243" s="440"/>
      <c r="AJ243" s="440"/>
      <c r="AK243" s="441"/>
      <c r="AL243" s="440"/>
      <c r="AM243" s="440"/>
      <c r="AN243" s="440"/>
      <c r="AO243" s="440"/>
      <c r="AP243" s="441">
        <f>SUM(AP238:AP242)</f>
        <v>11261</v>
      </c>
      <c r="AQ243" s="440"/>
      <c r="AR243" s="440"/>
      <c r="AS243" s="440"/>
      <c r="AT243" s="442">
        <v>13283</v>
      </c>
      <c r="AU243" s="441">
        <f t="shared" ref="AU243:CD243" si="168">SUM(AU238:AU242)</f>
        <v>13283</v>
      </c>
      <c r="AV243" s="442">
        <f>SUM(AV238:AV242)</f>
        <v>13549</v>
      </c>
      <c r="AW243" s="442">
        <f t="shared" si="168"/>
        <v>12584</v>
      </c>
      <c r="AX243" s="442">
        <f t="shared" si="168"/>
        <v>13072</v>
      </c>
      <c r="AY243" s="442">
        <f t="shared" si="168"/>
        <v>13617</v>
      </c>
      <c r="AZ243" s="441">
        <f t="shared" si="168"/>
        <v>13617</v>
      </c>
      <c r="BA243" s="442">
        <f t="shared" si="168"/>
        <v>14362</v>
      </c>
      <c r="BB243" s="442">
        <f t="shared" si="168"/>
        <v>15223</v>
      </c>
      <c r="BC243" s="442">
        <f t="shared" si="168"/>
        <v>15616</v>
      </c>
      <c r="BD243" s="442">
        <f t="shared" si="168"/>
        <v>16878</v>
      </c>
      <c r="BE243" s="441">
        <f t="shared" si="168"/>
        <v>16878</v>
      </c>
      <c r="BF243" s="442">
        <f t="shared" si="168"/>
        <v>17286</v>
      </c>
      <c r="BG243" s="442">
        <f t="shared" si="168"/>
        <v>18641</v>
      </c>
      <c r="BH243" s="442">
        <f t="shared" si="168"/>
        <v>20703</v>
      </c>
      <c r="BI243" s="442">
        <f t="shared" si="168"/>
        <v>22863</v>
      </c>
      <c r="BJ243" s="441">
        <f t="shared" si="168"/>
        <v>22863</v>
      </c>
      <c r="BK243" s="442">
        <f t="shared" si="168"/>
        <v>25714</v>
      </c>
      <c r="BL243" s="440">
        <f t="shared" si="168"/>
        <v>25974.221102597687</v>
      </c>
      <c r="BM243" s="440">
        <f t="shared" si="168"/>
        <v>25841.352114014873</v>
      </c>
      <c r="BN243" s="440">
        <f t="shared" si="168"/>
        <v>26076.667205198974</v>
      </c>
      <c r="BO243" s="441">
        <f t="shared" si="168"/>
        <v>26076.667205198974</v>
      </c>
      <c r="BP243" s="440">
        <f t="shared" si="168"/>
        <v>25529.101916368898</v>
      </c>
      <c r="BQ243" s="440">
        <f t="shared" si="168"/>
        <v>25599.201078468595</v>
      </c>
      <c r="BR243" s="440">
        <f t="shared" si="168"/>
        <v>25652.25962879687</v>
      </c>
      <c r="BS243" s="440">
        <f t="shared" si="168"/>
        <v>25953.167058349369</v>
      </c>
      <c r="BT243" s="441">
        <f t="shared" si="168"/>
        <v>25953.167058349369</v>
      </c>
      <c r="BU243" s="440">
        <f t="shared" si="168"/>
        <v>25828.219426926811</v>
      </c>
      <c r="BV243" s="440">
        <f t="shared" si="168"/>
        <v>25917.859194879344</v>
      </c>
      <c r="BW243" s="440">
        <f t="shared" si="168"/>
        <v>25941.841485097077</v>
      </c>
      <c r="BX243" s="440">
        <f t="shared" si="168"/>
        <v>26297.821915604134</v>
      </c>
      <c r="BY243" s="441">
        <f t="shared" si="168"/>
        <v>26297.821915604134</v>
      </c>
      <c r="BZ243" s="440">
        <f t="shared" si="168"/>
        <v>26136.892728915805</v>
      </c>
      <c r="CA243" s="440">
        <f t="shared" si="168"/>
        <v>26244.104825906859</v>
      </c>
      <c r="CB243" s="440">
        <f t="shared" si="168"/>
        <v>26288.63711357411</v>
      </c>
      <c r="CC243" s="440">
        <f t="shared" si="168"/>
        <v>26705.721520838681</v>
      </c>
      <c r="CD243" s="441">
        <f t="shared" si="168"/>
        <v>26705.721520838681</v>
      </c>
      <c r="CE243" s="434"/>
      <c r="CL243" s="436"/>
    </row>
    <row r="244" spans="1:91" ht="13.5" customHeight="1" thickTop="1">
      <c r="A244" s="438"/>
      <c r="B244" s="447"/>
      <c r="C244" s="116"/>
      <c r="D244" s="232"/>
      <c r="E244" s="232"/>
      <c r="F244" s="232"/>
      <c r="G244" s="368"/>
      <c r="H244" s="116"/>
      <c r="I244" s="232"/>
      <c r="J244" s="232"/>
      <c r="K244" s="232"/>
      <c r="L244" s="368"/>
      <c r="M244" s="116"/>
      <c r="N244" s="232"/>
      <c r="O244" s="232"/>
      <c r="P244" s="232"/>
      <c r="Q244" s="368"/>
      <c r="R244" s="116"/>
      <c r="S244" s="232"/>
      <c r="T244" s="232"/>
      <c r="U244" s="232"/>
      <c r="V244" s="368"/>
      <c r="W244" s="116"/>
      <c r="X244" s="232"/>
      <c r="Y244" s="232"/>
      <c r="Z244" s="232"/>
      <c r="AA244" s="368"/>
      <c r="AB244" s="116"/>
      <c r="AC244" s="232"/>
      <c r="AD244" s="232"/>
      <c r="AE244" s="232"/>
      <c r="AF244" s="368"/>
      <c r="AG244" s="116"/>
      <c r="AH244" s="232"/>
      <c r="AI244" s="232"/>
      <c r="AJ244" s="232"/>
      <c r="AK244" s="368"/>
      <c r="AL244" s="116"/>
      <c r="AM244" s="232"/>
      <c r="AN244" s="232"/>
      <c r="AO244" s="232"/>
      <c r="AP244" s="368"/>
      <c r="AQ244" s="116"/>
      <c r="AR244" s="116"/>
      <c r="AS244" s="116"/>
      <c r="AT244" s="229"/>
      <c r="AU244" s="368"/>
      <c r="AV244" s="229"/>
      <c r="AW244" s="229"/>
      <c r="AX244" s="229"/>
      <c r="AY244" s="229"/>
      <c r="AZ244" s="368"/>
      <c r="BA244" s="229"/>
      <c r="BB244" s="229"/>
      <c r="BC244" s="229"/>
      <c r="BD244" s="229"/>
      <c r="BE244" s="368"/>
      <c r="BF244" s="229"/>
      <c r="BG244" s="229"/>
      <c r="BH244" s="229"/>
      <c r="BI244" s="229"/>
      <c r="BJ244" s="368"/>
      <c r="BK244" s="229"/>
      <c r="BL244" s="232"/>
      <c r="BM244" s="232"/>
      <c r="BN244" s="232"/>
      <c r="BO244" s="368"/>
      <c r="BP244" s="232"/>
      <c r="BQ244" s="232"/>
      <c r="BR244" s="232"/>
      <c r="BS244" s="232"/>
      <c r="BT244" s="368"/>
      <c r="BU244" s="232"/>
      <c r="BV244" s="232"/>
      <c r="BW244" s="232"/>
      <c r="BX244" s="232"/>
      <c r="BY244" s="368"/>
      <c r="BZ244" s="232"/>
      <c r="CA244" s="232"/>
      <c r="CB244" s="232"/>
      <c r="CC244" s="232"/>
      <c r="CD244" s="368"/>
      <c r="CE244" s="434"/>
      <c r="CL244" s="436"/>
    </row>
    <row r="245" spans="1:91" ht="13.5" customHeight="1">
      <c r="A245" s="434"/>
      <c r="B245" s="435" t="s">
        <v>234</v>
      </c>
      <c r="C245" s="116"/>
      <c r="D245" s="116"/>
      <c r="E245" s="116"/>
      <c r="F245" s="116"/>
      <c r="G245" s="169"/>
      <c r="H245" s="116"/>
      <c r="I245" s="116"/>
      <c r="J245" s="116"/>
      <c r="K245" s="116"/>
      <c r="L245" s="169"/>
      <c r="M245" s="116"/>
      <c r="N245" s="116"/>
      <c r="O245" s="116"/>
      <c r="P245" s="116"/>
      <c r="Q245" s="169"/>
      <c r="R245" s="116"/>
      <c r="S245" s="116"/>
      <c r="T245" s="116"/>
      <c r="U245" s="116"/>
      <c r="V245" s="169"/>
      <c r="W245" s="116"/>
      <c r="X245" s="116"/>
      <c r="Y245" s="116"/>
      <c r="Z245" s="116"/>
      <c r="AA245" s="169"/>
      <c r="AB245" s="116"/>
      <c r="AC245" s="116"/>
      <c r="AD245" s="116"/>
      <c r="AE245" s="116"/>
      <c r="AF245" s="169"/>
      <c r="AG245" s="116"/>
      <c r="AH245" s="116"/>
      <c r="AI245" s="116"/>
      <c r="AJ245" s="116"/>
      <c r="AK245" s="169"/>
      <c r="AL245" s="116"/>
      <c r="AM245" s="116"/>
      <c r="AN245" s="116"/>
      <c r="AO245" s="116"/>
      <c r="AP245" s="169">
        <v>509</v>
      </c>
      <c r="AQ245" s="116"/>
      <c r="AR245" s="116"/>
      <c r="AS245" s="116"/>
      <c r="AT245" s="196">
        <v>386</v>
      </c>
      <c r="AU245" s="169">
        <v>386</v>
      </c>
      <c r="AV245" s="196">
        <v>390</v>
      </c>
      <c r="AW245" s="196">
        <v>1587</v>
      </c>
      <c r="AX245" s="196">
        <v>1610</v>
      </c>
      <c r="AY245" s="196">
        <v>1505</v>
      </c>
      <c r="AZ245" s="144">
        <f>AY245</f>
        <v>1505</v>
      </c>
      <c r="BA245" s="196">
        <v>1510</v>
      </c>
      <c r="BB245" s="196">
        <v>1591</v>
      </c>
      <c r="BC245" s="196">
        <v>1548</v>
      </c>
      <c r="BD245" s="196">
        <v>1513</v>
      </c>
      <c r="BE245" s="144">
        <f>BD245</f>
        <v>1513</v>
      </c>
      <c r="BF245" s="196">
        <v>1581</v>
      </c>
      <c r="BG245" s="196">
        <v>1651</v>
      </c>
      <c r="BH245" s="196">
        <v>1626</v>
      </c>
      <c r="BI245" s="196">
        <v>1917</v>
      </c>
      <c r="BJ245" s="144">
        <f>BI245</f>
        <v>1917</v>
      </c>
      <c r="BK245" s="196">
        <v>1967</v>
      </c>
      <c r="BL245" s="145">
        <f>BK245+BL192</f>
        <v>1967</v>
      </c>
      <c r="BM245" s="145">
        <f>BL245+BM192</f>
        <v>1967</v>
      </c>
      <c r="BN245" s="145">
        <f>BM245+BN192</f>
        <v>1967</v>
      </c>
      <c r="BO245" s="144">
        <f>BN245</f>
        <v>1967</v>
      </c>
      <c r="BP245" s="145">
        <f>BO245+BP192</f>
        <v>1967</v>
      </c>
      <c r="BQ245" s="145">
        <f>BP245+BQ192</f>
        <v>1967</v>
      </c>
      <c r="BR245" s="145">
        <f>BQ245+BR192</f>
        <v>1967</v>
      </c>
      <c r="BS245" s="145">
        <f>BR245+BS192</f>
        <v>1967</v>
      </c>
      <c r="BT245" s="144">
        <f>BS245</f>
        <v>1967</v>
      </c>
      <c r="BU245" s="145">
        <f>BT245+BU192</f>
        <v>1967</v>
      </c>
      <c r="BV245" s="145">
        <f>BU245+BV192</f>
        <v>1967</v>
      </c>
      <c r="BW245" s="145">
        <f>BV245+BW192</f>
        <v>1967</v>
      </c>
      <c r="BX245" s="145">
        <f>BW245+BX192</f>
        <v>1967</v>
      </c>
      <c r="BY245" s="144">
        <f>BX245</f>
        <v>1967</v>
      </c>
      <c r="BZ245" s="145">
        <f>BY245+BZ192</f>
        <v>1967</v>
      </c>
      <c r="CA245" s="145">
        <f>BZ245+CA192</f>
        <v>1967</v>
      </c>
      <c r="CB245" s="145">
        <f>CA245+CB192</f>
        <v>1967</v>
      </c>
      <c r="CC245" s="145">
        <f>CB245+CC192</f>
        <v>1967</v>
      </c>
      <c r="CD245" s="144">
        <f>CC245</f>
        <v>1967</v>
      </c>
      <c r="CE245" s="434"/>
      <c r="CL245" s="436"/>
      <c r="CM245" s="160"/>
    </row>
    <row r="246" spans="1:91" ht="13.5" customHeight="1" thickBot="1">
      <c r="A246" s="434"/>
      <c r="B246" s="435" t="s">
        <v>235</v>
      </c>
      <c r="C246" s="116"/>
      <c r="D246" s="116"/>
      <c r="E246" s="116"/>
      <c r="F246" s="116"/>
      <c r="G246" s="169"/>
      <c r="H246" s="116"/>
      <c r="I246" s="116"/>
      <c r="J246" s="116"/>
      <c r="K246" s="116"/>
      <c r="L246" s="169"/>
      <c r="M246" s="116"/>
      <c r="N246" s="116"/>
      <c r="O246" s="116"/>
      <c r="P246" s="116"/>
      <c r="Q246" s="169"/>
      <c r="R246" s="116"/>
      <c r="S246" s="116"/>
      <c r="T246" s="116"/>
      <c r="U246" s="116"/>
      <c r="V246" s="169"/>
      <c r="W246" s="116"/>
      <c r="X246" s="116"/>
      <c r="Y246" s="116"/>
      <c r="Z246" s="116"/>
      <c r="AA246" s="169"/>
      <c r="AB246" s="116"/>
      <c r="AC246" s="116"/>
      <c r="AD246" s="116"/>
      <c r="AE246" s="116"/>
      <c r="AF246" s="169"/>
      <c r="AG246" s="116"/>
      <c r="AH246" s="116"/>
      <c r="AI246" s="116"/>
      <c r="AJ246" s="116"/>
      <c r="AK246" s="169"/>
      <c r="AL246" s="116"/>
      <c r="AM246" s="116"/>
      <c r="AN246" s="116"/>
      <c r="AO246" s="116"/>
      <c r="AP246" s="169">
        <v>0</v>
      </c>
      <c r="AQ246" s="116"/>
      <c r="AR246" s="116"/>
      <c r="AS246" s="116"/>
      <c r="AT246" s="196">
        <v>0</v>
      </c>
      <c r="AU246" s="169">
        <v>0</v>
      </c>
      <c r="AV246" s="196">
        <v>0</v>
      </c>
      <c r="AW246" s="196">
        <f>AV246</f>
        <v>0</v>
      </c>
      <c r="AX246" s="196">
        <f>AW246</f>
        <v>0</v>
      </c>
      <c r="AY246" s="196">
        <f>AX246</f>
        <v>0</v>
      </c>
      <c r="AZ246" s="144">
        <f>AY246</f>
        <v>0</v>
      </c>
      <c r="BA246" s="196">
        <f t="shared" ref="BA246:BD246" si="169">AZ246</f>
        <v>0</v>
      </c>
      <c r="BB246" s="196">
        <f t="shared" si="169"/>
        <v>0</v>
      </c>
      <c r="BC246" s="196">
        <f t="shared" si="169"/>
        <v>0</v>
      </c>
      <c r="BD246" s="196">
        <f t="shared" si="169"/>
        <v>0</v>
      </c>
      <c r="BE246" s="144">
        <f>BD246</f>
        <v>0</v>
      </c>
      <c r="BF246" s="196">
        <f t="shared" ref="BF246:BI246" si="170">BE246</f>
        <v>0</v>
      </c>
      <c r="BG246" s="196">
        <f t="shared" si="170"/>
        <v>0</v>
      </c>
      <c r="BH246" s="196">
        <f t="shared" si="170"/>
        <v>0</v>
      </c>
      <c r="BI246" s="196">
        <f t="shared" si="170"/>
        <v>0</v>
      </c>
      <c r="BJ246" s="144">
        <f>BI246</f>
        <v>0</v>
      </c>
      <c r="BK246" s="196">
        <v>0</v>
      </c>
      <c r="BL246" s="116">
        <f>BK246</f>
        <v>0</v>
      </c>
      <c r="BM246" s="116">
        <f>BL246</f>
        <v>0</v>
      </c>
      <c r="BN246" s="116">
        <f>BM246</f>
        <v>0</v>
      </c>
      <c r="BO246" s="144">
        <f>BN246</f>
        <v>0</v>
      </c>
      <c r="BP246" s="116">
        <f>BO246</f>
        <v>0</v>
      </c>
      <c r="BQ246" s="116">
        <f>BP246</f>
        <v>0</v>
      </c>
      <c r="BR246" s="116">
        <f>BQ246</f>
        <v>0</v>
      </c>
      <c r="BS246" s="116">
        <f>BR246</f>
        <v>0</v>
      </c>
      <c r="BT246" s="144">
        <f>BS246</f>
        <v>0</v>
      </c>
      <c r="BU246" s="116">
        <f>BT246</f>
        <v>0</v>
      </c>
      <c r="BV246" s="116">
        <f>BU246</f>
        <v>0</v>
      </c>
      <c r="BW246" s="116">
        <f>BV246</f>
        <v>0</v>
      </c>
      <c r="BX246" s="116">
        <f>BW246</f>
        <v>0</v>
      </c>
      <c r="BY246" s="144">
        <f>BX246</f>
        <v>0</v>
      </c>
      <c r="BZ246" s="116">
        <f>BY246</f>
        <v>0</v>
      </c>
      <c r="CA246" s="116">
        <f>BZ246</f>
        <v>0</v>
      </c>
      <c r="CB246" s="116">
        <f>CA246</f>
        <v>0</v>
      </c>
      <c r="CC246" s="116">
        <f>CB246</f>
        <v>0</v>
      </c>
      <c r="CD246" s="144">
        <f>CC246</f>
        <v>0</v>
      </c>
      <c r="CE246" s="434"/>
      <c r="CL246" s="436"/>
      <c r="CM246" s="160"/>
    </row>
    <row r="247" spans="1:91" ht="13.5" customHeight="1" thickTop="1" thickBot="1">
      <c r="A247" s="438"/>
      <c r="B247" s="443" t="s">
        <v>37</v>
      </c>
      <c r="C247" s="444"/>
      <c r="D247" s="444"/>
      <c r="E247" s="444"/>
      <c r="F247" s="444"/>
      <c r="G247" s="441"/>
      <c r="H247" s="444"/>
      <c r="I247" s="444"/>
      <c r="J247" s="444"/>
      <c r="K247" s="444"/>
      <c r="L247" s="441"/>
      <c r="M247" s="444"/>
      <c r="N247" s="444"/>
      <c r="O247" s="444"/>
      <c r="P247" s="444"/>
      <c r="Q247" s="441"/>
      <c r="R247" s="444"/>
      <c r="S247" s="444"/>
      <c r="T247" s="444"/>
      <c r="U247" s="444"/>
      <c r="V247" s="441"/>
      <c r="W247" s="444"/>
      <c r="X247" s="444"/>
      <c r="Y247" s="444"/>
      <c r="Z247" s="444"/>
      <c r="AA247" s="441"/>
      <c r="AB247" s="444"/>
      <c r="AC247" s="444"/>
      <c r="AD247" s="444"/>
      <c r="AE247" s="444"/>
      <c r="AF247" s="441"/>
      <c r="AG247" s="444"/>
      <c r="AH247" s="444"/>
      <c r="AI247" s="444"/>
      <c r="AJ247" s="444"/>
      <c r="AK247" s="441"/>
      <c r="AL247" s="444"/>
      <c r="AM247" s="444"/>
      <c r="AN247" s="444"/>
      <c r="AO247" s="444"/>
      <c r="AP247" s="441">
        <f>SUM(AP243:AP246)</f>
        <v>11770</v>
      </c>
      <c r="AQ247" s="444"/>
      <c r="AR247" s="444"/>
      <c r="AS247" s="444"/>
      <c r="AT247" s="445">
        <v>13669</v>
      </c>
      <c r="AU247" s="441">
        <f t="shared" ref="AU247:CD247" si="171">SUM(AU243:AU246)</f>
        <v>13669</v>
      </c>
      <c r="AV247" s="445">
        <f>SUM(AV243:AV246)</f>
        <v>13939</v>
      </c>
      <c r="AW247" s="445">
        <f t="shared" si="171"/>
        <v>14171</v>
      </c>
      <c r="AX247" s="445">
        <f t="shared" si="171"/>
        <v>14682</v>
      </c>
      <c r="AY247" s="445">
        <f t="shared" si="171"/>
        <v>15122</v>
      </c>
      <c r="AZ247" s="441">
        <f t="shared" si="171"/>
        <v>15122</v>
      </c>
      <c r="BA247" s="445">
        <f t="shared" si="171"/>
        <v>15872</v>
      </c>
      <c r="BB247" s="445">
        <f t="shared" si="171"/>
        <v>16814</v>
      </c>
      <c r="BC247" s="445">
        <f t="shared" si="171"/>
        <v>17164</v>
      </c>
      <c r="BD247" s="445">
        <f t="shared" si="171"/>
        <v>18391</v>
      </c>
      <c r="BE247" s="441">
        <f t="shared" si="171"/>
        <v>18391</v>
      </c>
      <c r="BF247" s="445">
        <f t="shared" si="171"/>
        <v>18867</v>
      </c>
      <c r="BG247" s="445">
        <f t="shared" si="171"/>
        <v>20292</v>
      </c>
      <c r="BH247" s="445">
        <f t="shared" si="171"/>
        <v>22329</v>
      </c>
      <c r="BI247" s="445">
        <f t="shared" si="171"/>
        <v>24780</v>
      </c>
      <c r="BJ247" s="441">
        <f t="shared" si="171"/>
        <v>24780</v>
      </c>
      <c r="BK247" s="445">
        <f t="shared" si="171"/>
        <v>27681</v>
      </c>
      <c r="BL247" s="444">
        <f t="shared" si="171"/>
        <v>27941.221102597687</v>
      </c>
      <c r="BM247" s="444">
        <f t="shared" si="171"/>
        <v>27808.352114014873</v>
      </c>
      <c r="BN247" s="444">
        <f t="shared" si="171"/>
        <v>28043.667205198974</v>
      </c>
      <c r="BO247" s="441">
        <f t="shared" si="171"/>
        <v>28043.667205198974</v>
      </c>
      <c r="BP247" s="444">
        <f t="shared" si="171"/>
        <v>27496.101916368898</v>
      </c>
      <c r="BQ247" s="444">
        <f t="shared" si="171"/>
        <v>27566.201078468595</v>
      </c>
      <c r="BR247" s="444">
        <f t="shared" si="171"/>
        <v>27619.25962879687</v>
      </c>
      <c r="BS247" s="444">
        <f t="shared" si="171"/>
        <v>27920.167058349369</v>
      </c>
      <c r="BT247" s="441">
        <f t="shared" si="171"/>
        <v>27920.167058349369</v>
      </c>
      <c r="BU247" s="444">
        <f t="shared" si="171"/>
        <v>27795.219426926811</v>
      </c>
      <c r="BV247" s="444">
        <f t="shared" si="171"/>
        <v>27884.859194879344</v>
      </c>
      <c r="BW247" s="444">
        <f t="shared" si="171"/>
        <v>27908.841485097077</v>
      </c>
      <c r="BX247" s="444">
        <f t="shared" si="171"/>
        <v>28264.821915604134</v>
      </c>
      <c r="BY247" s="441">
        <f t="shared" si="171"/>
        <v>28264.821915604134</v>
      </c>
      <c r="BZ247" s="444">
        <f t="shared" si="171"/>
        <v>28103.892728915805</v>
      </c>
      <c r="CA247" s="444">
        <f t="shared" si="171"/>
        <v>28211.104825906859</v>
      </c>
      <c r="CB247" s="444">
        <f t="shared" si="171"/>
        <v>28255.63711357411</v>
      </c>
      <c r="CC247" s="444">
        <f t="shared" si="171"/>
        <v>28672.721520838681</v>
      </c>
      <c r="CD247" s="441">
        <f t="shared" si="171"/>
        <v>28672.721520838681</v>
      </c>
      <c r="CE247" s="434"/>
      <c r="CL247" s="436"/>
    </row>
    <row r="248" spans="1:91" ht="13.5" customHeight="1" thickTop="1">
      <c r="A248" s="438"/>
      <c r="B248" s="448"/>
      <c r="C248" s="232"/>
      <c r="D248" s="232"/>
      <c r="E248" s="232"/>
      <c r="F248" s="232"/>
      <c r="G248" s="368"/>
      <c r="H248" s="232"/>
      <c r="I248" s="232"/>
      <c r="J248" s="232"/>
      <c r="K248" s="232"/>
      <c r="L248" s="368"/>
      <c r="M248" s="232"/>
      <c r="N248" s="232"/>
      <c r="O248" s="232"/>
      <c r="P248" s="232"/>
      <c r="Q248" s="368"/>
      <c r="R248" s="232"/>
      <c r="S248" s="232"/>
      <c r="T248" s="232"/>
      <c r="U248" s="232"/>
      <c r="V248" s="368"/>
      <c r="W248" s="232"/>
      <c r="X248" s="232"/>
      <c r="Y248" s="232"/>
      <c r="Z248" s="232"/>
      <c r="AA248" s="368"/>
      <c r="AB248" s="232"/>
      <c r="AC248" s="232"/>
      <c r="AD248" s="232"/>
      <c r="AE248" s="232"/>
      <c r="AF248" s="368"/>
      <c r="AG248" s="232"/>
      <c r="AH248" s="232"/>
      <c r="AI248" s="232"/>
      <c r="AJ248" s="232"/>
      <c r="AK248" s="368"/>
      <c r="AL248" s="232"/>
      <c r="AM248" s="232"/>
      <c r="AN248" s="232"/>
      <c r="AO248" s="232"/>
      <c r="AP248" s="368"/>
      <c r="AQ248" s="232"/>
      <c r="AR248" s="232"/>
      <c r="AS248" s="232"/>
      <c r="AT248" s="229"/>
      <c r="AU248" s="368"/>
      <c r="AV248" s="229"/>
      <c r="AW248" s="229"/>
      <c r="AX248" s="229"/>
      <c r="AY248" s="229"/>
      <c r="AZ248" s="368"/>
      <c r="BA248" s="229"/>
      <c r="BB248" s="229"/>
      <c r="BC248" s="229"/>
      <c r="BD248" s="229"/>
      <c r="BE248" s="368"/>
      <c r="BF248" s="229"/>
      <c r="BG248" s="229"/>
      <c r="BH248" s="229"/>
      <c r="BI248" s="229"/>
      <c r="BJ248" s="368"/>
      <c r="BK248" s="229"/>
      <c r="BL248" s="232"/>
      <c r="BM248" s="232"/>
      <c r="BN248" s="232"/>
      <c r="BO248" s="368"/>
      <c r="BP248" s="232"/>
      <c r="BQ248" s="232"/>
      <c r="BR248" s="232"/>
      <c r="BS248" s="232"/>
      <c r="BT248" s="368"/>
      <c r="BU248" s="232"/>
      <c r="BV248" s="232"/>
      <c r="BW248" s="232"/>
      <c r="BX248" s="232"/>
      <c r="BY248" s="368"/>
      <c r="BZ248" s="232"/>
      <c r="CA248" s="232"/>
      <c r="CB248" s="232"/>
      <c r="CC248" s="232"/>
      <c r="CD248" s="368"/>
      <c r="CE248" s="434"/>
      <c r="CL248" s="436"/>
    </row>
    <row r="249" spans="1:91" ht="13.5" customHeight="1">
      <c r="A249" s="438"/>
      <c r="B249" s="446" t="s">
        <v>236</v>
      </c>
      <c r="C249" s="366"/>
      <c r="D249" s="366"/>
      <c r="E249" s="366"/>
      <c r="F249" s="232"/>
      <c r="G249" s="368"/>
      <c r="H249" s="366"/>
      <c r="I249" s="366"/>
      <c r="J249" s="366"/>
      <c r="K249" s="232"/>
      <c r="L249" s="368"/>
      <c r="M249" s="366"/>
      <c r="N249" s="366"/>
      <c r="O249" s="366"/>
      <c r="P249" s="232"/>
      <c r="Q249" s="368"/>
      <c r="R249" s="366"/>
      <c r="S249" s="366"/>
      <c r="T249" s="366"/>
      <c r="U249" s="232"/>
      <c r="V249" s="368"/>
      <c r="W249" s="366"/>
      <c r="X249" s="366"/>
      <c r="Y249" s="366"/>
      <c r="Z249" s="232"/>
      <c r="AA249" s="368"/>
      <c r="AB249" s="366"/>
      <c r="AC249" s="366"/>
      <c r="AD249" s="366"/>
      <c r="AE249" s="232"/>
      <c r="AF249" s="368"/>
      <c r="AG249" s="366"/>
      <c r="AH249" s="366"/>
      <c r="AI249" s="366"/>
      <c r="AJ249" s="232"/>
      <c r="AK249" s="368"/>
      <c r="AL249" s="366"/>
      <c r="AM249" s="366"/>
      <c r="AN249" s="366"/>
      <c r="AO249" s="232"/>
      <c r="AP249" s="368"/>
      <c r="AQ249" s="366"/>
      <c r="AR249" s="366"/>
      <c r="AS249" s="366"/>
      <c r="AT249" s="229"/>
      <c r="AU249" s="368"/>
      <c r="AV249" s="229"/>
      <c r="AW249" s="229"/>
      <c r="AX249" s="229"/>
      <c r="AY249" s="229"/>
      <c r="AZ249" s="368"/>
      <c r="BA249" s="229"/>
      <c r="BB249" s="229"/>
      <c r="BC249" s="229"/>
      <c r="BD249" s="229"/>
      <c r="BE249" s="368"/>
      <c r="BF249" s="229"/>
      <c r="BG249" s="229"/>
      <c r="BH249" s="229"/>
      <c r="BI249" s="229"/>
      <c r="BJ249" s="368"/>
      <c r="BK249" s="229"/>
      <c r="BL249" s="232"/>
      <c r="BM249" s="232"/>
      <c r="BN249" s="232"/>
      <c r="BO249" s="368"/>
      <c r="BP249" s="232"/>
      <c r="BQ249" s="232"/>
      <c r="BR249" s="232"/>
      <c r="BS249" s="232"/>
      <c r="BT249" s="368"/>
      <c r="BU249" s="232"/>
      <c r="BV249" s="232"/>
      <c r="BW249" s="232"/>
      <c r="BX249" s="232"/>
      <c r="BY249" s="368"/>
      <c r="BZ249" s="232"/>
      <c r="CA249" s="232"/>
      <c r="CB249" s="232"/>
      <c r="CC249" s="232"/>
      <c r="CD249" s="368"/>
      <c r="CE249" s="434"/>
      <c r="CL249" s="436"/>
    </row>
    <row r="250" spans="1:91" ht="13.5" customHeight="1">
      <c r="A250" s="434"/>
      <c r="B250" s="435" t="s">
        <v>237</v>
      </c>
      <c r="C250" s="116"/>
      <c r="D250" s="116"/>
      <c r="E250" s="116"/>
      <c r="F250" s="116"/>
      <c r="G250" s="169"/>
      <c r="H250" s="116"/>
      <c r="I250" s="116"/>
      <c r="J250" s="116"/>
      <c r="K250" s="116"/>
      <c r="L250" s="169"/>
      <c r="M250" s="116"/>
      <c r="N250" s="116"/>
      <c r="O250" s="116"/>
      <c r="P250" s="116"/>
      <c r="Q250" s="169"/>
      <c r="R250" s="116"/>
      <c r="S250" s="116"/>
      <c r="T250" s="116"/>
      <c r="U250" s="116"/>
      <c r="V250" s="169"/>
      <c r="W250" s="116"/>
      <c r="X250" s="116"/>
      <c r="Y250" s="116"/>
      <c r="Z250" s="116"/>
      <c r="AA250" s="169"/>
      <c r="AB250" s="116"/>
      <c r="AC250" s="116"/>
      <c r="AD250" s="116"/>
      <c r="AE250" s="116"/>
      <c r="AF250" s="169"/>
      <c r="AG250" s="116"/>
      <c r="AH250" s="116"/>
      <c r="AI250" s="116"/>
      <c r="AJ250" s="116"/>
      <c r="AK250" s="169"/>
      <c r="AL250" s="116"/>
      <c r="AM250" s="116"/>
      <c r="AN250" s="116"/>
      <c r="AO250" s="116"/>
      <c r="AP250" s="169">
        <v>0</v>
      </c>
      <c r="AQ250" s="116"/>
      <c r="AR250" s="116"/>
      <c r="AS250" s="116"/>
      <c r="AT250" s="196">
        <v>0</v>
      </c>
      <c r="AU250" s="169">
        <v>0</v>
      </c>
      <c r="AV250" s="196">
        <v>0</v>
      </c>
      <c r="AW250" s="196">
        <v>0</v>
      </c>
      <c r="AX250" s="196">
        <v>0</v>
      </c>
      <c r="AY250" s="196">
        <v>0</v>
      </c>
      <c r="AZ250" s="144">
        <f>AY250</f>
        <v>0</v>
      </c>
      <c r="BA250" s="196">
        <v>0</v>
      </c>
      <c r="BB250" s="196">
        <v>0</v>
      </c>
      <c r="BC250" s="196">
        <v>0</v>
      </c>
      <c r="BD250" s="196">
        <v>0</v>
      </c>
      <c r="BE250" s="144">
        <f>BD250</f>
        <v>0</v>
      </c>
      <c r="BF250" s="196">
        <v>0</v>
      </c>
      <c r="BG250" s="196">
        <v>0</v>
      </c>
      <c r="BH250" s="196">
        <v>0</v>
      </c>
      <c r="BI250" s="196">
        <v>0</v>
      </c>
      <c r="BJ250" s="144">
        <f>BI250</f>
        <v>0</v>
      </c>
      <c r="BK250" s="196">
        <v>0</v>
      </c>
      <c r="BL250" s="145">
        <f>BK250+BL195+BL190</f>
        <v>0</v>
      </c>
      <c r="BM250" s="145">
        <f>BL250+BM195+BM190</f>
        <v>0</v>
      </c>
      <c r="BN250" s="145">
        <f>BM250+BN195+BN190</f>
        <v>0</v>
      </c>
      <c r="BO250" s="144">
        <f>BN250</f>
        <v>0</v>
      </c>
      <c r="BP250" s="145">
        <f>BO250+BP195+BP190</f>
        <v>0</v>
      </c>
      <c r="BQ250" s="145">
        <f>BP250+BQ195+BQ190</f>
        <v>0</v>
      </c>
      <c r="BR250" s="145">
        <f>BQ250+BR195+BR190</f>
        <v>0</v>
      </c>
      <c r="BS250" s="145">
        <f>BR250+BS195+BS190</f>
        <v>0</v>
      </c>
      <c r="BT250" s="144">
        <f>BS250</f>
        <v>0</v>
      </c>
      <c r="BU250" s="145">
        <f>BT250+BU195+BU190</f>
        <v>0</v>
      </c>
      <c r="BV250" s="145">
        <f>BU250+BV195+BV190</f>
        <v>0</v>
      </c>
      <c r="BW250" s="145">
        <f>BV250+BW195+BW190</f>
        <v>0</v>
      </c>
      <c r="BX250" s="145">
        <f>BW250+BX195+BX190</f>
        <v>0</v>
      </c>
      <c r="BY250" s="144">
        <f>BX250</f>
        <v>0</v>
      </c>
      <c r="BZ250" s="145">
        <f>BY250+BZ195+BZ190</f>
        <v>0</v>
      </c>
      <c r="CA250" s="145">
        <f>BZ250+CA195+CA190</f>
        <v>0</v>
      </c>
      <c r="CB250" s="145">
        <f>CA250+CB195+CB190</f>
        <v>0</v>
      </c>
      <c r="CC250" s="145">
        <f>CB250+CC195+CC190</f>
        <v>0</v>
      </c>
      <c r="CD250" s="144">
        <f>CC250</f>
        <v>0</v>
      </c>
      <c r="CE250" s="434"/>
      <c r="CL250" s="436"/>
      <c r="CM250" s="160"/>
    </row>
    <row r="251" spans="1:91" ht="13.5" customHeight="1">
      <c r="A251" s="434"/>
      <c r="B251" s="435" t="s">
        <v>238</v>
      </c>
      <c r="C251" s="116"/>
      <c r="D251" s="116"/>
      <c r="E251" s="116"/>
      <c r="F251" s="116"/>
      <c r="G251" s="169"/>
      <c r="H251" s="116"/>
      <c r="I251" s="116"/>
      <c r="J251" s="116"/>
      <c r="K251" s="116"/>
      <c r="L251" s="169"/>
      <c r="M251" s="116"/>
      <c r="N251" s="116"/>
      <c r="O251" s="116"/>
      <c r="P251" s="116"/>
      <c r="Q251" s="169"/>
      <c r="R251" s="116"/>
      <c r="S251" s="116"/>
      <c r="T251" s="116"/>
      <c r="U251" s="116"/>
      <c r="V251" s="169"/>
      <c r="W251" s="116"/>
      <c r="X251" s="116"/>
      <c r="Y251" s="116"/>
      <c r="Z251" s="116"/>
      <c r="AA251" s="169"/>
      <c r="AB251" s="116"/>
      <c r="AC251" s="116"/>
      <c r="AD251" s="116"/>
      <c r="AE251" s="116"/>
      <c r="AF251" s="169"/>
      <c r="AG251" s="116"/>
      <c r="AH251" s="116"/>
      <c r="AI251" s="116"/>
      <c r="AJ251" s="116"/>
      <c r="AK251" s="169"/>
      <c r="AL251" s="116"/>
      <c r="AM251" s="116"/>
      <c r="AN251" s="116"/>
      <c r="AO251" s="116"/>
      <c r="AP251" s="169">
        <v>-61</v>
      </c>
      <c r="AQ251" s="116"/>
      <c r="AR251" s="116"/>
      <c r="AS251" s="116"/>
      <c r="AT251" s="196">
        <v>110</v>
      </c>
      <c r="AU251" s="169">
        <v>110</v>
      </c>
      <c r="AV251" s="196">
        <v>142</v>
      </c>
      <c r="AW251" s="196">
        <v>24</v>
      </c>
      <c r="AX251" s="196">
        <v>301</v>
      </c>
      <c r="AY251" s="196">
        <v>668</v>
      </c>
      <c r="AZ251" s="144">
        <f>AY251</f>
        <v>668</v>
      </c>
      <c r="BA251" s="196">
        <f>1033-596</f>
        <v>437</v>
      </c>
      <c r="BB251" s="196">
        <f>1356-896</f>
        <v>460</v>
      </c>
      <c r="BC251" s="196">
        <f>1679-945</f>
        <v>734</v>
      </c>
      <c r="BD251" s="196">
        <f>-995+2069</f>
        <v>1074</v>
      </c>
      <c r="BE251" s="144">
        <f>BD251</f>
        <v>1074</v>
      </c>
      <c r="BF251" s="196">
        <f>2412-1512</f>
        <v>900</v>
      </c>
      <c r="BG251" s="196">
        <f>2824-1601</f>
        <v>1223</v>
      </c>
      <c r="BH251" s="196">
        <f>3204-1701</f>
        <v>1503</v>
      </c>
      <c r="BI251" s="196">
        <f>3823-2001</f>
        <v>1822</v>
      </c>
      <c r="BJ251" s="144">
        <f>BI251</f>
        <v>1822</v>
      </c>
      <c r="BK251" s="196">
        <f>4334-3811</f>
        <v>523</v>
      </c>
      <c r="BL251" s="145">
        <f>BK251+BL160+BL197+BL196</f>
        <v>574.67312481934937</v>
      </c>
      <c r="BM251" s="145">
        <f>BL251+BM160+BM197+BM196</f>
        <v>596.84549694231418</v>
      </c>
      <c r="BN251" s="145">
        <f>BM251+BN160+BN197+BN196</f>
        <v>747.09378608903239</v>
      </c>
      <c r="BO251" s="144">
        <f>BN251</f>
        <v>747.09378608903239</v>
      </c>
      <c r="BP251" s="145">
        <f>BO251+BP160+BP197+BP196</f>
        <v>872.06339531790127</v>
      </c>
      <c r="BQ251" s="145">
        <f>BP251+BQ160+BQ197+BQ196</f>
        <v>1025.6404590601524</v>
      </c>
      <c r="BR251" s="145">
        <f>BQ251+BR160+BR197+BR196</f>
        <v>1175.1746327461369</v>
      </c>
      <c r="BS251" s="145">
        <f>BR251+BS160+BS197+BS196</f>
        <v>1485.6714352497393</v>
      </c>
      <c r="BT251" s="144">
        <f>BS251</f>
        <v>1485.6714352497393</v>
      </c>
      <c r="BU251" s="145">
        <f>BT251+BU160+BU197+BU196</f>
        <v>1620.4568797415845</v>
      </c>
      <c r="BV251" s="145">
        <f>BU251+BV160+BV197+BV196</f>
        <v>1796.8284529429293</v>
      </c>
      <c r="BW251" s="145">
        <f>BV251+BW160+BW197+BW196</f>
        <v>1952.1980154613789</v>
      </c>
      <c r="BX251" s="145">
        <f>BW251+BX160+BX197+BX196</f>
        <v>2307.2425111010825</v>
      </c>
      <c r="BY251" s="144">
        <f>BX251</f>
        <v>2307.2425111010825</v>
      </c>
      <c r="BZ251" s="145">
        <f>BY251+BZ160+BZ197+BZ196</f>
        <v>2603.699827660042</v>
      </c>
      <c r="CA251" s="145">
        <f>BZ251+CA160+CA197+CA196</f>
        <v>2954.9525435369242</v>
      </c>
      <c r="CB251" s="145">
        <f>CA251+CB160+CB197+CB196</f>
        <v>3304.5479570259358</v>
      </c>
      <c r="CC251" s="145">
        <f>CB251+CC160+CC197+CC196</f>
        <v>3905.6685467115421</v>
      </c>
      <c r="CD251" s="144">
        <f>CC251</f>
        <v>3905.6685467115421</v>
      </c>
      <c r="CE251" s="434"/>
      <c r="CL251" s="436"/>
      <c r="CM251" s="160"/>
    </row>
    <row r="252" spans="1:91" ht="13.5" customHeight="1">
      <c r="A252" s="434"/>
      <c r="B252" s="449" t="s">
        <v>239</v>
      </c>
      <c r="C252" s="116"/>
      <c r="D252" s="116"/>
      <c r="E252" s="116"/>
      <c r="F252" s="116"/>
      <c r="G252" s="169"/>
      <c r="H252" s="116"/>
      <c r="I252" s="116"/>
      <c r="J252" s="116"/>
      <c r="K252" s="116"/>
      <c r="L252" s="169"/>
      <c r="M252" s="116"/>
      <c r="N252" s="116"/>
      <c r="O252" s="116"/>
      <c r="P252" s="116"/>
      <c r="Q252" s="169"/>
      <c r="R252" s="116"/>
      <c r="S252" s="116"/>
      <c r="T252" s="116"/>
      <c r="U252" s="116"/>
      <c r="V252" s="169"/>
      <c r="W252" s="116"/>
      <c r="X252" s="116"/>
      <c r="Y252" s="116"/>
      <c r="Z252" s="116"/>
      <c r="AA252" s="169"/>
      <c r="AB252" s="116"/>
      <c r="AC252" s="116"/>
      <c r="AD252" s="116"/>
      <c r="AE252" s="116"/>
      <c r="AF252" s="169"/>
      <c r="AG252" s="116"/>
      <c r="AH252" s="116"/>
      <c r="AI252" s="116"/>
      <c r="AJ252" s="116"/>
      <c r="AK252" s="169"/>
      <c r="AL252" s="116"/>
      <c r="AM252" s="116"/>
      <c r="AN252" s="116"/>
      <c r="AO252" s="116"/>
      <c r="AP252" s="169">
        <v>12716</v>
      </c>
      <c r="AQ252" s="116"/>
      <c r="AR252" s="116"/>
      <c r="AS252" s="116"/>
      <c r="AT252" s="196">
        <v>12716</v>
      </c>
      <c r="AU252" s="169">
        <v>12716</v>
      </c>
      <c r="AV252" s="196">
        <v>12716</v>
      </c>
      <c r="AW252" s="196">
        <v>12716</v>
      </c>
      <c r="AX252" s="196">
        <v>12910</v>
      </c>
      <c r="AY252" s="196">
        <v>13100</v>
      </c>
      <c r="AZ252" s="144">
        <f>AY252</f>
        <v>13100</v>
      </c>
      <c r="BA252" s="196">
        <v>13188</v>
      </c>
      <c r="BB252" s="196">
        <v>13305</v>
      </c>
      <c r="BC252" s="196">
        <v>13419</v>
      </c>
      <c r="BD252" s="196">
        <v>13579</v>
      </c>
      <c r="BE252" s="144">
        <f>BD252</f>
        <v>13579</v>
      </c>
      <c r="BF252" s="196">
        <v>13724</v>
      </c>
      <c r="BG252" s="196">
        <v>13873</v>
      </c>
      <c r="BH252" s="196">
        <v>14071</v>
      </c>
      <c r="BI252" s="196">
        <v>14314</v>
      </c>
      <c r="BJ252" s="144">
        <f>BI252</f>
        <v>14314</v>
      </c>
      <c r="BK252" s="196">
        <v>14287</v>
      </c>
      <c r="BL252" s="145">
        <f>BK252+BL164</f>
        <v>14536.884001744811</v>
      </c>
      <c r="BM252" s="145">
        <f>BL252+BM164</f>
        <v>14776.364811001522</v>
      </c>
      <c r="BN252" s="145">
        <f>BM252+BN164</f>
        <v>15053.766332922498</v>
      </c>
      <c r="BO252" s="144">
        <f>BN252</f>
        <v>15053.766332922498</v>
      </c>
      <c r="BP252" s="145">
        <f>BO252+BP164</f>
        <v>15298.718905958191</v>
      </c>
      <c r="BQ252" s="145">
        <f>BP252+BQ164</f>
        <v>15553.377516823073</v>
      </c>
      <c r="BR252" s="145">
        <f>BQ252+BR164</f>
        <v>15815.382696194947</v>
      </c>
      <c r="BS252" s="145">
        <f>BR252+BS164</f>
        <v>16119.051981197166</v>
      </c>
      <c r="BT252" s="144">
        <f>BS252</f>
        <v>16119.051981197166</v>
      </c>
      <c r="BU252" s="145">
        <f>BT252+BU164</f>
        <v>16412.580046018702</v>
      </c>
      <c r="BV252" s="145">
        <f>BU252+BV164</f>
        <v>16718.830062522731</v>
      </c>
      <c r="BW252" s="145">
        <f>BV252+BW164</f>
        <v>17028.483719446125</v>
      </c>
      <c r="BX252" s="145">
        <f>BW252+BX164</f>
        <v>17388.659214391482</v>
      </c>
      <c r="BY252" s="144">
        <f>BX252</f>
        <v>17388.659214391482</v>
      </c>
      <c r="BZ252" s="145">
        <f>BY252+BZ164</f>
        <v>17706.797164261752</v>
      </c>
      <c r="CA252" s="145">
        <f>BZ252+CA164</f>
        <v>18039.285040960054</v>
      </c>
      <c r="CB252" s="145">
        <f>CA252+CB164</f>
        <v>18377.733393084589</v>
      </c>
      <c r="CC252" s="145">
        <f>CB252+CC164</f>
        <v>18772.006888950691</v>
      </c>
      <c r="CD252" s="144">
        <f>CC252</f>
        <v>18772.006888950691</v>
      </c>
      <c r="CE252" s="434"/>
      <c r="CL252" s="436"/>
      <c r="CM252" s="160"/>
    </row>
    <row r="253" spans="1:91" ht="13.5" customHeight="1">
      <c r="A253" s="434"/>
      <c r="B253" s="450" t="s">
        <v>240</v>
      </c>
      <c r="C253" s="116"/>
      <c r="D253" s="116"/>
      <c r="E253" s="116"/>
      <c r="F253" s="116"/>
      <c r="G253" s="169"/>
      <c r="H253" s="116"/>
      <c r="I253" s="116"/>
      <c r="J253" s="116"/>
      <c r="K253" s="116"/>
      <c r="L253" s="169"/>
      <c r="M253" s="116"/>
      <c r="N253" s="116"/>
      <c r="O253" s="116"/>
      <c r="P253" s="116"/>
      <c r="Q253" s="169"/>
      <c r="R253" s="116"/>
      <c r="S253" s="116"/>
      <c r="T253" s="116"/>
      <c r="U253" s="116"/>
      <c r="V253" s="169"/>
      <c r="W253" s="116"/>
      <c r="X253" s="116"/>
      <c r="Y253" s="116"/>
      <c r="Z253" s="116"/>
      <c r="AA253" s="169"/>
      <c r="AB253" s="116"/>
      <c r="AC253" s="116"/>
      <c r="AD253" s="116"/>
      <c r="AE253" s="116"/>
      <c r="AF253" s="169"/>
      <c r="AG253" s="116"/>
      <c r="AH253" s="116"/>
      <c r="AI253" s="116"/>
      <c r="AJ253" s="116"/>
      <c r="AK253" s="169"/>
      <c r="AL253" s="116"/>
      <c r="AM253" s="116"/>
      <c r="AN253" s="116"/>
      <c r="AO253" s="116"/>
      <c r="AP253" s="169">
        <v>0</v>
      </c>
      <c r="AQ253" s="116"/>
      <c r="AR253" s="116"/>
      <c r="AS253" s="116"/>
      <c r="AT253" s="196">
        <v>0</v>
      </c>
      <c r="AU253" s="169">
        <v>0</v>
      </c>
      <c r="AV253" s="196">
        <f>8498-8498</f>
        <v>0</v>
      </c>
      <c r="AW253" s="196">
        <v>0</v>
      </c>
      <c r="AX253" s="196">
        <v>3</v>
      </c>
      <c r="AY253" s="196">
        <v>-9</v>
      </c>
      <c r="AZ253" s="144">
        <f>AY253</f>
        <v>-9</v>
      </c>
      <c r="BA253" s="196">
        <v>-27</v>
      </c>
      <c r="BB253" s="196">
        <v>52</v>
      </c>
      <c r="BC253" s="196">
        <v>39</v>
      </c>
      <c r="BD253" s="196">
        <v>59</v>
      </c>
      <c r="BE253" s="144">
        <f>BD253</f>
        <v>59</v>
      </c>
      <c r="BF253" s="196">
        <v>2</v>
      </c>
      <c r="BG253" s="196">
        <v>-98</v>
      </c>
      <c r="BH253" s="196">
        <v>-142</v>
      </c>
      <c r="BI253" s="196">
        <v>-142</v>
      </c>
      <c r="BJ253" s="144">
        <f>BI253</f>
        <v>-142</v>
      </c>
      <c r="BK253" s="196">
        <v>-169</v>
      </c>
      <c r="BL253" s="145">
        <f>BK253+BL199+BL189</f>
        <v>-169</v>
      </c>
      <c r="BM253" s="145">
        <f>BL253+BM199+BM189</f>
        <v>-169</v>
      </c>
      <c r="BN253" s="145">
        <f>BM253+BN199+BN189</f>
        <v>-169</v>
      </c>
      <c r="BO253" s="144">
        <f>BN253</f>
        <v>-169</v>
      </c>
      <c r="BP253" s="145">
        <f>BO253+BP199+BP189</f>
        <v>-169</v>
      </c>
      <c r="BQ253" s="145">
        <f>BP253+BQ199+BQ189</f>
        <v>-169</v>
      </c>
      <c r="BR253" s="145">
        <f>BQ253+BR199+BR189</f>
        <v>-169</v>
      </c>
      <c r="BS253" s="145">
        <f>BR253+BS199+BS189</f>
        <v>-169</v>
      </c>
      <c r="BT253" s="144">
        <f>BS253</f>
        <v>-169</v>
      </c>
      <c r="BU253" s="145">
        <f>BT253+BU199+BU189</f>
        <v>-169</v>
      </c>
      <c r="BV253" s="145">
        <f>BU253+BV199+BV189</f>
        <v>-169</v>
      </c>
      <c r="BW253" s="145">
        <f>BV253+BW199+BW189</f>
        <v>-169</v>
      </c>
      <c r="BX253" s="145">
        <f>BW253+BX199+BX189</f>
        <v>-169</v>
      </c>
      <c r="BY253" s="144">
        <f>BX253</f>
        <v>-169</v>
      </c>
      <c r="BZ253" s="145">
        <f>BY253+BZ199+BZ189</f>
        <v>-169</v>
      </c>
      <c r="CA253" s="145">
        <f>BZ253+CA199+CA189</f>
        <v>-169</v>
      </c>
      <c r="CB253" s="145">
        <f>CA253+CB199+CB189</f>
        <v>-169</v>
      </c>
      <c r="CC253" s="145">
        <f>CB253+CC199+CC189</f>
        <v>-169</v>
      </c>
      <c r="CD253" s="144">
        <f>CC253</f>
        <v>-169</v>
      </c>
      <c r="CE253" s="434"/>
      <c r="CL253" s="436"/>
      <c r="CM253" s="160"/>
    </row>
    <row r="254" spans="1:91" ht="13.5" customHeight="1" thickBot="1">
      <c r="A254" s="438"/>
      <c r="B254" s="451" t="s">
        <v>241</v>
      </c>
      <c r="C254" s="386"/>
      <c r="D254" s="386"/>
      <c r="E254" s="386"/>
      <c r="F254" s="386"/>
      <c r="G254" s="385"/>
      <c r="H254" s="386"/>
      <c r="I254" s="386"/>
      <c r="J254" s="386"/>
      <c r="K254" s="386"/>
      <c r="L254" s="385"/>
      <c r="M254" s="386"/>
      <c r="N254" s="386"/>
      <c r="O254" s="386"/>
      <c r="P254" s="386"/>
      <c r="Q254" s="385"/>
      <c r="R254" s="386"/>
      <c r="S254" s="386"/>
      <c r="T254" s="386"/>
      <c r="U254" s="386"/>
      <c r="V254" s="385"/>
      <c r="W254" s="386"/>
      <c r="X254" s="386"/>
      <c r="Y254" s="386"/>
      <c r="Z254" s="386"/>
      <c r="AA254" s="385"/>
      <c r="AB254" s="386"/>
      <c r="AC254" s="386"/>
      <c r="AD254" s="386"/>
      <c r="AE254" s="386"/>
      <c r="AF254" s="385"/>
      <c r="AG254" s="386"/>
      <c r="AH254" s="386"/>
      <c r="AI254" s="386"/>
      <c r="AJ254" s="386"/>
      <c r="AK254" s="385"/>
      <c r="AL254" s="386"/>
      <c r="AM254" s="386"/>
      <c r="AN254" s="386"/>
      <c r="AO254" s="386"/>
      <c r="AP254" s="385">
        <f>SUM(AP250:AP253)</f>
        <v>12655</v>
      </c>
      <c r="AQ254" s="386"/>
      <c r="AR254" s="386"/>
      <c r="AS254" s="386"/>
      <c r="AT254" s="266">
        <v>8248</v>
      </c>
      <c r="AU254" s="385">
        <f t="shared" ref="AU254:CD254" si="172">SUM(AU250:AU253)</f>
        <v>12826</v>
      </c>
      <c r="AV254" s="266">
        <f t="shared" si="172"/>
        <v>12858</v>
      </c>
      <c r="AW254" s="266">
        <f t="shared" si="172"/>
        <v>12740</v>
      </c>
      <c r="AX254" s="266">
        <f t="shared" si="172"/>
        <v>13214</v>
      </c>
      <c r="AY254" s="266">
        <f t="shared" si="172"/>
        <v>13759</v>
      </c>
      <c r="AZ254" s="385">
        <f t="shared" si="172"/>
        <v>13759</v>
      </c>
      <c r="BA254" s="266">
        <f t="shared" si="172"/>
        <v>13598</v>
      </c>
      <c r="BB254" s="266">
        <f t="shared" si="172"/>
        <v>13817</v>
      </c>
      <c r="BC254" s="266">
        <f t="shared" si="172"/>
        <v>14192</v>
      </c>
      <c r="BD254" s="266">
        <f t="shared" si="172"/>
        <v>14712</v>
      </c>
      <c r="BE254" s="385">
        <f t="shared" si="172"/>
        <v>14712</v>
      </c>
      <c r="BF254" s="266">
        <f t="shared" si="172"/>
        <v>14626</v>
      </c>
      <c r="BG254" s="266">
        <f t="shared" si="172"/>
        <v>14998</v>
      </c>
      <c r="BH254" s="266">
        <f t="shared" si="172"/>
        <v>15432</v>
      </c>
      <c r="BI254" s="266">
        <f t="shared" si="172"/>
        <v>15994</v>
      </c>
      <c r="BJ254" s="385">
        <f t="shared" si="172"/>
        <v>15994</v>
      </c>
      <c r="BK254" s="266">
        <f t="shared" si="172"/>
        <v>14641</v>
      </c>
      <c r="BL254" s="386">
        <f t="shared" si="172"/>
        <v>14942.557126564161</v>
      </c>
      <c r="BM254" s="386">
        <f t="shared" si="172"/>
        <v>15204.210307943837</v>
      </c>
      <c r="BN254" s="386">
        <f t="shared" si="172"/>
        <v>15631.86011901153</v>
      </c>
      <c r="BO254" s="385">
        <f t="shared" si="172"/>
        <v>15631.86011901153</v>
      </c>
      <c r="BP254" s="386">
        <f t="shared" si="172"/>
        <v>16001.782301276093</v>
      </c>
      <c r="BQ254" s="386">
        <f t="shared" si="172"/>
        <v>16410.017975883224</v>
      </c>
      <c r="BR254" s="386">
        <f t="shared" si="172"/>
        <v>16821.557328941082</v>
      </c>
      <c r="BS254" s="386">
        <f t="shared" si="172"/>
        <v>17435.723416446905</v>
      </c>
      <c r="BT254" s="385">
        <f t="shared" si="172"/>
        <v>17435.723416446905</v>
      </c>
      <c r="BU254" s="386">
        <f t="shared" si="172"/>
        <v>17864.036925760287</v>
      </c>
      <c r="BV254" s="386">
        <f t="shared" si="172"/>
        <v>18346.65851546566</v>
      </c>
      <c r="BW254" s="386">
        <f t="shared" si="172"/>
        <v>18811.681734907503</v>
      </c>
      <c r="BX254" s="386">
        <f t="shared" si="172"/>
        <v>19526.901725492564</v>
      </c>
      <c r="BY254" s="385">
        <f t="shared" si="172"/>
        <v>19526.901725492564</v>
      </c>
      <c r="BZ254" s="386">
        <f t="shared" si="172"/>
        <v>20141.496991921795</v>
      </c>
      <c r="CA254" s="386">
        <f t="shared" si="172"/>
        <v>20825.237584496979</v>
      </c>
      <c r="CB254" s="386">
        <f t="shared" si="172"/>
        <v>21513.281350110527</v>
      </c>
      <c r="CC254" s="386">
        <f t="shared" si="172"/>
        <v>22508.675435662233</v>
      </c>
      <c r="CD254" s="385">
        <f t="shared" si="172"/>
        <v>22508.675435662233</v>
      </c>
      <c r="CE254" s="438"/>
      <c r="CL254" s="436"/>
    </row>
    <row r="255" spans="1:91" ht="13.5" customHeight="1" thickTop="1">
      <c r="A255" s="438"/>
      <c r="B255" s="452" t="s">
        <v>242</v>
      </c>
      <c r="C255" s="453"/>
      <c r="D255" s="453"/>
      <c r="E255" s="453"/>
      <c r="F255" s="453"/>
      <c r="G255" s="454"/>
      <c r="H255" s="453"/>
      <c r="I255" s="453"/>
      <c r="J255" s="453"/>
      <c r="K255" s="453"/>
      <c r="L255" s="454"/>
      <c r="M255" s="453"/>
      <c r="N255" s="453"/>
      <c r="O255" s="453"/>
      <c r="P255" s="453"/>
      <c r="Q255" s="454"/>
      <c r="R255" s="453"/>
      <c r="S255" s="453"/>
      <c r="T255" s="453"/>
      <c r="U255" s="453"/>
      <c r="V255" s="454"/>
      <c r="W255" s="453"/>
      <c r="X255" s="453"/>
      <c r="Y255" s="453"/>
      <c r="Z255" s="453"/>
      <c r="AA255" s="454"/>
      <c r="AB255" s="453"/>
      <c r="AC255" s="453"/>
      <c r="AD255" s="453"/>
      <c r="AE255" s="453"/>
      <c r="AF255" s="454"/>
      <c r="AG255" s="453"/>
      <c r="AH255" s="453"/>
      <c r="AI255" s="453"/>
      <c r="AJ255" s="453"/>
      <c r="AK255" s="454"/>
      <c r="AL255" s="453"/>
      <c r="AM255" s="453"/>
      <c r="AN255" s="453"/>
      <c r="AO255" s="453"/>
      <c r="AP255" s="454">
        <f>AP247+AP254</f>
        <v>24425</v>
      </c>
      <c r="AQ255" s="453"/>
      <c r="AR255" s="453"/>
      <c r="AS255" s="453"/>
      <c r="AT255" s="455">
        <v>21917</v>
      </c>
      <c r="AU255" s="454">
        <f t="shared" ref="AU255:CD255" si="173">AU247+AU254</f>
        <v>26495</v>
      </c>
      <c r="AV255" s="455">
        <f t="shared" si="173"/>
        <v>26797</v>
      </c>
      <c r="AW255" s="455">
        <f t="shared" si="173"/>
        <v>26911</v>
      </c>
      <c r="AX255" s="455">
        <f t="shared" si="173"/>
        <v>27896</v>
      </c>
      <c r="AY255" s="455">
        <f t="shared" si="173"/>
        <v>28881</v>
      </c>
      <c r="AZ255" s="454">
        <f t="shared" si="173"/>
        <v>28881</v>
      </c>
      <c r="BA255" s="455">
        <f t="shared" si="173"/>
        <v>29470</v>
      </c>
      <c r="BB255" s="455">
        <f t="shared" si="173"/>
        <v>30631</v>
      </c>
      <c r="BC255" s="455">
        <f t="shared" si="173"/>
        <v>31356</v>
      </c>
      <c r="BD255" s="455">
        <f t="shared" si="173"/>
        <v>33103</v>
      </c>
      <c r="BE255" s="454">
        <f t="shared" si="173"/>
        <v>33103</v>
      </c>
      <c r="BF255" s="455">
        <f t="shared" si="173"/>
        <v>33493</v>
      </c>
      <c r="BG255" s="455">
        <f t="shared" si="173"/>
        <v>35290</v>
      </c>
      <c r="BH255" s="455">
        <f t="shared" si="173"/>
        <v>37761</v>
      </c>
      <c r="BI255" s="455">
        <f t="shared" si="173"/>
        <v>40774</v>
      </c>
      <c r="BJ255" s="454">
        <f t="shared" si="173"/>
        <v>40774</v>
      </c>
      <c r="BK255" s="455">
        <f t="shared" si="173"/>
        <v>42322</v>
      </c>
      <c r="BL255" s="453">
        <f t="shared" si="173"/>
        <v>42883.77822916185</v>
      </c>
      <c r="BM255" s="453">
        <f t="shared" si="173"/>
        <v>43012.562421958712</v>
      </c>
      <c r="BN255" s="453">
        <f t="shared" si="173"/>
        <v>43675.527324210503</v>
      </c>
      <c r="BO255" s="454">
        <f t="shared" si="173"/>
        <v>43675.527324210503</v>
      </c>
      <c r="BP255" s="453">
        <f t="shared" si="173"/>
        <v>43497.884217644991</v>
      </c>
      <c r="BQ255" s="453">
        <f t="shared" si="173"/>
        <v>43976.219054351823</v>
      </c>
      <c r="BR255" s="453">
        <f t="shared" si="173"/>
        <v>44440.816957737952</v>
      </c>
      <c r="BS255" s="453">
        <f t="shared" si="173"/>
        <v>45355.890474796273</v>
      </c>
      <c r="BT255" s="454">
        <f t="shared" si="173"/>
        <v>45355.890474796273</v>
      </c>
      <c r="BU255" s="453">
        <f t="shared" si="173"/>
        <v>45659.256352687094</v>
      </c>
      <c r="BV255" s="453">
        <f t="shared" si="173"/>
        <v>46231.517710345004</v>
      </c>
      <c r="BW255" s="453">
        <f t="shared" si="173"/>
        <v>46720.523220004579</v>
      </c>
      <c r="BX255" s="453">
        <f t="shared" si="173"/>
        <v>47791.723641096702</v>
      </c>
      <c r="BY255" s="454">
        <f t="shared" si="173"/>
        <v>47791.723641096702</v>
      </c>
      <c r="BZ255" s="453">
        <f t="shared" si="173"/>
        <v>48245.3897208376</v>
      </c>
      <c r="CA255" s="453">
        <f t="shared" si="173"/>
        <v>49036.342410403842</v>
      </c>
      <c r="CB255" s="453">
        <f t="shared" si="173"/>
        <v>49768.918463684633</v>
      </c>
      <c r="CC255" s="453">
        <f t="shared" si="173"/>
        <v>51181.396956500917</v>
      </c>
      <c r="CD255" s="454">
        <f t="shared" si="173"/>
        <v>51181.396956500917</v>
      </c>
      <c r="CE255" s="438"/>
    </row>
    <row r="256" spans="1:91" ht="13.5" customHeight="1">
      <c r="A256" s="456"/>
      <c r="B256" s="457" t="s">
        <v>213</v>
      </c>
      <c r="C256" s="458"/>
      <c r="D256" s="458"/>
      <c r="E256" s="458"/>
      <c r="F256" s="458"/>
      <c r="G256" s="458"/>
      <c r="H256" s="458"/>
      <c r="I256" s="458"/>
      <c r="J256" s="458"/>
      <c r="K256" s="458"/>
      <c r="L256" s="458"/>
      <c r="M256" s="458"/>
      <c r="N256" s="458"/>
      <c r="O256" s="458"/>
      <c r="P256" s="458"/>
      <c r="Q256" s="458"/>
      <c r="R256" s="458"/>
      <c r="S256" s="458"/>
      <c r="T256" s="458"/>
      <c r="U256" s="458"/>
      <c r="V256" s="458"/>
      <c r="W256" s="458"/>
      <c r="X256" s="458"/>
      <c r="Y256" s="458"/>
      <c r="Z256" s="458"/>
      <c r="AA256" s="458"/>
      <c r="AB256" s="458"/>
      <c r="AC256" s="458"/>
      <c r="AD256" s="458"/>
      <c r="AE256" s="458"/>
      <c r="AF256" s="458"/>
      <c r="AG256" s="458"/>
      <c r="AH256" s="458"/>
      <c r="AI256" s="458"/>
      <c r="AJ256" s="458"/>
      <c r="AK256" s="458"/>
      <c r="AL256" s="458"/>
      <c r="AM256" s="458"/>
      <c r="AN256" s="458"/>
      <c r="AO256" s="458"/>
      <c r="AP256" s="458">
        <f>AP235-AP255</f>
        <v>0</v>
      </c>
      <c r="AQ256" s="458"/>
      <c r="AR256" s="458"/>
      <c r="AS256" s="458"/>
      <c r="AT256" s="458">
        <v>0</v>
      </c>
      <c r="AU256" s="458">
        <f t="shared" ref="AU256:CD256" si="174">AU235-AU255</f>
        <v>0</v>
      </c>
      <c r="AV256" s="458">
        <f t="shared" si="174"/>
        <v>0</v>
      </c>
      <c r="AW256" s="458">
        <f>AW235-AW255</f>
        <v>0</v>
      </c>
      <c r="AX256" s="458">
        <f t="shared" si="174"/>
        <v>0</v>
      </c>
      <c r="AY256" s="458">
        <f t="shared" si="174"/>
        <v>0</v>
      </c>
      <c r="AZ256" s="458">
        <f t="shared" si="174"/>
        <v>0</v>
      </c>
      <c r="BA256" s="458">
        <f t="shared" si="174"/>
        <v>0</v>
      </c>
      <c r="BB256" s="458">
        <f t="shared" si="174"/>
        <v>0</v>
      </c>
      <c r="BC256" s="458">
        <f t="shared" si="174"/>
        <v>0</v>
      </c>
      <c r="BD256" s="458">
        <f t="shared" si="174"/>
        <v>0</v>
      </c>
      <c r="BE256" s="458">
        <f>BE235-BE255</f>
        <v>0</v>
      </c>
      <c r="BF256" s="458">
        <f t="shared" ref="BF256:BI256" si="175">BF235-BF255</f>
        <v>0</v>
      </c>
      <c r="BG256" s="458">
        <f t="shared" si="175"/>
        <v>0</v>
      </c>
      <c r="BH256" s="458">
        <f t="shared" si="175"/>
        <v>0</v>
      </c>
      <c r="BI256" s="458">
        <f t="shared" si="175"/>
        <v>0</v>
      </c>
      <c r="BJ256" s="458">
        <f t="shared" si="174"/>
        <v>0</v>
      </c>
      <c r="BK256" s="458">
        <f t="shared" si="174"/>
        <v>0</v>
      </c>
      <c r="BL256" s="458">
        <f>BL235-BL255</f>
        <v>0</v>
      </c>
      <c r="BM256" s="458">
        <f t="shared" si="174"/>
        <v>0</v>
      </c>
      <c r="BN256" s="458">
        <f t="shared" si="174"/>
        <v>0</v>
      </c>
      <c r="BO256" s="458">
        <f t="shared" si="174"/>
        <v>0</v>
      </c>
      <c r="BP256" s="458">
        <f t="shared" si="174"/>
        <v>0</v>
      </c>
      <c r="BQ256" s="458">
        <f t="shared" si="174"/>
        <v>0</v>
      </c>
      <c r="BR256" s="458">
        <f t="shared" si="174"/>
        <v>0</v>
      </c>
      <c r="BS256" s="458">
        <f t="shared" si="174"/>
        <v>0</v>
      </c>
      <c r="BT256" s="458">
        <f t="shared" si="174"/>
        <v>0</v>
      </c>
      <c r="BU256" s="458">
        <f t="shared" si="174"/>
        <v>0</v>
      </c>
      <c r="BV256" s="458">
        <f t="shared" si="174"/>
        <v>0</v>
      </c>
      <c r="BW256" s="458">
        <f t="shared" si="174"/>
        <v>0</v>
      </c>
      <c r="BX256" s="458">
        <f t="shared" si="174"/>
        <v>0</v>
      </c>
      <c r="BY256" s="458">
        <f t="shared" si="174"/>
        <v>0</v>
      </c>
      <c r="BZ256" s="458">
        <f t="shared" si="174"/>
        <v>0</v>
      </c>
      <c r="CA256" s="458">
        <f t="shared" si="174"/>
        <v>0</v>
      </c>
      <c r="CB256" s="458">
        <f t="shared" si="174"/>
        <v>0</v>
      </c>
      <c r="CC256" s="458">
        <f t="shared" si="174"/>
        <v>0</v>
      </c>
      <c r="CD256" s="458">
        <f t="shared" si="174"/>
        <v>0</v>
      </c>
      <c r="CE256" s="456"/>
      <c r="CL256" s="459"/>
      <c r="CM256" s="459"/>
    </row>
    <row r="257" spans="1:91" ht="13.5" customHeight="1">
      <c r="A257" s="113"/>
      <c r="B257" s="460"/>
      <c r="C257" s="460"/>
      <c r="D257" s="460"/>
      <c r="E257" s="460"/>
      <c r="F257" s="460"/>
      <c r="G257" s="460"/>
      <c r="H257" s="460"/>
      <c r="I257" s="460"/>
      <c r="J257" s="460"/>
      <c r="K257" s="460"/>
      <c r="L257" s="460"/>
      <c r="M257" s="460"/>
      <c r="N257" s="460"/>
      <c r="O257" s="460"/>
      <c r="P257" s="460"/>
      <c r="Q257" s="460"/>
      <c r="R257" s="460"/>
      <c r="S257" s="460"/>
      <c r="T257" s="460"/>
      <c r="U257" s="460"/>
      <c r="V257" s="460"/>
      <c r="W257" s="460"/>
      <c r="X257" s="460"/>
      <c r="Y257" s="460"/>
      <c r="Z257" s="460"/>
      <c r="AA257" s="460"/>
      <c r="AB257" s="460"/>
      <c r="AC257" s="460"/>
      <c r="AD257" s="460"/>
      <c r="AE257" s="460"/>
      <c r="AF257" s="460"/>
      <c r="AG257" s="460"/>
      <c r="AH257" s="460"/>
      <c r="AI257" s="460"/>
      <c r="AJ257" s="460"/>
      <c r="AK257" s="460"/>
      <c r="AL257" s="461"/>
      <c r="AM257" s="461"/>
      <c r="AN257" s="461"/>
      <c r="AO257" s="462"/>
      <c r="AP257" s="463"/>
      <c r="AQ257" s="462"/>
      <c r="AR257" s="462"/>
      <c r="AS257" s="462"/>
      <c r="AT257" s="462"/>
      <c r="AU257" s="463"/>
      <c r="AV257" s="462"/>
      <c r="AW257" s="462"/>
      <c r="AX257" s="462"/>
      <c r="AY257" s="462"/>
      <c r="AZ257" s="463"/>
      <c r="BA257" s="462"/>
      <c r="BB257" s="462"/>
      <c r="BC257" s="462"/>
      <c r="BD257" s="462"/>
      <c r="BE257" s="463"/>
      <c r="BF257" s="462"/>
      <c r="BG257" s="462"/>
      <c r="BH257" s="462"/>
      <c r="BI257" s="462"/>
      <c r="BJ257" s="463"/>
      <c r="BK257" s="462"/>
      <c r="BL257" s="462"/>
      <c r="BM257" s="462"/>
      <c r="BN257" s="462"/>
      <c r="BO257" s="463"/>
      <c r="BP257" s="462"/>
      <c r="BQ257" s="462"/>
      <c r="BR257" s="462"/>
      <c r="BS257" s="462"/>
      <c r="BT257" s="463"/>
      <c r="BU257" s="462"/>
      <c r="BV257" s="462"/>
      <c r="BW257" s="462"/>
      <c r="BX257" s="462"/>
      <c r="BY257" s="463"/>
      <c r="BZ257" s="462"/>
      <c r="CA257" s="462"/>
      <c r="CB257" s="462"/>
      <c r="CC257" s="462"/>
      <c r="CD257" s="463"/>
      <c r="CE257" s="113"/>
    </row>
    <row r="258" spans="1:91" ht="13.5" customHeight="1" outlineLevel="1">
      <c r="A258" s="113"/>
      <c r="B258" s="464" t="s">
        <v>243</v>
      </c>
      <c r="C258" s="465"/>
      <c r="D258" s="465"/>
      <c r="E258" s="465"/>
      <c r="F258" s="465"/>
      <c r="G258" s="465"/>
      <c r="H258" s="465"/>
      <c r="I258" s="465"/>
      <c r="J258" s="465"/>
      <c r="K258" s="465"/>
      <c r="L258" s="465"/>
      <c r="M258" s="465"/>
      <c r="N258" s="465"/>
      <c r="O258" s="465"/>
      <c r="P258" s="465"/>
      <c r="Q258" s="465"/>
      <c r="R258" s="465"/>
      <c r="S258" s="465"/>
      <c r="T258" s="465"/>
      <c r="U258" s="465"/>
      <c r="V258" s="465"/>
      <c r="W258" s="465"/>
      <c r="X258" s="465"/>
      <c r="Y258" s="465"/>
      <c r="Z258" s="465"/>
      <c r="AA258" s="465"/>
      <c r="AB258" s="465"/>
      <c r="AC258" s="465"/>
      <c r="AD258" s="465"/>
      <c r="AE258" s="465"/>
      <c r="AF258" s="465"/>
      <c r="AG258" s="465"/>
      <c r="AH258" s="465"/>
      <c r="AI258" s="465"/>
      <c r="AJ258" s="465"/>
      <c r="AK258" s="466"/>
      <c r="AL258" s="232"/>
      <c r="AM258" s="232"/>
      <c r="AN258" s="232"/>
      <c r="AO258" s="467"/>
      <c r="AP258" s="467"/>
      <c r="AQ258" s="467"/>
      <c r="AR258" s="467"/>
      <c r="AS258" s="467"/>
      <c r="AT258" s="467"/>
      <c r="AU258" s="467"/>
      <c r="AV258" s="467"/>
      <c r="AW258" s="467"/>
      <c r="AX258" s="467"/>
      <c r="AY258" s="467"/>
      <c r="AZ258" s="467"/>
      <c r="BA258" s="467"/>
      <c r="BB258" s="467"/>
      <c r="BC258" s="467"/>
      <c r="BD258" s="467"/>
      <c r="BE258" s="467"/>
      <c r="BF258" s="467"/>
      <c r="BG258" s="467"/>
      <c r="BH258" s="467"/>
      <c r="BI258" s="467"/>
      <c r="BJ258" s="467"/>
      <c r="BK258" s="467"/>
      <c r="BL258" s="467"/>
      <c r="BM258" s="467"/>
      <c r="BN258" s="467"/>
      <c r="BO258" s="467"/>
      <c r="BP258" s="467"/>
      <c r="BQ258" s="467"/>
      <c r="BR258" s="467"/>
      <c r="BS258" s="467"/>
      <c r="BT258" s="467"/>
      <c r="BU258" s="467"/>
      <c r="BV258" s="467"/>
      <c r="BW258" s="467"/>
      <c r="BX258" s="467"/>
      <c r="BY258" s="467"/>
      <c r="BZ258" s="467"/>
      <c r="CA258" s="467"/>
      <c r="CB258" s="467"/>
      <c r="CC258" s="467"/>
      <c r="CD258" s="467"/>
      <c r="CE258" s="113"/>
    </row>
    <row r="259" spans="1:91" ht="13.5" customHeight="1" outlineLevel="1">
      <c r="A259" s="468"/>
      <c r="B259" s="469" t="s">
        <v>244</v>
      </c>
      <c r="C259" s="470"/>
      <c r="D259" s="470"/>
      <c r="E259" s="470"/>
      <c r="F259" s="470"/>
      <c r="G259" s="471"/>
      <c r="H259" s="470"/>
      <c r="I259" s="470"/>
      <c r="J259" s="470"/>
      <c r="K259" s="470"/>
      <c r="L259" s="471"/>
      <c r="M259" s="470"/>
      <c r="N259" s="470"/>
      <c r="O259" s="470"/>
      <c r="P259" s="470"/>
      <c r="Q259" s="471"/>
      <c r="R259" s="470"/>
      <c r="S259" s="470"/>
      <c r="T259" s="470"/>
      <c r="U259" s="470"/>
      <c r="V259" s="471"/>
      <c r="W259" s="470"/>
      <c r="X259" s="470"/>
      <c r="Y259" s="470"/>
      <c r="Z259" s="470"/>
      <c r="AA259" s="471"/>
      <c r="AB259" s="470"/>
      <c r="AC259" s="470"/>
      <c r="AD259" s="470"/>
      <c r="AE259" s="470"/>
      <c r="AF259" s="471"/>
      <c r="AG259" s="470"/>
      <c r="AH259" s="470"/>
      <c r="AI259" s="470"/>
      <c r="AJ259" s="470"/>
      <c r="AK259" s="471"/>
      <c r="AL259" s="472"/>
      <c r="AM259" s="472"/>
      <c r="AN259" s="472"/>
      <c r="AO259" s="472"/>
      <c r="AP259" s="471">
        <f>AP240</f>
        <v>1103</v>
      </c>
      <c r="AQ259" s="472"/>
      <c r="AR259" s="472"/>
      <c r="AS259" s="472"/>
      <c r="AT259" s="472"/>
      <c r="AU259" s="471">
        <f>AU240</f>
        <v>1093</v>
      </c>
      <c r="AV259" s="472">
        <f t="shared" ref="AV259:CD259" si="176">AV240</f>
        <v>868</v>
      </c>
      <c r="AW259" s="472">
        <f t="shared" si="176"/>
        <v>102</v>
      </c>
      <c r="AX259" s="472">
        <f>AX240</f>
        <v>0</v>
      </c>
      <c r="AY259" s="472">
        <f>AY240</f>
        <v>0</v>
      </c>
      <c r="AZ259" s="471">
        <f t="shared" si="176"/>
        <v>0</v>
      </c>
      <c r="BA259" s="472">
        <f t="shared" si="176"/>
        <v>0</v>
      </c>
      <c r="BB259" s="472">
        <f>BB240</f>
        <v>0</v>
      </c>
      <c r="BC259" s="472">
        <f t="shared" si="176"/>
        <v>0</v>
      </c>
      <c r="BD259" s="472">
        <f t="shared" si="176"/>
        <v>0</v>
      </c>
      <c r="BE259" s="471">
        <f t="shared" si="176"/>
        <v>0</v>
      </c>
      <c r="BF259" s="472">
        <f t="shared" si="176"/>
        <v>0</v>
      </c>
      <c r="BG259" s="472">
        <f t="shared" si="176"/>
        <v>0</v>
      </c>
      <c r="BH259" s="472">
        <f t="shared" si="176"/>
        <v>0</v>
      </c>
      <c r="BI259" s="472">
        <f t="shared" si="176"/>
        <v>1000</v>
      </c>
      <c r="BJ259" s="471">
        <f t="shared" si="176"/>
        <v>1000</v>
      </c>
      <c r="BK259" s="472">
        <f t="shared" ref="BK259" si="177">BK240</f>
        <v>3000</v>
      </c>
      <c r="BL259" s="472">
        <f t="shared" si="176"/>
        <v>3000</v>
      </c>
      <c r="BM259" s="472">
        <f t="shared" si="176"/>
        <v>3000</v>
      </c>
      <c r="BN259" s="472">
        <f t="shared" si="176"/>
        <v>3000</v>
      </c>
      <c r="BO259" s="471">
        <f t="shared" si="176"/>
        <v>3000</v>
      </c>
      <c r="BP259" s="472">
        <f t="shared" si="176"/>
        <v>3000</v>
      </c>
      <c r="BQ259" s="472">
        <f t="shared" si="176"/>
        <v>3000</v>
      </c>
      <c r="BR259" s="472">
        <f t="shared" si="176"/>
        <v>3000</v>
      </c>
      <c r="BS259" s="472">
        <f t="shared" si="176"/>
        <v>3000</v>
      </c>
      <c r="BT259" s="471">
        <f t="shared" si="176"/>
        <v>3000</v>
      </c>
      <c r="BU259" s="472">
        <f t="shared" si="176"/>
        <v>3000</v>
      </c>
      <c r="BV259" s="472">
        <f t="shared" si="176"/>
        <v>3000</v>
      </c>
      <c r="BW259" s="472">
        <f t="shared" si="176"/>
        <v>3000</v>
      </c>
      <c r="BX259" s="472">
        <f t="shared" si="176"/>
        <v>3000</v>
      </c>
      <c r="BY259" s="471">
        <f t="shared" si="176"/>
        <v>3000</v>
      </c>
      <c r="BZ259" s="472">
        <f t="shared" si="176"/>
        <v>3000</v>
      </c>
      <c r="CA259" s="472">
        <f t="shared" si="176"/>
        <v>3000</v>
      </c>
      <c r="CB259" s="472">
        <f t="shared" si="176"/>
        <v>3000</v>
      </c>
      <c r="CC259" s="472">
        <f t="shared" si="176"/>
        <v>3000</v>
      </c>
      <c r="CD259" s="471">
        <f t="shared" si="176"/>
        <v>3000</v>
      </c>
      <c r="CE259" s="468"/>
      <c r="CL259" s="370"/>
      <c r="CM259" s="370"/>
    </row>
    <row r="260" spans="1:91" ht="13.5" customHeight="1" outlineLevel="1">
      <c r="A260" s="473"/>
      <c r="B260" s="474" t="s">
        <v>245</v>
      </c>
      <c r="C260" s="475"/>
      <c r="D260" s="475"/>
      <c r="E260" s="475"/>
      <c r="F260" s="475"/>
      <c r="G260" s="476"/>
      <c r="H260" s="475"/>
      <c r="I260" s="475"/>
      <c r="J260" s="475"/>
      <c r="K260" s="475"/>
      <c r="L260" s="476"/>
      <c r="M260" s="475"/>
      <c r="N260" s="475"/>
      <c r="O260" s="475"/>
      <c r="P260" s="475"/>
      <c r="Q260" s="476"/>
      <c r="R260" s="475"/>
      <c r="S260" s="475"/>
      <c r="T260" s="475"/>
      <c r="U260" s="475"/>
      <c r="V260" s="476"/>
      <c r="W260" s="475"/>
      <c r="X260" s="475"/>
      <c r="Y260" s="475"/>
      <c r="Z260" s="475"/>
      <c r="AA260" s="476"/>
      <c r="AB260" s="475"/>
      <c r="AC260" s="475"/>
      <c r="AD260" s="475"/>
      <c r="AE260" s="475"/>
      <c r="AF260" s="476"/>
      <c r="AG260" s="475"/>
      <c r="AH260" s="475"/>
      <c r="AI260" s="475"/>
      <c r="AJ260" s="475"/>
      <c r="AK260" s="476"/>
      <c r="AL260" s="477"/>
      <c r="AM260" s="477"/>
      <c r="AN260" s="477"/>
      <c r="AO260" s="477"/>
      <c r="AP260" s="476">
        <f>AP259-AP220</f>
        <v>-501</v>
      </c>
      <c r="AQ260" s="477"/>
      <c r="AR260" s="477"/>
      <c r="AS260" s="477"/>
      <c r="AT260" s="477"/>
      <c r="AU260" s="476">
        <f t="shared" ref="AU260:CD260" si="178">AU259-AU220</f>
        <v>-1108</v>
      </c>
      <c r="AV260" s="477">
        <f t="shared" si="178"/>
        <v>-1497</v>
      </c>
      <c r="AW260" s="477">
        <f t="shared" si="178"/>
        <v>-2460</v>
      </c>
      <c r="AX260" s="477">
        <f>AX259-AX220</f>
        <v>-1880</v>
      </c>
      <c r="AY260" s="477">
        <f>AY259-AY220</f>
        <v>-1393</v>
      </c>
      <c r="AZ260" s="476">
        <f t="shared" si="178"/>
        <v>-1393</v>
      </c>
      <c r="BA260" s="477">
        <f t="shared" si="178"/>
        <v>-2583</v>
      </c>
      <c r="BB260" s="477">
        <f>BB259-BB220</f>
        <v>-2018</v>
      </c>
      <c r="BC260" s="477">
        <f>BC259-BC220</f>
        <v>-1369</v>
      </c>
      <c r="BD260" s="477">
        <f>BD259-BD220</f>
        <v>-1590</v>
      </c>
      <c r="BE260" s="476">
        <f t="shared" si="178"/>
        <v>-1590</v>
      </c>
      <c r="BF260" s="477">
        <f t="shared" si="178"/>
        <v>-1240</v>
      </c>
      <c r="BG260" s="477">
        <f t="shared" si="178"/>
        <v>-1271</v>
      </c>
      <c r="BH260" s="477">
        <f t="shared" si="178"/>
        <v>-2330</v>
      </c>
      <c r="BI260" s="477">
        <f t="shared" si="178"/>
        <v>-1883</v>
      </c>
      <c r="BJ260" s="476">
        <f t="shared" si="178"/>
        <v>-1883</v>
      </c>
      <c r="BK260" s="477">
        <f t="shared" ref="BK260" si="179">BK259-BK220</f>
        <v>121</v>
      </c>
      <c r="BL260" s="477">
        <f t="shared" si="178"/>
        <v>-223.07673378221079</v>
      </c>
      <c r="BM260" s="477">
        <f t="shared" si="178"/>
        <v>-6736.0634317097029</v>
      </c>
      <c r="BN260" s="477">
        <f t="shared" si="178"/>
        <v>-7141.8448360952498</v>
      </c>
      <c r="BO260" s="476">
        <f t="shared" si="178"/>
        <v>-7141.8448360952516</v>
      </c>
      <c r="BP260" s="477">
        <f t="shared" si="178"/>
        <v>-7016.5545314766878</v>
      </c>
      <c r="BQ260" s="477">
        <f t="shared" si="178"/>
        <v>-7562.3915688843772</v>
      </c>
      <c r="BR260" s="477">
        <f t="shared" si="178"/>
        <v>-8104.0330548909005</v>
      </c>
      <c r="BS260" s="477">
        <f t="shared" si="178"/>
        <v>-9035.8107383807037</v>
      </c>
      <c r="BT260" s="476">
        <f t="shared" si="178"/>
        <v>-9035.8107383807073</v>
      </c>
      <c r="BU260" s="477">
        <f t="shared" si="178"/>
        <v>-9508.6445940457743</v>
      </c>
      <c r="BV260" s="477">
        <f t="shared" si="178"/>
        <v>-10168.57533048504</v>
      </c>
      <c r="BW260" s="477">
        <f t="shared" si="178"/>
        <v>-10764.605253180465</v>
      </c>
      <c r="BX260" s="477">
        <f t="shared" si="178"/>
        <v>-11874.603959983528</v>
      </c>
      <c r="BY260" s="476">
        <f t="shared" si="178"/>
        <v>-11874.603959983528</v>
      </c>
      <c r="BZ260" s="477">
        <f t="shared" si="178"/>
        <v>-12457.089046452116</v>
      </c>
      <c r="CA260" s="477">
        <f t="shared" si="178"/>
        <v>-13343.503748964704</v>
      </c>
      <c r="CB260" s="477">
        <f t="shared" si="178"/>
        <v>-14187.762336111216</v>
      </c>
      <c r="CC260" s="477">
        <f t="shared" si="178"/>
        <v>-15634.145332019027</v>
      </c>
      <c r="CD260" s="476">
        <f t="shared" si="178"/>
        <v>-15634.145332019027</v>
      </c>
      <c r="CE260" s="473"/>
      <c r="CL260" s="370"/>
      <c r="CM260" s="370"/>
    </row>
    <row r="261" spans="1:91" ht="13.5" customHeight="1" outlineLevel="1">
      <c r="A261" s="478"/>
      <c r="B261" s="474" t="s">
        <v>246</v>
      </c>
      <c r="C261" s="475"/>
      <c r="D261" s="475"/>
      <c r="E261" s="475"/>
      <c r="F261" s="475"/>
      <c r="G261" s="479"/>
      <c r="H261" s="475"/>
      <c r="I261" s="475"/>
      <c r="J261" s="475"/>
      <c r="K261" s="475"/>
      <c r="L261" s="479"/>
      <c r="M261" s="475"/>
      <c r="N261" s="475"/>
      <c r="O261" s="475"/>
      <c r="P261" s="475"/>
      <c r="Q261" s="479"/>
      <c r="R261" s="475"/>
      <c r="S261" s="475"/>
      <c r="T261" s="475"/>
      <c r="U261" s="475"/>
      <c r="V261" s="479"/>
      <c r="W261" s="475"/>
      <c r="X261" s="475"/>
      <c r="Y261" s="475"/>
      <c r="Z261" s="475"/>
      <c r="AA261" s="479"/>
      <c r="AB261" s="475"/>
      <c r="AC261" s="475"/>
      <c r="AD261" s="475"/>
      <c r="AE261" s="475"/>
      <c r="AF261" s="479"/>
      <c r="AG261" s="475"/>
      <c r="AH261" s="475"/>
      <c r="AI261" s="475"/>
      <c r="AJ261" s="475"/>
      <c r="AK261" s="479"/>
      <c r="AL261" s="480"/>
      <c r="AM261" s="480"/>
      <c r="AN261" s="480"/>
      <c r="AO261" s="480"/>
      <c r="AP261" s="479">
        <f>AP259/(AP259+AP254)</f>
        <v>8.0171536560546597E-2</v>
      </c>
      <c r="AQ261" s="480"/>
      <c r="AR261" s="480"/>
      <c r="AS261" s="480"/>
      <c r="AT261" s="480"/>
      <c r="AU261" s="479">
        <f>AU259/(AU259+AU254)</f>
        <v>7.8525756160643723E-2</v>
      </c>
      <c r="AV261" s="480">
        <f t="shared" ref="AV261:CD261" si="180">AV259/(AV259+AV254)</f>
        <v>6.3237651172956433E-2</v>
      </c>
      <c r="AW261" s="480">
        <f t="shared" si="180"/>
        <v>7.9426880548201222E-3</v>
      </c>
      <c r="AX261" s="480">
        <f>AX259/(AX259+AX254)</f>
        <v>0</v>
      </c>
      <c r="AY261" s="480">
        <f>AY259/(AY259+AY254)</f>
        <v>0</v>
      </c>
      <c r="AZ261" s="479">
        <f t="shared" si="180"/>
        <v>0</v>
      </c>
      <c r="BA261" s="480">
        <f t="shared" si="180"/>
        <v>0</v>
      </c>
      <c r="BB261" s="480">
        <f>BB259/(BB259+BB254)</f>
        <v>0</v>
      </c>
      <c r="BC261" s="480">
        <f>BC259/(BC259+BC254)</f>
        <v>0</v>
      </c>
      <c r="BD261" s="480">
        <f>BD259/(BD259+BD254)</f>
        <v>0</v>
      </c>
      <c r="BE261" s="479">
        <f t="shared" si="180"/>
        <v>0</v>
      </c>
      <c r="BF261" s="480">
        <f t="shared" si="180"/>
        <v>0</v>
      </c>
      <c r="BG261" s="480">
        <f t="shared" si="180"/>
        <v>0</v>
      </c>
      <c r="BH261" s="480">
        <f t="shared" si="180"/>
        <v>0</v>
      </c>
      <c r="BI261" s="480">
        <f t="shared" si="180"/>
        <v>5.884429798752501E-2</v>
      </c>
      <c r="BJ261" s="479">
        <f t="shared" si="180"/>
        <v>5.884429798752501E-2</v>
      </c>
      <c r="BK261" s="480">
        <f t="shared" ref="BK261" si="181">BK259/(BK259+BK254)</f>
        <v>0.17005838671277138</v>
      </c>
      <c r="BL261" s="480">
        <f t="shared" si="180"/>
        <v>0.16720024792667179</v>
      </c>
      <c r="BM261" s="480">
        <f t="shared" si="180"/>
        <v>0.1647970414124956</v>
      </c>
      <c r="BN261" s="480">
        <f t="shared" si="180"/>
        <v>0.16101451926095492</v>
      </c>
      <c r="BO261" s="479">
        <f t="shared" si="180"/>
        <v>0.16101451926095492</v>
      </c>
      <c r="BP261" s="480">
        <f t="shared" si="180"/>
        <v>0.15787992686341484</v>
      </c>
      <c r="BQ261" s="480">
        <f t="shared" si="180"/>
        <v>0.15455936226990999</v>
      </c>
      <c r="BR261" s="480">
        <f t="shared" si="180"/>
        <v>0.15135036819835324</v>
      </c>
      <c r="BS261" s="480">
        <f t="shared" si="180"/>
        <v>0.14680175195489117</v>
      </c>
      <c r="BT261" s="479">
        <f t="shared" si="180"/>
        <v>0.14680175195489117</v>
      </c>
      <c r="BU261" s="480">
        <f t="shared" si="180"/>
        <v>0.14378808907762128</v>
      </c>
      <c r="BV261" s="480">
        <f t="shared" si="180"/>
        <v>0.14053721793631069</v>
      </c>
      <c r="BW261" s="480">
        <f t="shared" si="180"/>
        <v>0.13754097627413975</v>
      </c>
      <c r="BX261" s="480">
        <f t="shared" si="180"/>
        <v>0.13317410607802541</v>
      </c>
      <c r="BY261" s="479">
        <f t="shared" si="180"/>
        <v>0.13317410607802541</v>
      </c>
      <c r="BZ261" s="480">
        <f t="shared" si="180"/>
        <v>0.12963724866404436</v>
      </c>
      <c r="CA261" s="480">
        <f t="shared" si="180"/>
        <v>0.12591689754867721</v>
      </c>
      <c r="CB261" s="480">
        <f t="shared" si="180"/>
        <v>0.12238263646357869</v>
      </c>
      <c r="CC261" s="480">
        <f t="shared" si="180"/>
        <v>0.11760704735793023</v>
      </c>
      <c r="CD261" s="479">
        <f t="shared" si="180"/>
        <v>0.11760704735793023</v>
      </c>
      <c r="CE261" s="478"/>
      <c r="CL261" s="370"/>
      <c r="CM261" s="370"/>
    </row>
    <row r="262" spans="1:91" ht="13.5" customHeight="1" outlineLevel="1">
      <c r="A262" s="481"/>
      <c r="B262" s="482" t="s">
        <v>247</v>
      </c>
      <c r="C262" s="480"/>
      <c r="D262" s="480"/>
      <c r="E262" s="480"/>
      <c r="F262" s="480"/>
      <c r="G262" s="483"/>
      <c r="H262" s="480"/>
      <c r="I262" s="480"/>
      <c r="J262" s="480"/>
      <c r="K262" s="480"/>
      <c r="L262" s="483"/>
      <c r="M262" s="480"/>
      <c r="N262" s="480"/>
      <c r="O262" s="480"/>
      <c r="P262" s="480"/>
      <c r="Q262" s="483"/>
      <c r="R262" s="480"/>
      <c r="S262" s="480"/>
      <c r="T262" s="480"/>
      <c r="U262" s="480"/>
      <c r="V262" s="483"/>
      <c r="W262" s="480"/>
      <c r="X262" s="480"/>
      <c r="Y262" s="480"/>
      <c r="Z262" s="480"/>
      <c r="AA262" s="483"/>
      <c r="AB262" s="480"/>
      <c r="AC262" s="480"/>
      <c r="AD262" s="480"/>
      <c r="AE262" s="480"/>
      <c r="AF262" s="483"/>
      <c r="AG262" s="480"/>
      <c r="AH262" s="480"/>
      <c r="AI262" s="480"/>
      <c r="AJ262" s="480"/>
      <c r="AK262" s="483"/>
      <c r="AL262" s="475"/>
      <c r="AM262" s="475"/>
      <c r="AN262" s="475"/>
      <c r="AO262" s="475"/>
      <c r="AP262" s="483">
        <f>AP260/AP88</f>
        <v>-0.32532467532467535</v>
      </c>
      <c r="AQ262" s="475"/>
      <c r="AR262" s="475"/>
      <c r="AS262" s="475"/>
      <c r="AT262" s="475"/>
      <c r="AU262" s="483">
        <f>AU260/AU88</f>
        <v>-0.60348583877995643</v>
      </c>
      <c r="AV262" s="475">
        <f>AV260/(AV88*4)</f>
        <v>-0.73382352941176465</v>
      </c>
      <c r="AW262" s="475">
        <f>AW260/(AW88*4)</f>
        <v>-1.1222627737226278</v>
      </c>
      <c r="AX262" s="475">
        <f>AX260/(AX88*4)</f>
        <v>-0.96509240246406569</v>
      </c>
      <c r="AY262" s="475">
        <f>AY260/(AY88*4)</f>
        <v>-0.60460069444444442</v>
      </c>
      <c r="AZ262" s="483">
        <f>AZ260/AZ88</f>
        <v>-0.62946226841391772</v>
      </c>
      <c r="BA262" s="475">
        <f>BA260/(BA88*4)</f>
        <v>-1.1095360824742269</v>
      </c>
      <c r="BB262" s="475">
        <f>BB260/(BB88*4)</f>
        <v>-0.92399267399267404</v>
      </c>
      <c r="BC262" s="475">
        <f>BC260/(BC88*4)</f>
        <v>-0.64453860640301319</v>
      </c>
      <c r="BD262" s="475">
        <f>BD260/(BD88*4)</f>
        <v>-0.61437403400309121</v>
      </c>
      <c r="BE262" s="483">
        <f>BE260/BE88</f>
        <v>-0.6519065190651907</v>
      </c>
      <c r="BF262" s="475">
        <f>BF260/(BF88*4)</f>
        <v>-0.47400611620795108</v>
      </c>
      <c r="BG262" s="475">
        <f>BG260/(BG88*4)</f>
        <v>-0.4941679626749611</v>
      </c>
      <c r="BH262" s="475">
        <f>BH260/(BH88*4)</f>
        <v>-0.94869706840390877</v>
      </c>
      <c r="BI262" s="475">
        <f>BI260/(BI88*4)</f>
        <v>-0.6293449197860963</v>
      </c>
      <c r="BJ262" s="483">
        <f>BJ260/BJ88</f>
        <v>-0.67539454806312771</v>
      </c>
      <c r="BK262" s="475">
        <f>BK260/(BK88*4)</f>
        <v>4.2725988700564974E-2</v>
      </c>
      <c r="BL262" s="475">
        <f>BL260/(BL88*4)</f>
        <v>-7.9078513853763299E-2</v>
      </c>
      <c r="BM262" s="475">
        <f>BM260/(BM88*4)</f>
        <v>-2.5157266369459124</v>
      </c>
      <c r="BN262" s="475">
        <f>BN260/(BN88*4)</f>
        <v>-2.1433675317264296</v>
      </c>
      <c r="BO262" s="483">
        <f>BO260/BO88</f>
        <v>-2.3888562109275675</v>
      </c>
      <c r="BP262" s="475">
        <f>BP260/(BP88*4)</f>
        <v>-2.173604011243667</v>
      </c>
      <c r="BQ262" s="475">
        <f>BQ260/(BQ88*4)</f>
        <v>-2.2381078708248316</v>
      </c>
      <c r="BR262" s="475">
        <f>BR260/(BR88*4)</f>
        <v>-2.4087233907760197</v>
      </c>
      <c r="BS262" s="475">
        <f>BS260/(BS88*4)</f>
        <v>-2.1588613089065811</v>
      </c>
      <c r="BT262" s="483">
        <f>BT260/BT88</f>
        <v>-2.5104879686129991</v>
      </c>
      <c r="BU262" s="475">
        <f>BU260/(BU88*4)</f>
        <v>-2.4878040464393356</v>
      </c>
      <c r="BV262" s="475">
        <f>BV260/(BV88*4)</f>
        <v>-2.5178053454976772</v>
      </c>
      <c r="BW262" s="475">
        <f>BW260/(BW88*4)</f>
        <v>-2.7332939925289086</v>
      </c>
      <c r="BX262" s="475">
        <f>BX260/(BX88*4)</f>
        <v>-2.3963251427514667</v>
      </c>
      <c r="BY262" s="483">
        <f>BY260/BY88</f>
        <v>-2.7949392567774498</v>
      </c>
      <c r="BZ262" s="475">
        <f>BZ260/(BZ88*4)</f>
        <v>-2.6625134396832704</v>
      </c>
      <c r="CA262" s="475">
        <f>CA260/(CA88*4)</f>
        <v>-2.6890621489957383</v>
      </c>
      <c r="CB262" s="475">
        <f>CB260/(CB88*4)</f>
        <v>-2.8605807550030686</v>
      </c>
      <c r="CC262" s="475">
        <f>CC260/(CC88*4)</f>
        <v>-2.5057554618877749</v>
      </c>
      <c r="CD262" s="483">
        <f>CD260/CD88</f>
        <v>-2.966648069129052</v>
      </c>
      <c r="CE262" s="481"/>
      <c r="CL262" s="370"/>
      <c r="CM262" s="370"/>
    </row>
    <row r="263" spans="1:91" ht="13.5" customHeight="1" outlineLevel="1">
      <c r="A263" s="481"/>
      <c r="B263" s="482" t="s">
        <v>248</v>
      </c>
      <c r="C263" s="480"/>
      <c r="D263" s="480"/>
      <c r="E263" s="480"/>
      <c r="F263" s="480"/>
      <c r="G263" s="483"/>
      <c r="H263" s="480"/>
      <c r="I263" s="480"/>
      <c r="J263" s="480"/>
      <c r="K263" s="480"/>
      <c r="L263" s="483"/>
      <c r="M263" s="480"/>
      <c r="N263" s="480"/>
      <c r="O263" s="480"/>
      <c r="P263" s="480"/>
      <c r="Q263" s="483"/>
      <c r="R263" s="480"/>
      <c r="S263" s="480"/>
      <c r="T263" s="480"/>
      <c r="U263" s="480"/>
      <c r="V263" s="483"/>
      <c r="W263" s="480"/>
      <c r="X263" s="480"/>
      <c r="Y263" s="480"/>
      <c r="Z263" s="480"/>
      <c r="AA263" s="483"/>
      <c r="AB263" s="480"/>
      <c r="AC263" s="480"/>
      <c r="AD263" s="480"/>
      <c r="AE263" s="480"/>
      <c r="AF263" s="483"/>
      <c r="AG263" s="480"/>
      <c r="AH263" s="480"/>
      <c r="AI263" s="480"/>
      <c r="AJ263" s="480"/>
      <c r="AK263" s="483"/>
      <c r="AL263" s="475"/>
      <c r="AM263" s="475"/>
      <c r="AN263" s="475"/>
      <c r="AO263" s="475"/>
      <c r="AP263" s="483">
        <f>AP259/AP88</f>
        <v>0.71623376623376622</v>
      </c>
      <c r="AQ263" s="475"/>
      <c r="AR263" s="475"/>
      <c r="AS263" s="475"/>
      <c r="AT263" s="475"/>
      <c r="AU263" s="483">
        <f>AU259/AU88</f>
        <v>0.59531590413943358</v>
      </c>
      <c r="AV263" s="475">
        <f>AV259/(AV88*4)</f>
        <v>0.42549019607843136</v>
      </c>
      <c r="AW263" s="475">
        <f>AW259/(AW88*4)</f>
        <v>4.6532846715328466E-2</v>
      </c>
      <c r="AX263" s="475">
        <f>AX259/(AX88*4)</f>
        <v>0</v>
      </c>
      <c r="AY263" s="475">
        <f>AY259/(AY88*4)</f>
        <v>0</v>
      </c>
      <c r="AZ263" s="483">
        <f>AZ259/AZ88</f>
        <v>0</v>
      </c>
      <c r="BA263" s="475">
        <f>BA259/(BA88*4)</f>
        <v>0</v>
      </c>
      <c r="BB263" s="475">
        <f>BB259/(BB88*4)</f>
        <v>0</v>
      </c>
      <c r="BC263" s="475">
        <f>BC259/(BC88*4)</f>
        <v>0</v>
      </c>
      <c r="BD263" s="475">
        <f>BD259/(BD88*4)</f>
        <v>0</v>
      </c>
      <c r="BE263" s="483">
        <f>BE259/BE88</f>
        <v>0</v>
      </c>
      <c r="BF263" s="475">
        <f>BF259/(BF88*4)</f>
        <v>0</v>
      </c>
      <c r="BG263" s="475">
        <f>BG259/(BG88*4)</f>
        <v>0</v>
      </c>
      <c r="BH263" s="475">
        <f>BH259/(BH88*4)</f>
        <v>0</v>
      </c>
      <c r="BI263" s="475">
        <f>BI259/(BI88*4)</f>
        <v>0.33422459893048129</v>
      </c>
      <c r="BJ263" s="483">
        <f>BJ259/BJ88</f>
        <v>0.3586800573888092</v>
      </c>
      <c r="BK263" s="475">
        <f>BK259/(BK88*4)</f>
        <v>1.0593220338983051</v>
      </c>
      <c r="BL263" s="475">
        <f>BL259/(BL88*4)</f>
        <v>1.0634705714891017</v>
      </c>
      <c r="BM263" s="475">
        <f>BM259/(BM88*4)</f>
        <v>1.1204140203475137</v>
      </c>
      <c r="BN263" s="475">
        <f>BN259/(BN88*4)</f>
        <v>0.90034196244102371</v>
      </c>
      <c r="BO263" s="483">
        <f>BO259/BO88</f>
        <v>1.00346182215588</v>
      </c>
      <c r="BP263" s="475">
        <f>BP259/(BP88*4)</f>
        <v>0.92934673342567842</v>
      </c>
      <c r="BQ263" s="475">
        <f>BQ259/(BQ88*4)</f>
        <v>0.88785717471979675</v>
      </c>
      <c r="BR263" s="475">
        <f>BR259/(BR88*4)</f>
        <v>0.89167580183634143</v>
      </c>
      <c r="BS263" s="475">
        <f>BS259/(BS88*4)</f>
        <v>0.71676843553281455</v>
      </c>
      <c r="BT263" s="483">
        <f>BT259/BT88</f>
        <v>0.83351279967033687</v>
      </c>
      <c r="BU263" s="475">
        <f>BU259/(BU88*4)</f>
        <v>0.78490809762639846</v>
      </c>
      <c r="BV263" s="475">
        <f>BV259/(BV88*4)</f>
        <v>0.74281949938927516</v>
      </c>
      <c r="BW263" s="475">
        <f>BW259/(BW88*4)</f>
        <v>0.76174479088901315</v>
      </c>
      <c r="BX263" s="475">
        <f>BX259/(BX88*4)</f>
        <v>0.60540759527481303</v>
      </c>
      <c r="BY263" s="483">
        <f>BY259/BY88</f>
        <v>0.70611346690706644</v>
      </c>
      <c r="BZ263" s="475">
        <f>BZ259/(BZ88*4)</f>
        <v>0.64120440090493935</v>
      </c>
      <c r="CA263" s="475">
        <f>CA259/(CA88*4)</f>
        <v>0.60457782294347784</v>
      </c>
      <c r="CB263" s="475">
        <f>CB259/(CB88*4)</f>
        <v>0.60486932764348889</v>
      </c>
      <c r="CC263" s="475">
        <f>CC259/(CC88*4)</f>
        <v>0.48082362201583351</v>
      </c>
      <c r="CD263" s="483">
        <f>CD259/CD88</f>
        <v>0.56926323878798168</v>
      </c>
      <c r="CE263" s="481"/>
      <c r="CL263" s="370"/>
      <c r="CM263" s="370"/>
    </row>
    <row r="264" spans="1:91" ht="13.5" customHeight="1" outlineLevel="1">
      <c r="A264" s="478"/>
      <c r="B264" s="474" t="s">
        <v>249</v>
      </c>
      <c r="C264" s="484"/>
      <c r="D264" s="484"/>
      <c r="E264" s="484"/>
      <c r="F264" s="484"/>
      <c r="G264" s="479"/>
      <c r="H264" s="484"/>
      <c r="I264" s="484"/>
      <c r="J264" s="484"/>
      <c r="K264" s="484"/>
      <c r="L264" s="479"/>
      <c r="M264" s="484"/>
      <c r="N264" s="484"/>
      <c r="O264" s="484"/>
      <c r="P264" s="484"/>
      <c r="Q264" s="479"/>
      <c r="R264" s="484"/>
      <c r="S264" s="484"/>
      <c r="T264" s="484"/>
      <c r="U264" s="484"/>
      <c r="V264" s="479"/>
      <c r="W264" s="484"/>
      <c r="X264" s="484"/>
      <c r="Y264" s="484"/>
      <c r="Z264" s="484"/>
      <c r="AA264" s="479"/>
      <c r="AB264" s="484"/>
      <c r="AC264" s="484"/>
      <c r="AD264" s="484"/>
      <c r="AE264" s="484"/>
      <c r="AF264" s="479"/>
      <c r="AG264" s="484"/>
      <c r="AH264" s="484"/>
      <c r="AI264" s="484"/>
      <c r="AJ264" s="484"/>
      <c r="AK264" s="479"/>
      <c r="AL264" s="480"/>
      <c r="AM264" s="480"/>
      <c r="AN264" s="480"/>
      <c r="AO264" s="480"/>
      <c r="AP264" s="479"/>
      <c r="AQ264" s="480"/>
      <c r="AR264" s="480"/>
      <c r="AS264" s="480"/>
      <c r="AT264" s="480"/>
      <c r="AU264" s="479">
        <f>AU137/AVERAGE(AP235,AU235)</f>
        <v>1.6457187745483111E-2</v>
      </c>
      <c r="AV264" s="480">
        <f>AV137*4/AVERAGE(AU235,AV235)</f>
        <v>3.8279666741724838E-2</v>
      </c>
      <c r="AW264" s="480">
        <f>AW137*4/AVERAGE(AV235,AW235)</f>
        <v>4.5728755492664037E-2</v>
      </c>
      <c r="AX264" s="480">
        <f>AX137*4/AVERAGE(AW235,AX235)</f>
        <v>4.393599357746273E-2</v>
      </c>
      <c r="AY264" s="480">
        <f>AY137*4/AVERAGE(AX235,AY235)</f>
        <v>5.086566743575744E-2</v>
      </c>
      <c r="AZ264" s="479">
        <f>AZ137/AVERAGE(AU235,AZ235)</f>
        <v>4.3809592603293847E-2</v>
      </c>
      <c r="BA264" s="480">
        <f>BA137*4/AVERAGE(AZ235,BA235)</f>
        <v>5.0179088618875427E-2</v>
      </c>
      <c r="BB264" s="480">
        <f>BB137*4/AVERAGE(BA235,BB235)</f>
        <v>4.2994292940217303E-2</v>
      </c>
      <c r="BC264" s="480">
        <f>BC137*4/AVERAGE(BB235,BC235)</f>
        <v>4.1686160001290593E-2</v>
      </c>
      <c r="BD264" s="480">
        <f>BD137*4/AVERAGE(BC235,BD235)</f>
        <v>4.8402860733179232E-2</v>
      </c>
      <c r="BE264" s="479">
        <f>BE137/AVERAGE(AZ235,BE235)</f>
        <v>4.5237480640165202E-2</v>
      </c>
      <c r="BF264" s="480">
        <f>BF137*4/AVERAGE(BE235,BF235)</f>
        <v>4.6128896630428254E-2</v>
      </c>
      <c r="BG264" s="480">
        <f>BG137*4/AVERAGE(BF235,BG235)</f>
        <v>4.7802509340970877E-2</v>
      </c>
      <c r="BH264" s="480">
        <f>BH137*4/AVERAGE(BG235,BH235)</f>
        <v>4.1614762289359487E-2</v>
      </c>
      <c r="BI264" s="480">
        <f>BI137*4/AVERAGE(BH235,BI235)</f>
        <v>6.3156554402495707E-2</v>
      </c>
      <c r="BJ264" s="479">
        <f>BJ137/AVERAGE(BE235,BJ235)</f>
        <v>4.859428509549657E-2</v>
      </c>
      <c r="BK264" s="480">
        <f>BK137*4/AVERAGE(BJ235,BK235)</f>
        <v>4.9196110522768843E-2</v>
      </c>
      <c r="BL264" s="480">
        <f>BL137*4/AVERAGE(BK235,BL235)</f>
        <v>4.2407745972773796E-2</v>
      </c>
      <c r="BM264" s="480">
        <f>BM137*4/AVERAGE(BL235,BM235)</f>
        <v>3.9319241674117343E-2</v>
      </c>
      <c r="BN264" s="480">
        <f>BN137*4/AVERAGE(BM235,BN235)</f>
        <v>5.0779597590201495E-2</v>
      </c>
      <c r="BO264" s="479">
        <f>BO137/AVERAGE(BJ235,BO235)</f>
        <v>4.5828410114363505E-2</v>
      </c>
      <c r="BP264" s="480">
        <f>BP137*4/AVERAGE(BO235,BP235)</f>
        <v>4.8177039300733096E-2</v>
      </c>
      <c r="BQ264" s="480">
        <f>BQ137*4/AVERAGE(BP235,BQ235)</f>
        <v>5.0627744032624419E-2</v>
      </c>
      <c r="BR264" s="480">
        <f>BR137*4/AVERAGE(BQ235,BR235)</f>
        <v>4.9722017246616929E-2</v>
      </c>
      <c r="BS264" s="480">
        <f>BS137*4/AVERAGE(BR235,BS235)</f>
        <v>6.3298249819452285E-2</v>
      </c>
      <c r="BT264" s="479">
        <f>BT137/AVERAGE(BO235,BT235)</f>
        <v>5.2533761833158096E-2</v>
      </c>
      <c r="BU264" s="480">
        <f>BU137*4/AVERAGE(BT235,BU235)</f>
        <v>5.5796026627968918E-2</v>
      </c>
      <c r="BV264" s="480">
        <f>BV137*4/AVERAGE(BU235,BV235)</f>
        <v>5.8884829742528066E-2</v>
      </c>
      <c r="BW264" s="480">
        <f>BW137*4/AVERAGE(BV235,BW235)</f>
        <v>5.640496376057224E-2</v>
      </c>
      <c r="BX264" s="480">
        <f>BX137*4/AVERAGE(BW235,BX235)</f>
        <v>7.2375339623133431E-2</v>
      </c>
      <c r="BY264" s="479">
        <f>BY137/AVERAGE(BT235,BY235)</f>
        <v>6.0582787924997931E-2</v>
      </c>
      <c r="BZ264" s="480">
        <f>BZ137*4/AVERAGE(BY235,BZ235)</f>
        <v>6.6345793927175392E-2</v>
      </c>
      <c r="CA264" s="480">
        <f>CA137*4/AVERAGE(BZ235,CA235)</f>
        <v>7.0003088738466876E-2</v>
      </c>
      <c r="CB264" s="480">
        <f>CB137*4/AVERAGE(CA235,CB235)</f>
        <v>6.8789488006853028E-2</v>
      </c>
      <c r="CC264" s="480">
        <f>CC137*4/AVERAGE(CB235,CC235)</f>
        <v>8.7260398155461827E-2</v>
      </c>
      <c r="CD264" s="479">
        <f>CD137/AVERAGE(BY235,CD235)</f>
        <v>7.2715218311461521E-2</v>
      </c>
      <c r="CE264" s="478"/>
      <c r="CL264" s="408"/>
      <c r="CM264" s="408"/>
    </row>
    <row r="265" spans="1:91" ht="13.5" customHeight="1" outlineLevel="1">
      <c r="A265" s="478"/>
      <c r="B265" s="474" t="s">
        <v>250</v>
      </c>
      <c r="C265" s="485"/>
      <c r="D265" s="485"/>
      <c r="E265" s="485"/>
      <c r="F265" s="485"/>
      <c r="G265" s="479"/>
      <c r="H265" s="485"/>
      <c r="I265" s="485"/>
      <c r="J265" s="485"/>
      <c r="K265" s="485"/>
      <c r="L265" s="479"/>
      <c r="M265" s="485"/>
      <c r="N265" s="485"/>
      <c r="O265" s="485"/>
      <c r="P265" s="485"/>
      <c r="Q265" s="479"/>
      <c r="R265" s="485"/>
      <c r="S265" s="485"/>
      <c r="T265" s="485"/>
      <c r="U265" s="485"/>
      <c r="V265" s="479"/>
      <c r="W265" s="485"/>
      <c r="X265" s="485"/>
      <c r="Y265" s="485"/>
      <c r="Z265" s="485"/>
      <c r="AA265" s="479"/>
      <c r="AB265" s="485"/>
      <c r="AC265" s="485"/>
      <c r="AD265" s="485"/>
      <c r="AE265" s="485"/>
      <c r="AF265" s="479"/>
      <c r="AG265" s="485"/>
      <c r="AH265" s="485"/>
      <c r="AI265" s="485"/>
      <c r="AJ265" s="485"/>
      <c r="AK265" s="479"/>
      <c r="AL265" s="480"/>
      <c r="AM265" s="480"/>
      <c r="AN265" s="480"/>
      <c r="AO265" s="480"/>
      <c r="AP265" s="479"/>
      <c r="AQ265" s="480"/>
      <c r="AR265" s="480"/>
      <c r="AS265" s="480"/>
      <c r="AT265" s="480"/>
      <c r="AU265" s="479">
        <f>AU137/AVERAGE(AP254,AU254)</f>
        <v>3.2887249323024996E-2</v>
      </c>
      <c r="AV265" s="480">
        <f>AV137*4/AVERAGE(AU254,AV254)</f>
        <v>7.9426880548201212E-2</v>
      </c>
      <c r="AW265" s="480">
        <f>AW137*4/AVERAGE(AV254,AW254)</f>
        <v>9.5944995702789276E-2</v>
      </c>
      <c r="AX265" s="480">
        <f>AX137*4/AVERAGE(AW254,AX254)</f>
        <v>9.2779533019958393E-2</v>
      </c>
      <c r="AY265" s="480">
        <f>AY137*4/AVERAGE(AX254,AY254)</f>
        <v>0.10707003299595892</v>
      </c>
      <c r="AZ265" s="479">
        <f>AZ137/AVERAGE(AU254,AZ254)</f>
        <v>9.1254466804589054E-2</v>
      </c>
      <c r="BA265" s="480">
        <f>BA137*4/AVERAGE(AZ254,BA254)</f>
        <v>0.10702927952626384</v>
      </c>
      <c r="BB265" s="480">
        <f>BB137*4/AVERAGE(BA254,BB254)</f>
        <v>9.4254969906985231E-2</v>
      </c>
      <c r="BC265" s="480">
        <f>BC137*4/AVERAGE(BB254,BC254)</f>
        <v>9.2256060551965446E-2</v>
      </c>
      <c r="BD265" s="480">
        <f>BD137*4/AVERAGE(BC254,BD254)</f>
        <v>0.10794353722668143</v>
      </c>
      <c r="BE265" s="479">
        <f>BE137/AVERAGE(AZ254,BE254)</f>
        <v>9.8486178918899936E-2</v>
      </c>
      <c r="BF265" s="480">
        <f>BF137*4/AVERAGE(BE254,BF254)</f>
        <v>0.10471061422046493</v>
      </c>
      <c r="BG265" s="480">
        <f>BG137*4/AVERAGE(BF254,BG254)</f>
        <v>0.11099108830677828</v>
      </c>
      <c r="BH265" s="480">
        <f>BH137*4/AVERAGE(BG254,BH254)</f>
        <v>9.9901413079198156E-2</v>
      </c>
      <c r="BI265" s="480">
        <f>BI137*4/AVERAGE(BH254,BI254)</f>
        <v>0.1578310952714313</v>
      </c>
      <c r="BJ265" s="479">
        <f>BJ137/AVERAGE(BE254,BJ254)</f>
        <v>0.1169152608610695</v>
      </c>
      <c r="BK265" s="480">
        <f>BK137*4/AVERAGE(BJ254,BK254)</f>
        <v>0.13344214134160273</v>
      </c>
      <c r="BL265" s="480">
        <f>BL137*4/AVERAGE(BK254,BL254)</f>
        <v>0.12214166751807558</v>
      </c>
      <c r="BM265" s="480">
        <f>BM137*4/AVERAGE(BL254,BM254)</f>
        <v>0.1120312147669188</v>
      </c>
      <c r="BN265" s="480">
        <f>BN137*4/AVERAGE(BM254,BN254)</f>
        <v>0.1427544512716428</v>
      </c>
      <c r="BO265" s="479">
        <f>BO137/AVERAGE(BJ254,BO254)</f>
        <v>0.12237414437470259</v>
      </c>
      <c r="BP265" s="480">
        <f>BP137*4/AVERAGE(BO254,BP254)</f>
        <v>0.13276235528089295</v>
      </c>
      <c r="BQ265" s="480">
        <f>BQ137*4/AVERAGE(BP254,BQ254)</f>
        <v>0.13663593111360947</v>
      </c>
      <c r="BR265" s="480">
        <f>BR137*4/AVERAGE(BQ254,BR254)</f>
        <v>0.13229205504590269</v>
      </c>
      <c r="BS265" s="480">
        <f>BS137*4/AVERAGE(BR254,BS254)</f>
        <v>0.16592018678522943</v>
      </c>
      <c r="BT265" s="479">
        <f>BT137/AVERAGE(BO254,BT254)</f>
        <v>0.14144230688360074</v>
      </c>
      <c r="BU265" s="480">
        <f>BU137*4/AVERAGE(BT254,BU254)</f>
        <v>0.14386170066607407</v>
      </c>
      <c r="BV265" s="480">
        <f>BV137*4/AVERAGE(BU254,BV254)</f>
        <v>0.14943023103197173</v>
      </c>
      <c r="BW265" s="480">
        <f>BW137*4/AVERAGE(BV254,BW254)</f>
        <v>0.14109770417140585</v>
      </c>
      <c r="BX265" s="480">
        <f>BX137*4/AVERAGE(BW254,BX254)</f>
        <v>0.17841963233156583</v>
      </c>
      <c r="BY265" s="479">
        <f>BY137/AVERAGE(BT254,BY254)</f>
        <v>0.15267157378656321</v>
      </c>
      <c r="BZ265" s="480">
        <f>BZ137*4/AVERAGE(BY254,BZ254)</f>
        <v>0.16062303340907305</v>
      </c>
      <c r="CA265" s="480">
        <f>CA137*4/AVERAGE(BZ254,CA254)</f>
        <v>0.16623296431673701</v>
      </c>
      <c r="CB265" s="480">
        <f>CB137*4/AVERAGE(CA254,CB254)</f>
        <v>0.16053379945599416</v>
      </c>
      <c r="CC265" s="480">
        <f>CC137*4/AVERAGE(CB254,CC254)</f>
        <v>0.20010388816545691</v>
      </c>
      <c r="CD265" s="479">
        <f>CD137/AVERAGE(BY254,CD254)</f>
        <v>0.17120859417797055</v>
      </c>
      <c r="CE265" s="478"/>
      <c r="CL265" s="408"/>
      <c r="CM265" s="408"/>
    </row>
    <row r="266" spans="1:91" ht="13.5" customHeight="1" outlineLevel="1">
      <c r="A266" s="113"/>
      <c r="B266" s="486"/>
      <c r="C266" s="485"/>
      <c r="D266" s="485"/>
      <c r="E266" s="485"/>
      <c r="F266" s="485"/>
      <c r="G266" s="487"/>
      <c r="H266" s="485"/>
      <c r="I266" s="485"/>
      <c r="J266" s="485"/>
      <c r="K266" s="485"/>
      <c r="L266" s="487"/>
      <c r="M266" s="485"/>
      <c r="N266" s="485"/>
      <c r="O266" s="485"/>
      <c r="P266" s="485"/>
      <c r="Q266" s="487"/>
      <c r="R266" s="485"/>
      <c r="S266" s="485"/>
      <c r="T266" s="485"/>
      <c r="U266" s="485"/>
      <c r="V266" s="487"/>
      <c r="W266" s="485"/>
      <c r="X266" s="485"/>
      <c r="Y266" s="485"/>
      <c r="Z266" s="485"/>
      <c r="AA266" s="487"/>
      <c r="AB266" s="485"/>
      <c r="AC266" s="485"/>
      <c r="AD266" s="485"/>
      <c r="AE266" s="485"/>
      <c r="AF266" s="487"/>
      <c r="AG266" s="485"/>
      <c r="AH266" s="485"/>
      <c r="AI266" s="485"/>
      <c r="AJ266" s="485"/>
      <c r="AK266" s="487"/>
      <c r="AL266" s="484"/>
      <c r="AM266" s="484"/>
      <c r="AN266" s="484"/>
      <c r="AO266" s="484"/>
      <c r="AP266" s="487"/>
      <c r="AQ266" s="488"/>
      <c r="AR266" s="488"/>
      <c r="AS266" s="488"/>
      <c r="AT266" s="488"/>
      <c r="AU266" s="487"/>
      <c r="AV266" s="488"/>
      <c r="AW266" s="488"/>
      <c r="AX266" s="488"/>
      <c r="AY266" s="488"/>
      <c r="AZ266" s="487"/>
      <c r="BA266" s="488"/>
      <c r="BB266" s="488"/>
      <c r="BC266" s="488"/>
      <c r="BD266" s="488"/>
      <c r="BE266" s="487"/>
      <c r="BF266" s="488"/>
      <c r="BG266" s="488"/>
      <c r="BH266" s="488"/>
      <c r="BI266" s="488"/>
      <c r="BJ266" s="487"/>
      <c r="BK266" s="488"/>
      <c r="BL266" s="488"/>
      <c r="BM266" s="488"/>
      <c r="BN266" s="488"/>
      <c r="BO266" s="487"/>
      <c r="BP266" s="488"/>
      <c r="BQ266" s="488"/>
      <c r="BR266" s="488"/>
      <c r="BS266" s="488"/>
      <c r="BT266" s="487"/>
      <c r="BU266" s="488"/>
      <c r="BV266" s="488"/>
      <c r="BW266" s="488"/>
      <c r="BX266" s="488"/>
      <c r="BY266" s="487"/>
      <c r="BZ266" s="488"/>
      <c r="CA266" s="488"/>
      <c r="CB266" s="488"/>
      <c r="CC266" s="488"/>
      <c r="CD266" s="487"/>
      <c r="CE266" s="113"/>
    </row>
    <row r="267" spans="1:91" ht="13.5" customHeight="1" outlineLevel="1">
      <c r="A267" s="438"/>
      <c r="B267" s="489" t="s">
        <v>251</v>
      </c>
      <c r="C267" s="490"/>
      <c r="D267" s="490"/>
      <c r="E267" s="490"/>
      <c r="F267" s="490"/>
      <c r="G267" s="368"/>
      <c r="H267" s="490"/>
      <c r="I267" s="490"/>
      <c r="J267" s="490"/>
      <c r="K267" s="490"/>
      <c r="L267" s="368"/>
      <c r="M267" s="490"/>
      <c r="N267" s="490"/>
      <c r="O267" s="490"/>
      <c r="P267" s="490"/>
      <c r="Q267" s="368"/>
      <c r="R267" s="490"/>
      <c r="S267" s="490"/>
      <c r="T267" s="490"/>
      <c r="U267" s="490"/>
      <c r="V267" s="368"/>
      <c r="W267" s="490"/>
      <c r="X267" s="490"/>
      <c r="Y267" s="490"/>
      <c r="Z267" s="490"/>
      <c r="AA267" s="368"/>
      <c r="AB267" s="490"/>
      <c r="AC267" s="490"/>
      <c r="AD267" s="490"/>
      <c r="AE267" s="490"/>
      <c r="AF267" s="368"/>
      <c r="AG267" s="490"/>
      <c r="AH267" s="490"/>
      <c r="AI267" s="490"/>
      <c r="AJ267" s="490"/>
      <c r="AK267" s="368"/>
      <c r="AL267" s="137"/>
      <c r="AM267" s="137"/>
      <c r="AN267" s="137"/>
      <c r="AO267" s="137"/>
      <c r="AP267" s="368">
        <f>+AP222/AP14*360</f>
        <v>2.7828155195480897</v>
      </c>
      <c r="AQ267" s="137"/>
      <c r="AR267" s="137"/>
      <c r="AS267" s="137"/>
      <c r="AT267" s="437"/>
      <c r="AU267" s="368">
        <f>+AU222/AU14*360</f>
        <v>2.9206190713929105</v>
      </c>
      <c r="AV267" s="137">
        <f>+AV222/AV14*90</f>
        <v>2.2352389878163077</v>
      </c>
      <c r="AW267" s="137">
        <f>+AW222/AW14*90</f>
        <v>3.179241168774531</v>
      </c>
      <c r="AX267" s="137">
        <f>+AX222/AX14*90</f>
        <v>6.8954827280779449</v>
      </c>
      <c r="AY267" s="137">
        <f>+AY222/AY14*90</f>
        <v>4.823943661971831</v>
      </c>
      <c r="AZ267" s="368">
        <f>+AZ222/AZ14*360</f>
        <v>5.3330449826989614</v>
      </c>
      <c r="BA267" s="137">
        <f>+BA222/BA14*90</f>
        <v>5.625</v>
      </c>
      <c r="BB267" s="137">
        <f>+BB222/BB14*90</f>
        <v>5.6716981132075475</v>
      </c>
      <c r="BC267" s="137">
        <f>+BC222/BC14*90</f>
        <v>6.3104611923509566</v>
      </c>
      <c r="BD267" s="137">
        <f>+BD222/BD14*90</f>
        <v>6.460919154646092</v>
      </c>
      <c r="BE267" s="368">
        <f>+BE222/BE14*360</f>
        <v>7.1057000553403427</v>
      </c>
      <c r="BF267" s="137">
        <f>+BF222/BF14*90</f>
        <v>5.3848739495798315</v>
      </c>
      <c r="BG267" s="137">
        <f t="shared" ref="BG267:BI267" si="182">+BG222/BG14*90</f>
        <v>5.0510204081632653</v>
      </c>
      <c r="BH267" s="137">
        <f t="shared" si="182"/>
        <v>8.3636924976844718</v>
      </c>
      <c r="BI267" s="137">
        <f t="shared" si="182"/>
        <v>6.8744939271255063</v>
      </c>
      <c r="BJ267" s="368">
        <f>+BJ222/BJ14*360</f>
        <v>7.8039065492148598</v>
      </c>
      <c r="BK267" s="137">
        <f>+BK222/BK14*90</f>
        <v>6.301221166892808</v>
      </c>
      <c r="BL267" s="437">
        <f t="shared" ref="BL267:BN267" si="183">+BK267</f>
        <v>6.301221166892808</v>
      </c>
      <c r="BM267" s="437">
        <f t="shared" si="183"/>
        <v>6.301221166892808</v>
      </c>
      <c r="BN267" s="437">
        <f t="shared" si="183"/>
        <v>6.301221166892808</v>
      </c>
      <c r="BO267" s="368">
        <f>+BO222/BO14*360</f>
        <v>6.9379906216460761</v>
      </c>
      <c r="BP267" s="437">
        <v>7</v>
      </c>
      <c r="BQ267" s="437">
        <f t="shared" ref="BQ267:BS268" si="184">+BP267</f>
        <v>7</v>
      </c>
      <c r="BR267" s="437">
        <f t="shared" si="184"/>
        <v>7</v>
      </c>
      <c r="BS267" s="437">
        <f t="shared" si="184"/>
        <v>7</v>
      </c>
      <c r="BT267" s="368">
        <f>+BT222/BT14*360</f>
        <v>7.9816526148016189</v>
      </c>
      <c r="BU267" s="437">
        <v>6</v>
      </c>
      <c r="BV267" s="437">
        <f t="shared" ref="BV267:BX268" si="185">+BU267</f>
        <v>6</v>
      </c>
      <c r="BW267" s="437">
        <f t="shared" si="185"/>
        <v>6</v>
      </c>
      <c r="BX267" s="437">
        <f t="shared" si="185"/>
        <v>6</v>
      </c>
      <c r="BY267" s="368">
        <f>+BY222/BY14*360</f>
        <v>6.8085717005091571</v>
      </c>
      <c r="BZ267" s="437">
        <v>6</v>
      </c>
      <c r="CA267" s="437">
        <f t="shared" ref="CA267:CC268" si="186">+BZ267</f>
        <v>6</v>
      </c>
      <c r="CB267" s="437">
        <f t="shared" si="186"/>
        <v>6</v>
      </c>
      <c r="CC267" s="437">
        <f t="shared" si="186"/>
        <v>6</v>
      </c>
      <c r="CD267" s="368">
        <f>+CD222/CD14*360</f>
        <v>6.8403367243173943</v>
      </c>
      <c r="CE267" s="438"/>
    </row>
    <row r="268" spans="1:91" ht="13.5" customHeight="1" outlineLevel="1">
      <c r="A268" s="438"/>
      <c r="B268" s="489" t="s">
        <v>252</v>
      </c>
      <c r="C268" s="491"/>
      <c r="D268" s="491"/>
      <c r="E268" s="491"/>
      <c r="F268" s="492"/>
      <c r="G268" s="368"/>
      <c r="H268" s="491"/>
      <c r="I268" s="491"/>
      <c r="J268" s="491"/>
      <c r="K268" s="492"/>
      <c r="L268" s="368"/>
      <c r="M268" s="491"/>
      <c r="N268" s="491"/>
      <c r="O268" s="491"/>
      <c r="P268" s="492"/>
      <c r="Q268" s="368"/>
      <c r="R268" s="491"/>
      <c r="S268" s="491"/>
      <c r="T268" s="491"/>
      <c r="U268" s="492"/>
      <c r="V268" s="368"/>
      <c r="W268" s="491"/>
      <c r="X268" s="491"/>
      <c r="Y268" s="491"/>
      <c r="Z268" s="492"/>
      <c r="AA268" s="368"/>
      <c r="AB268" s="491"/>
      <c r="AC268" s="491"/>
      <c r="AD268" s="491"/>
      <c r="AE268" s="492"/>
      <c r="AF268" s="368"/>
      <c r="AG268" s="491"/>
      <c r="AH268" s="491"/>
      <c r="AI268" s="491"/>
      <c r="AJ268" s="492"/>
      <c r="AK268" s="368"/>
      <c r="AL268" s="137"/>
      <c r="AM268" s="137"/>
      <c r="AN268" s="137"/>
      <c r="AO268" s="137"/>
      <c r="AP268" s="368">
        <f>+AP238/AP14*360</f>
        <v>3.9066448639809725</v>
      </c>
      <c r="AQ268" s="137"/>
      <c r="AR268" s="137"/>
      <c r="AS268" s="137"/>
      <c r="AT268" s="437"/>
      <c r="AU268" s="368">
        <f>+AU238/AU14*360</f>
        <v>5.1672491263105345</v>
      </c>
      <c r="AV268" s="137">
        <f>+AV238/AV14*90</f>
        <v>5.2717900656044989</v>
      </c>
      <c r="AW268" s="137">
        <f>+AW238/AW14*90</f>
        <v>7.3789795028347154</v>
      </c>
      <c r="AX268" s="137">
        <f>+AX238/AX14*90</f>
        <v>4.5438441098317099</v>
      </c>
      <c r="AY268" s="137">
        <f>+AY238/AY14*90</f>
        <v>5.105633802816901</v>
      </c>
      <c r="AZ268" s="368">
        <f>+AZ238/AZ14*360</f>
        <v>5.6444636678200695</v>
      </c>
      <c r="BA268" s="137">
        <f>+BA238/BA14*90</f>
        <v>5.5896226415094343</v>
      </c>
      <c r="BB268" s="137">
        <f>+BB238/BB14*90</f>
        <v>5.7396226415094338</v>
      </c>
      <c r="BC268" s="137">
        <f>+BC238/BC14*90</f>
        <v>5.8717660292463441</v>
      </c>
      <c r="BD268" s="137">
        <f>+BD238/BD14*90</f>
        <v>5.7967125125796706</v>
      </c>
      <c r="BE268" s="368">
        <f>+BE238/BE14*360</f>
        <v>6.3752075262866628</v>
      </c>
      <c r="BF268" s="137">
        <f>+BF238/BF14*90</f>
        <v>4.9613445378151262</v>
      </c>
      <c r="BG268" s="137">
        <f t="shared" ref="BG268:BI268" si="187">+BG238/BG14*90</f>
        <v>4.9075255102040813</v>
      </c>
      <c r="BH268" s="137">
        <f t="shared" si="187"/>
        <v>27.06390861376968</v>
      </c>
      <c r="BI268" s="137">
        <f t="shared" si="187"/>
        <v>6.2429149797570851</v>
      </c>
      <c r="BJ268" s="368">
        <f>+BJ238/BJ14*360</f>
        <v>7.0869398697816921</v>
      </c>
      <c r="BK268" s="137">
        <f>+BK238/BK14*90</f>
        <v>4.567164179104477</v>
      </c>
      <c r="BL268" s="437">
        <v>9</v>
      </c>
      <c r="BM268" s="437">
        <v>8</v>
      </c>
      <c r="BN268" s="437">
        <v>6</v>
      </c>
      <c r="BO268" s="368">
        <f>+BO238/BO14*360</f>
        <v>6.6063295712573105</v>
      </c>
      <c r="BP268" s="437">
        <v>3</v>
      </c>
      <c r="BQ268" s="437">
        <f t="shared" si="184"/>
        <v>3</v>
      </c>
      <c r="BR268" s="437">
        <f t="shared" si="184"/>
        <v>3</v>
      </c>
      <c r="BS268" s="437">
        <f t="shared" si="184"/>
        <v>3</v>
      </c>
      <c r="BT268" s="368">
        <f>+BT238/BT14*360</f>
        <v>3.4207082634864086</v>
      </c>
      <c r="BU268" s="437">
        <v>3</v>
      </c>
      <c r="BV268" s="437">
        <f t="shared" si="185"/>
        <v>3</v>
      </c>
      <c r="BW268" s="437">
        <f t="shared" si="185"/>
        <v>3</v>
      </c>
      <c r="BX268" s="437">
        <f t="shared" si="185"/>
        <v>3</v>
      </c>
      <c r="BY268" s="368">
        <f>+BY238/BY14*360</f>
        <v>3.4042858502545785</v>
      </c>
      <c r="BZ268" s="437">
        <v>3</v>
      </c>
      <c r="CA268" s="437">
        <f t="shared" si="186"/>
        <v>3</v>
      </c>
      <c r="CB268" s="437">
        <f t="shared" si="186"/>
        <v>3</v>
      </c>
      <c r="CC268" s="437">
        <f t="shared" si="186"/>
        <v>3</v>
      </c>
      <c r="CD268" s="368">
        <f>+CD238/CD14*360</f>
        <v>3.4201683621586971</v>
      </c>
      <c r="CE268" s="438"/>
    </row>
    <row r="269" spans="1:91" ht="13.5" customHeight="1" outlineLevel="1">
      <c r="A269" s="478"/>
      <c r="B269" s="489" t="s">
        <v>253</v>
      </c>
      <c r="C269" s="491"/>
      <c r="D269" s="491"/>
      <c r="E269" s="491"/>
      <c r="F269" s="493"/>
      <c r="G269" s="479"/>
      <c r="H269" s="491"/>
      <c r="I269" s="491"/>
      <c r="J269" s="491"/>
      <c r="K269" s="493"/>
      <c r="L269" s="479"/>
      <c r="M269" s="491"/>
      <c r="N269" s="491"/>
      <c r="O269" s="491"/>
      <c r="P269" s="493"/>
      <c r="Q269" s="479"/>
      <c r="R269" s="491"/>
      <c r="S269" s="491"/>
      <c r="T269" s="491"/>
      <c r="U269" s="493"/>
      <c r="V269" s="479"/>
      <c r="W269" s="491"/>
      <c r="X269" s="491"/>
      <c r="Y269" s="491"/>
      <c r="Z269" s="493"/>
      <c r="AA269" s="479"/>
      <c r="AB269" s="491"/>
      <c r="AC269" s="491"/>
      <c r="AD269" s="491"/>
      <c r="AE269" s="493"/>
      <c r="AF269" s="479"/>
      <c r="AG269" s="491"/>
      <c r="AH269" s="491"/>
      <c r="AI269" s="491"/>
      <c r="AJ269" s="493"/>
      <c r="AK269" s="479">
        <f>-AK180/AK14</f>
        <v>9.0250794772165313E-2</v>
      </c>
      <c r="AL269" s="490"/>
      <c r="AM269" s="490"/>
      <c r="AN269" s="490"/>
      <c r="AO269" s="490"/>
      <c r="AP269" s="479">
        <f>-AP180/AP14</f>
        <v>5.8123977999108074E-2</v>
      </c>
      <c r="AQ269" s="490"/>
      <c r="AR269" s="490"/>
      <c r="AS269" s="490"/>
      <c r="AT269" s="494"/>
      <c r="AU269" s="479">
        <f t="shared" ref="AU269:BF269" si="188">-AU180/AU14</f>
        <v>6.1407888167748378E-2</v>
      </c>
      <c r="AV269" s="490">
        <f t="shared" si="188"/>
        <v>9.0909090909090912E-2</v>
      </c>
      <c r="AW269" s="490">
        <f t="shared" si="188"/>
        <v>9.5944177932839075E-2</v>
      </c>
      <c r="AX269" s="490">
        <f t="shared" si="188"/>
        <v>5.2258635961027457E-2</v>
      </c>
      <c r="AY269" s="490">
        <f>-AY180/AY14</f>
        <v>6.416275430359937E-2</v>
      </c>
      <c r="AZ269" s="479">
        <f t="shared" si="188"/>
        <v>7.5259515570934257E-2</v>
      </c>
      <c r="BA269" s="490">
        <f t="shared" si="188"/>
        <v>5.227987421383648E-2</v>
      </c>
      <c r="BB269" s="490">
        <f t="shared" si="188"/>
        <v>7.5849056603773585E-2</v>
      </c>
      <c r="BC269" s="490">
        <f t="shared" si="188"/>
        <v>6.8616422947131606E-2</v>
      </c>
      <c r="BD269" s="490">
        <f t="shared" si="188"/>
        <v>5.0989600805098963E-2</v>
      </c>
      <c r="BE269" s="479">
        <f t="shared" si="188"/>
        <v>6.1704482567791923E-2</v>
      </c>
      <c r="BF269" s="490">
        <f t="shared" si="188"/>
        <v>4.9747899159663864E-2</v>
      </c>
      <c r="BG269" s="490">
        <f t="shared" ref="BG269:BI269" si="189">-BG180/BG14</f>
        <v>5.548469387755102E-2</v>
      </c>
      <c r="BH269" s="490">
        <f t="shared" si="189"/>
        <v>5.0941648656992897E-2</v>
      </c>
      <c r="BI269" s="490">
        <f t="shared" si="189"/>
        <v>4.8582995951417005E-2</v>
      </c>
      <c r="BJ269" s="479">
        <f>-BJ180/BJ14</f>
        <v>5.109153581003447E-2</v>
      </c>
      <c r="BK269" s="490">
        <f t="shared" ref="BK269" si="190">-BK180/BK14</f>
        <v>4.8303934871099047E-2</v>
      </c>
      <c r="BL269" s="494">
        <v>5.7500000000000002E-2</v>
      </c>
      <c r="BM269" s="494">
        <v>5.7500000000000002E-2</v>
      </c>
      <c r="BN269" s="494">
        <v>5.7500000000000002E-2</v>
      </c>
      <c r="BO269" s="479">
        <f>-BO180/BO14</f>
        <v>5.5300827807336993E-2</v>
      </c>
      <c r="BP269" s="494">
        <v>5.5E-2</v>
      </c>
      <c r="BQ269" s="494">
        <v>5.5E-2</v>
      </c>
      <c r="BR269" s="494">
        <v>5.5E-2</v>
      </c>
      <c r="BS269" s="494">
        <v>5.5E-2</v>
      </c>
      <c r="BT269" s="479">
        <f>-BT180/BT14</f>
        <v>5.4999999999999993E-2</v>
      </c>
      <c r="BU269" s="494">
        <v>5.2499999999999998E-2</v>
      </c>
      <c r="BV269" s="494">
        <v>5.2499999999999998E-2</v>
      </c>
      <c r="BW269" s="494">
        <v>5.2499999999999998E-2</v>
      </c>
      <c r="BX269" s="494">
        <v>5.2499999999999998E-2</v>
      </c>
      <c r="BY269" s="479">
        <f>-BY180/BY14</f>
        <v>5.2499999999999998E-2</v>
      </c>
      <c r="BZ269" s="494">
        <v>5.2499999999999998E-2</v>
      </c>
      <c r="CA269" s="494">
        <v>5.2499999999999998E-2</v>
      </c>
      <c r="CB269" s="494">
        <v>5.2499999999999998E-2</v>
      </c>
      <c r="CC269" s="494">
        <v>5.2499999999999998E-2</v>
      </c>
      <c r="CD269" s="479">
        <f>-CD180/CD14</f>
        <v>5.2499999999999991E-2</v>
      </c>
      <c r="CE269" s="495"/>
    </row>
    <row r="270" spans="1:91" ht="13.5" customHeight="1" outlineLevel="1">
      <c r="A270" s="478"/>
      <c r="B270" s="489" t="s">
        <v>189</v>
      </c>
      <c r="C270" s="491"/>
      <c r="D270" s="491"/>
      <c r="E270" s="491"/>
      <c r="F270" s="493"/>
      <c r="G270" s="479"/>
      <c r="H270" s="491"/>
      <c r="I270" s="491"/>
      <c r="J270" s="491"/>
      <c r="K270" s="493"/>
      <c r="L270" s="479"/>
      <c r="M270" s="491"/>
      <c r="N270" s="491"/>
      <c r="O270" s="491"/>
      <c r="P270" s="493"/>
      <c r="Q270" s="479"/>
      <c r="R270" s="491"/>
      <c r="S270" s="491"/>
      <c r="T270" s="491"/>
      <c r="U270" s="493"/>
      <c r="V270" s="479"/>
      <c r="W270" s="491"/>
      <c r="X270" s="491"/>
      <c r="Y270" s="491"/>
      <c r="Z270" s="493"/>
      <c r="AA270" s="479"/>
      <c r="AB270" s="491"/>
      <c r="AC270" s="491"/>
      <c r="AD270" s="491"/>
      <c r="AE270" s="493"/>
      <c r="AF270" s="479"/>
      <c r="AG270" s="491"/>
      <c r="AH270" s="491"/>
      <c r="AI270" s="491"/>
      <c r="AJ270" s="493"/>
      <c r="AK270" s="479"/>
      <c r="AL270" s="490"/>
      <c r="AM270" s="490"/>
      <c r="AN270" s="490"/>
      <c r="AO270" s="490"/>
      <c r="AP270" s="479">
        <f>+AP241/AP14</f>
        <v>0.11461275457113126</v>
      </c>
      <c r="AQ270" s="490"/>
      <c r="AR270" s="490"/>
      <c r="AS270" s="490"/>
      <c r="AT270" s="494"/>
      <c r="AU270" s="479">
        <f>+AU241/AU14</f>
        <v>0.17898152770843734</v>
      </c>
      <c r="AV270" s="106">
        <f>+AV241/(AV14*4)</f>
        <v>0.18334114339268978</v>
      </c>
      <c r="AW270" s="106">
        <f>+AW241/(AW14*4)</f>
        <v>9.5617095508068031E-2</v>
      </c>
      <c r="AX270" s="106">
        <f>+AX241/(AX14*4)</f>
        <v>0.12057130203720107</v>
      </c>
      <c r="AY270" s="106">
        <f>+AY241/(AY14*4)</f>
        <v>0.1153169014084507</v>
      </c>
      <c r="AZ270" s="479">
        <f>+AZ241/AZ14</f>
        <v>0.12748702422145328</v>
      </c>
      <c r="BA270" s="106">
        <f>+BA241/(BA14*4)</f>
        <v>0.11251965408805031</v>
      </c>
      <c r="BB270" s="106">
        <f>+BB241/(BB14*4)</f>
        <v>0.11141509433962264</v>
      </c>
      <c r="BC270" s="106">
        <f>+BC241/(BC14*4)</f>
        <v>0.11923509561304838</v>
      </c>
      <c r="BD270" s="106">
        <f>+BD241/(BD14*4)</f>
        <v>0.12235826903723583</v>
      </c>
      <c r="BE270" s="479">
        <f>+BE241/BE14</f>
        <v>0.13456926766279284</v>
      </c>
      <c r="BF270" s="106">
        <f>+BF241/(BF14*4)</f>
        <v>0.1092436974789916</v>
      </c>
      <c r="BG270" s="106">
        <f t="shared" ref="BG270:BI270" si="191">+BG241/(BG14*4)</f>
        <v>0.11216517857142858</v>
      </c>
      <c r="BH270" s="106">
        <f t="shared" si="191"/>
        <v>0.12851188638468664</v>
      </c>
      <c r="BI270" s="106">
        <f t="shared" si="191"/>
        <v>0.12017543859649123</v>
      </c>
      <c r="BJ270" s="479">
        <f>+BJ241/BJ14</f>
        <v>0.13642282650325546</v>
      </c>
      <c r="BK270" s="106">
        <f>+BK241/(BK14*4)</f>
        <v>0.11987788331071914</v>
      </c>
      <c r="BL270" s="494">
        <f>BK270</f>
        <v>0.11987788331071914</v>
      </c>
      <c r="BM270" s="494">
        <f>BL270</f>
        <v>0.11987788331071914</v>
      </c>
      <c r="BN270" s="494">
        <f>BM270</f>
        <v>0.11987788331071914</v>
      </c>
      <c r="BO270" s="479">
        <f>+BO241/BO14</f>
        <v>0.13199213424255618</v>
      </c>
      <c r="BP270" s="494">
        <v>0.1</v>
      </c>
      <c r="BQ270" s="494">
        <f>BP270</f>
        <v>0.1</v>
      </c>
      <c r="BR270" s="494">
        <f>BQ270</f>
        <v>0.1</v>
      </c>
      <c r="BS270" s="494">
        <f>BR270</f>
        <v>0.1</v>
      </c>
      <c r="BT270" s="479">
        <f>+BT241/BT14</f>
        <v>0.11402360878288029</v>
      </c>
      <c r="BU270" s="494">
        <v>0.1</v>
      </c>
      <c r="BV270" s="494">
        <f>BU270</f>
        <v>0.1</v>
      </c>
      <c r="BW270" s="494">
        <f>BV270</f>
        <v>0.1</v>
      </c>
      <c r="BX270" s="494">
        <f>BW270</f>
        <v>0.1</v>
      </c>
      <c r="BY270" s="479">
        <f>+BY241/BY14</f>
        <v>0.11347619500848596</v>
      </c>
      <c r="BZ270" s="494">
        <v>0.1</v>
      </c>
      <c r="CA270" s="494">
        <f>BZ270</f>
        <v>0.1</v>
      </c>
      <c r="CB270" s="494">
        <f>CA270</f>
        <v>0.1</v>
      </c>
      <c r="CC270" s="494">
        <f>CB270</f>
        <v>0.1</v>
      </c>
      <c r="CD270" s="479">
        <f>+CD241/CD14</f>
        <v>0.11400561207195659</v>
      </c>
      <c r="CE270" s="495"/>
    </row>
    <row r="271" spans="1:91" ht="13.5" customHeight="1" outlineLevel="1">
      <c r="A271" s="478"/>
      <c r="B271" s="496" t="s">
        <v>254</v>
      </c>
      <c r="C271" s="497"/>
      <c r="D271" s="497"/>
      <c r="E271" s="497"/>
      <c r="F271" s="498"/>
      <c r="G271" s="499"/>
      <c r="H271" s="497"/>
      <c r="I271" s="497"/>
      <c r="J271" s="497"/>
      <c r="K271" s="498"/>
      <c r="L271" s="499"/>
      <c r="M271" s="497"/>
      <c r="N271" s="497"/>
      <c r="O271" s="497"/>
      <c r="P271" s="498"/>
      <c r="Q271" s="499"/>
      <c r="R271" s="497"/>
      <c r="S271" s="497"/>
      <c r="T271" s="497"/>
      <c r="U271" s="498"/>
      <c r="V271" s="499"/>
      <c r="W271" s="497"/>
      <c r="X271" s="497"/>
      <c r="Y271" s="497"/>
      <c r="Z271" s="498"/>
      <c r="AA271" s="499"/>
      <c r="AB271" s="497"/>
      <c r="AC271" s="497"/>
      <c r="AD271" s="497"/>
      <c r="AE271" s="498"/>
      <c r="AF271" s="499"/>
      <c r="AG271" s="497"/>
      <c r="AH271" s="497"/>
      <c r="AI271" s="497"/>
      <c r="AJ271" s="498"/>
      <c r="AK271" s="499"/>
      <c r="AL271" s="500"/>
      <c r="AM271" s="500"/>
      <c r="AN271" s="500"/>
      <c r="AO271" s="500"/>
      <c r="AP271" s="499"/>
      <c r="AQ271" s="500"/>
      <c r="AR271" s="500"/>
      <c r="AS271" s="500"/>
      <c r="AT271" s="501"/>
      <c r="AU271" s="499">
        <f t="shared" ref="AU271:BF271" si="192">+AU162/AU25</f>
        <v>0.93759071117561688</v>
      </c>
      <c r="AV271" s="502">
        <f t="shared" si="192"/>
        <v>0.94680851063829785</v>
      </c>
      <c r="AW271" s="502">
        <f t="shared" si="192"/>
        <v>0.93908629441624369</v>
      </c>
      <c r="AX271" s="502">
        <f t="shared" si="192"/>
        <v>1</v>
      </c>
      <c r="AY271" s="502">
        <f>+AY162/AY25</f>
        <v>1</v>
      </c>
      <c r="AZ271" s="499">
        <f t="shared" si="192"/>
        <v>0.97352587244283995</v>
      </c>
      <c r="BA271" s="502">
        <f t="shared" si="192"/>
        <v>1</v>
      </c>
      <c r="BB271" s="502">
        <f t="shared" si="192"/>
        <v>1</v>
      </c>
      <c r="BC271" s="502">
        <f t="shared" si="192"/>
        <v>1</v>
      </c>
      <c r="BD271" s="502">
        <f t="shared" si="192"/>
        <v>1</v>
      </c>
      <c r="BE271" s="499">
        <f t="shared" si="192"/>
        <v>1</v>
      </c>
      <c r="BF271" s="502">
        <f t="shared" si="192"/>
        <v>1</v>
      </c>
      <c r="BG271" s="502">
        <f t="shared" ref="BG271:BI271" si="193">+BG162/BG25</f>
        <v>1</v>
      </c>
      <c r="BH271" s="502">
        <f t="shared" si="193"/>
        <v>1</v>
      </c>
      <c r="BI271" s="502">
        <f t="shared" si="193"/>
        <v>1</v>
      </c>
      <c r="BJ271" s="499">
        <f>+BJ162/BJ25</f>
        <v>1</v>
      </c>
      <c r="BK271" s="502">
        <f t="shared" ref="BK271" si="194">+BK162/BK25</f>
        <v>1</v>
      </c>
      <c r="BL271" s="501">
        <v>1</v>
      </c>
      <c r="BM271" s="501">
        <v>1</v>
      </c>
      <c r="BN271" s="501">
        <v>1</v>
      </c>
      <c r="BO271" s="499">
        <f>+BO162/BO25</f>
        <v>1</v>
      </c>
      <c r="BP271" s="501">
        <v>1</v>
      </c>
      <c r="BQ271" s="501">
        <v>1</v>
      </c>
      <c r="BR271" s="501">
        <v>1</v>
      </c>
      <c r="BS271" s="501">
        <v>1</v>
      </c>
      <c r="BT271" s="499">
        <f>+BT162/BT25</f>
        <v>1</v>
      </c>
      <c r="BU271" s="501">
        <v>1</v>
      </c>
      <c r="BV271" s="501">
        <v>1</v>
      </c>
      <c r="BW271" s="501">
        <v>1</v>
      </c>
      <c r="BX271" s="501">
        <v>1</v>
      </c>
      <c r="BY271" s="499">
        <f>+BY162/BY25</f>
        <v>1</v>
      </c>
      <c r="BZ271" s="501">
        <v>1</v>
      </c>
      <c r="CA271" s="501">
        <v>1</v>
      </c>
      <c r="CB271" s="501">
        <v>1</v>
      </c>
      <c r="CC271" s="501">
        <v>1</v>
      </c>
      <c r="CD271" s="499">
        <f>+CD162/CD25</f>
        <v>1</v>
      </c>
      <c r="CE271" s="495"/>
    </row>
    <row r="272" spans="1:91" ht="13.5" customHeight="1">
      <c r="A272" s="478"/>
      <c r="B272" s="503"/>
      <c r="C272" s="503"/>
      <c r="D272" s="503"/>
      <c r="E272" s="503"/>
      <c r="F272" s="503"/>
      <c r="G272" s="503"/>
      <c r="H272" s="503"/>
      <c r="I272" s="503"/>
      <c r="J272" s="503"/>
      <c r="K272" s="503"/>
      <c r="L272" s="503"/>
      <c r="M272" s="503"/>
      <c r="N272" s="503"/>
      <c r="O272" s="503"/>
      <c r="P272" s="503"/>
      <c r="Q272" s="503"/>
      <c r="R272" s="503"/>
      <c r="S272" s="503"/>
      <c r="T272" s="503"/>
      <c r="U272" s="503"/>
      <c r="V272" s="503"/>
      <c r="W272" s="503"/>
      <c r="X272" s="503"/>
      <c r="Y272" s="503"/>
      <c r="Z272" s="503"/>
      <c r="AA272" s="503"/>
      <c r="AB272" s="503"/>
      <c r="AC272" s="503"/>
      <c r="AD272" s="503"/>
      <c r="AE272" s="503"/>
      <c r="AF272" s="503"/>
      <c r="AG272" s="503"/>
      <c r="AH272" s="503"/>
      <c r="AI272" s="503"/>
      <c r="AJ272" s="503"/>
      <c r="AK272" s="503"/>
      <c r="AL272" s="503"/>
      <c r="AM272" s="503"/>
      <c r="AN272" s="503"/>
      <c r="AO272" s="503"/>
      <c r="AP272" s="503"/>
      <c r="AQ272" s="503"/>
      <c r="AR272" s="503"/>
      <c r="AS272" s="503"/>
      <c r="AT272" s="503"/>
      <c r="AU272" s="503"/>
      <c r="AV272" s="503"/>
      <c r="AW272" s="503"/>
      <c r="AX272" s="503"/>
      <c r="AY272" s="503"/>
      <c r="AZ272" s="503"/>
      <c r="BA272" s="503"/>
      <c r="BB272" s="503"/>
      <c r="BC272" s="503"/>
      <c r="BD272" s="503"/>
      <c r="BE272" s="503"/>
      <c r="BF272" s="503"/>
      <c r="BG272" s="503"/>
      <c r="BH272" s="503"/>
      <c r="BI272" s="503"/>
      <c r="BJ272" s="503"/>
      <c r="BK272" s="503"/>
      <c r="BL272" s="503"/>
      <c r="BM272" s="503"/>
      <c r="BN272" s="503"/>
      <c r="BO272" s="503"/>
      <c r="BP272" s="503"/>
      <c r="BQ272" s="503"/>
      <c r="BR272" s="503"/>
      <c r="BS272" s="503"/>
      <c r="BT272" s="503"/>
      <c r="BU272" s="503"/>
      <c r="BV272" s="503"/>
      <c r="BW272" s="503"/>
      <c r="BX272" s="503"/>
      <c r="BY272" s="503"/>
      <c r="BZ272" s="503"/>
      <c r="CA272" s="503"/>
      <c r="CB272" s="503"/>
      <c r="CC272" s="503"/>
      <c r="CD272" s="503"/>
      <c r="CE272" s="503"/>
    </row>
    <row r="273" spans="1:91" ht="13.5" customHeight="1">
      <c r="A273" s="478"/>
      <c r="B273" s="503"/>
      <c r="C273" s="503"/>
      <c r="D273" s="503"/>
      <c r="E273" s="503"/>
      <c r="F273" s="503"/>
      <c r="G273" s="503"/>
      <c r="H273" s="503"/>
      <c r="I273" s="503"/>
      <c r="J273" s="503"/>
      <c r="K273" s="503"/>
      <c r="L273" s="503"/>
      <c r="M273" s="503"/>
      <c r="N273" s="503"/>
      <c r="O273" s="503"/>
      <c r="P273" s="503"/>
      <c r="Q273" s="503"/>
      <c r="R273" s="503"/>
      <c r="S273" s="503"/>
      <c r="T273" s="503"/>
      <c r="U273" s="503"/>
      <c r="V273" s="503"/>
      <c r="W273" s="503"/>
      <c r="X273" s="503"/>
      <c r="Y273" s="503"/>
      <c r="Z273" s="503"/>
      <c r="AA273" s="503"/>
      <c r="AB273" s="503"/>
      <c r="AC273" s="503"/>
      <c r="AD273" s="503"/>
      <c r="AE273" s="503"/>
      <c r="AF273" s="503"/>
      <c r="AG273" s="503"/>
      <c r="AH273" s="503"/>
      <c r="AI273" s="503"/>
      <c r="AJ273" s="503"/>
      <c r="AK273" s="503"/>
      <c r="AL273" s="503"/>
      <c r="AM273" s="503"/>
      <c r="AN273" s="503"/>
      <c r="AO273" s="503"/>
      <c r="AP273" s="503"/>
      <c r="AQ273" s="503"/>
      <c r="AR273" s="503"/>
      <c r="AS273" s="503"/>
      <c r="AT273" s="503"/>
      <c r="AU273" s="503"/>
      <c r="AV273" s="503"/>
      <c r="AW273" s="503"/>
      <c r="AX273" s="503"/>
      <c r="AY273" s="503"/>
      <c r="AZ273" s="503"/>
      <c r="BA273" s="503"/>
      <c r="BB273" s="503"/>
      <c r="BC273" s="503"/>
      <c r="BD273" s="503"/>
      <c r="BE273" s="503"/>
      <c r="BF273" s="503"/>
      <c r="BG273" s="503"/>
      <c r="BH273" s="503"/>
      <c r="BI273" s="503"/>
      <c r="BJ273" s="503"/>
      <c r="BK273" s="503"/>
      <c r="BL273" s="503"/>
      <c r="BM273" s="503"/>
      <c r="BN273" s="503"/>
      <c r="BO273" s="503"/>
      <c r="BP273" s="503"/>
      <c r="BQ273" s="503"/>
      <c r="BR273" s="503"/>
      <c r="BS273" s="503"/>
      <c r="BT273" s="503"/>
      <c r="BU273" s="503"/>
      <c r="BV273" s="503"/>
      <c r="BW273" s="503"/>
      <c r="BX273" s="503"/>
      <c r="BY273" s="503"/>
      <c r="BZ273" s="503"/>
      <c r="CA273" s="503"/>
      <c r="CB273" s="503"/>
      <c r="CC273" s="503"/>
      <c r="CD273" s="503"/>
      <c r="CE273" s="503"/>
    </row>
    <row r="274" spans="1:91" ht="13.5" customHeight="1">
      <c r="A274" s="478"/>
      <c r="B274" s="503"/>
      <c r="C274" s="503"/>
      <c r="D274" s="503"/>
      <c r="E274" s="503"/>
      <c r="F274" s="503"/>
      <c r="G274" s="503"/>
      <c r="H274" s="503"/>
      <c r="I274" s="503"/>
      <c r="J274" s="503"/>
      <c r="K274" s="503"/>
      <c r="L274" s="503"/>
      <c r="M274" s="503"/>
      <c r="N274" s="503"/>
      <c r="O274" s="503"/>
      <c r="P274" s="503"/>
      <c r="Q274" s="503"/>
      <c r="R274" s="503"/>
      <c r="S274" s="503"/>
      <c r="T274" s="503"/>
      <c r="U274" s="503"/>
      <c r="V274" s="503"/>
      <c r="W274" s="503"/>
      <c r="X274" s="503"/>
      <c r="Y274" s="503"/>
      <c r="Z274" s="503"/>
      <c r="AA274" s="503"/>
      <c r="AB274" s="503"/>
      <c r="AC274" s="503"/>
      <c r="AD274" s="503"/>
      <c r="AE274" s="503"/>
      <c r="AF274" s="503"/>
      <c r="AG274" s="503"/>
      <c r="AH274" s="503"/>
      <c r="AI274" s="503"/>
      <c r="AJ274" s="503"/>
      <c r="AK274" s="503"/>
      <c r="AL274" s="503"/>
      <c r="AM274" s="503"/>
      <c r="AN274" s="503"/>
      <c r="AO274" s="503"/>
      <c r="AP274" s="503"/>
      <c r="AQ274" s="503"/>
      <c r="AR274" s="503"/>
      <c r="AS274" s="503"/>
      <c r="AT274" s="503"/>
      <c r="AU274" s="503"/>
      <c r="AV274" s="503"/>
      <c r="AW274" s="503"/>
      <c r="AX274" s="503"/>
      <c r="AY274" s="503"/>
      <c r="AZ274" s="503"/>
      <c r="BA274" s="503"/>
      <c r="BB274" s="503"/>
      <c r="BC274" s="503"/>
      <c r="BD274" s="503"/>
      <c r="BE274" s="503"/>
      <c r="BF274" s="503"/>
      <c r="BG274" s="503"/>
      <c r="BH274" s="503"/>
      <c r="BI274" s="503"/>
      <c r="BJ274" s="503"/>
      <c r="BK274" s="503"/>
      <c r="BL274" s="503"/>
      <c r="BM274" s="503"/>
      <c r="BN274" s="503"/>
      <c r="BO274" s="503"/>
      <c r="BP274" s="503"/>
      <c r="BQ274" s="503"/>
      <c r="BR274" s="503"/>
      <c r="BS274" s="503"/>
      <c r="BT274" s="503"/>
      <c r="BU274" s="503"/>
      <c r="BV274" s="503"/>
      <c r="BW274" s="503"/>
      <c r="BX274" s="503"/>
      <c r="BY274" s="503"/>
      <c r="BZ274" s="503"/>
      <c r="CA274" s="503"/>
      <c r="CB274" s="503"/>
      <c r="CC274" s="503"/>
      <c r="CD274" s="503"/>
      <c r="CE274" s="503"/>
    </row>
    <row r="275" spans="1:91" ht="13.5" customHeight="1">
      <c r="A275" s="478"/>
      <c r="B275" s="503"/>
      <c r="C275" s="503"/>
      <c r="D275" s="503"/>
      <c r="E275" s="503"/>
      <c r="F275" s="503"/>
      <c r="G275" s="503"/>
      <c r="H275" s="503"/>
      <c r="I275" s="503"/>
      <c r="J275" s="503"/>
      <c r="K275" s="503"/>
      <c r="L275" s="503"/>
      <c r="M275" s="503"/>
      <c r="N275" s="503"/>
      <c r="O275" s="503"/>
      <c r="P275" s="503"/>
      <c r="Q275" s="503"/>
      <c r="R275" s="503"/>
      <c r="S275" s="503"/>
      <c r="T275" s="503"/>
      <c r="U275" s="503"/>
      <c r="V275" s="503"/>
      <c r="W275" s="503"/>
      <c r="X275" s="503"/>
      <c r="Y275" s="503"/>
      <c r="Z275" s="503"/>
      <c r="AA275" s="503"/>
      <c r="AB275" s="503"/>
      <c r="AC275" s="503"/>
      <c r="AD275" s="503"/>
      <c r="AE275" s="503"/>
      <c r="AF275" s="503"/>
      <c r="AG275" s="503"/>
      <c r="AH275" s="503"/>
      <c r="AI275" s="503"/>
      <c r="AJ275" s="503"/>
      <c r="AK275" s="503"/>
      <c r="AL275" s="503"/>
      <c r="AM275" s="503"/>
      <c r="AN275" s="503"/>
      <c r="AO275" s="503"/>
      <c r="AP275" s="503"/>
      <c r="AQ275" s="503"/>
      <c r="AR275" s="503"/>
      <c r="AS275" s="503"/>
      <c r="AT275" s="503"/>
      <c r="AU275" s="503"/>
      <c r="AV275" s="503"/>
      <c r="AW275" s="503"/>
      <c r="AX275" s="503"/>
      <c r="AY275" s="503"/>
      <c r="AZ275" s="503"/>
      <c r="BA275" s="503"/>
      <c r="BB275" s="503"/>
      <c r="BC275" s="503"/>
      <c r="BD275" s="503"/>
      <c r="BE275" s="503"/>
      <c r="BF275" s="503"/>
      <c r="BG275" s="503"/>
      <c r="BH275" s="503"/>
      <c r="BI275" s="503"/>
      <c r="BJ275" s="503"/>
      <c r="BK275" s="503"/>
      <c r="BL275" s="503"/>
      <c r="BM275" s="503"/>
      <c r="BN275" s="503"/>
      <c r="BO275" s="503"/>
      <c r="BP275" s="503"/>
      <c r="BQ275" s="503"/>
      <c r="BR275" s="503"/>
      <c r="BS275" s="503"/>
      <c r="BT275" s="503"/>
      <c r="BU275" s="503"/>
      <c r="BV275" s="503"/>
      <c r="BW275" s="503"/>
      <c r="BX275" s="503"/>
      <c r="BY275" s="503"/>
      <c r="BZ275" s="503"/>
      <c r="CA275" s="503"/>
      <c r="CB275" s="503"/>
      <c r="CC275" s="503"/>
      <c r="CD275" s="503"/>
      <c r="CE275" s="503"/>
    </row>
    <row r="276" spans="1:91" ht="13.5" customHeight="1">
      <c r="A276" s="504"/>
      <c r="B276" s="505"/>
      <c r="AK276" s="506"/>
      <c r="AL276" s="507"/>
      <c r="AM276" s="507"/>
      <c r="AN276" s="507"/>
      <c r="AO276" s="508"/>
      <c r="AP276" s="508"/>
      <c r="AQ276" s="508"/>
      <c r="AR276" s="508"/>
      <c r="AS276" s="508"/>
      <c r="AT276" s="508"/>
      <c r="AU276" s="508"/>
      <c r="AZ276" s="508"/>
      <c r="BA276" s="508"/>
      <c r="BE276" s="508"/>
      <c r="BF276" s="508"/>
      <c r="BJ276" s="508"/>
      <c r="BK276" s="508"/>
      <c r="BL276" s="508"/>
      <c r="BM276" s="508"/>
      <c r="BN276" s="508"/>
      <c r="BO276" s="508"/>
      <c r="BP276" s="508"/>
      <c r="BQ276" s="508"/>
      <c r="BR276" s="508"/>
      <c r="BS276" s="508"/>
      <c r="BT276" s="508"/>
      <c r="BU276" s="508"/>
      <c r="BV276" s="508"/>
      <c r="BW276" s="508"/>
      <c r="BX276" s="508"/>
      <c r="BY276" s="508"/>
      <c r="BZ276" s="508"/>
      <c r="CA276" s="508"/>
      <c r="CB276" s="508"/>
      <c r="CC276" s="508"/>
      <c r="CD276" s="508"/>
      <c r="CE276" s="509"/>
    </row>
    <row r="277" spans="1:91" ht="13.5" customHeight="1">
      <c r="A277" s="504"/>
      <c r="B277" s="505"/>
      <c r="C277" s="510"/>
      <c r="D277" s="510"/>
      <c r="E277" s="510"/>
      <c r="F277" s="343"/>
      <c r="G277" s="99"/>
      <c r="H277" s="510"/>
      <c r="I277" s="510"/>
      <c r="J277" s="510"/>
      <c r="K277" s="343"/>
      <c r="L277" s="99"/>
      <c r="M277" s="510"/>
      <c r="N277" s="510"/>
      <c r="O277" s="510"/>
      <c r="P277" s="343"/>
      <c r="Q277" s="99"/>
      <c r="R277" s="510"/>
      <c r="S277" s="510"/>
      <c r="T277" s="510"/>
      <c r="U277" s="343"/>
      <c r="V277" s="99"/>
      <c r="W277" s="510"/>
      <c r="X277" s="510"/>
      <c r="Y277" s="510"/>
      <c r="Z277" s="343"/>
      <c r="AA277" s="99"/>
      <c r="AB277" s="510"/>
      <c r="AC277" s="510"/>
      <c r="AD277" s="510"/>
      <c r="AE277" s="343"/>
      <c r="AF277" s="99"/>
      <c r="AG277" s="510"/>
      <c r="AH277" s="510"/>
      <c r="AI277" s="510"/>
      <c r="AJ277" s="343"/>
      <c r="AK277" s="506"/>
      <c r="AL277" s="507"/>
      <c r="AM277" s="507"/>
      <c r="AN277" s="507"/>
      <c r="AO277" s="506"/>
      <c r="AP277" s="506"/>
      <c r="AQ277" s="506"/>
      <c r="AR277" s="511"/>
      <c r="AS277" s="511"/>
      <c r="AT277" s="511"/>
      <c r="AU277" s="512"/>
      <c r="AZ277" s="513"/>
      <c r="BA277" s="511"/>
      <c r="BE277" s="513"/>
      <c r="BF277" s="511"/>
      <c r="BJ277" s="513"/>
      <c r="BK277" s="511"/>
      <c r="BL277" s="511"/>
      <c r="BM277" s="511"/>
      <c r="BN277" s="511"/>
      <c r="BO277" s="513"/>
      <c r="BP277" s="511"/>
      <c r="BQ277" s="511"/>
      <c r="BR277" s="511"/>
      <c r="BS277" s="511"/>
      <c r="BT277" s="513"/>
      <c r="BU277" s="511"/>
      <c r="BV277" s="511"/>
      <c r="BW277" s="511"/>
      <c r="BX277" s="511"/>
      <c r="BY277" s="513"/>
      <c r="BZ277" s="511"/>
      <c r="CA277" s="511"/>
      <c r="CB277" s="511"/>
      <c r="CC277" s="511"/>
      <c r="CD277" s="513"/>
      <c r="CE277" s="504"/>
    </row>
    <row r="278" spans="1:91" ht="13.5" hidden="1" customHeight="1" outlineLevel="1"/>
    <row r="279" spans="1:91" ht="13.5" hidden="1" customHeight="1" outlineLevel="1">
      <c r="A279" s="514"/>
      <c r="B279" s="147"/>
      <c r="C279" s="510"/>
      <c r="D279" s="510"/>
      <c r="E279" s="510"/>
      <c r="F279" s="515"/>
      <c r="G279" s="105"/>
      <c r="H279" s="510"/>
      <c r="I279" s="510"/>
      <c r="J279" s="510"/>
      <c r="K279" s="515"/>
      <c r="L279" s="105"/>
      <c r="M279" s="510"/>
      <c r="N279" s="510"/>
      <c r="O279" s="510"/>
      <c r="P279" s="515"/>
      <c r="Q279" s="105"/>
      <c r="R279" s="510"/>
      <c r="S279" s="510"/>
      <c r="T279" s="510"/>
      <c r="U279" s="515"/>
      <c r="V279" s="105"/>
      <c r="W279" s="510"/>
      <c r="X279" s="510"/>
      <c r="Y279" s="510"/>
      <c r="Z279" s="515"/>
      <c r="AA279" s="105"/>
      <c r="AB279" s="510"/>
      <c r="AC279" s="510"/>
      <c r="AD279" s="510"/>
      <c r="AE279" s="515"/>
      <c r="AF279" s="105"/>
      <c r="AG279" s="510"/>
      <c r="AH279" s="510"/>
      <c r="AI279" s="510"/>
      <c r="AJ279" s="515"/>
      <c r="AK279" s="99"/>
      <c r="AL279" s="461"/>
      <c r="AM279" s="461"/>
      <c r="AN279" s="461"/>
      <c r="AO279" s="343"/>
      <c r="AP279" s="99"/>
      <c r="AQ279" s="343"/>
      <c r="AR279" s="343"/>
      <c r="AS279" s="343"/>
      <c r="AT279" s="343"/>
      <c r="AU279" s="99"/>
      <c r="AZ279" s="99"/>
      <c r="BA279" s="343"/>
      <c r="BE279" s="99"/>
      <c r="BF279" s="343"/>
      <c r="BJ279" s="99"/>
      <c r="BK279" s="343"/>
      <c r="BL279" s="343"/>
      <c r="BM279" s="343"/>
      <c r="BN279" s="343"/>
      <c r="BO279" s="99"/>
      <c r="BP279" s="343"/>
      <c r="BQ279" s="343"/>
      <c r="BR279" s="343"/>
      <c r="BS279" s="343"/>
      <c r="BT279" s="99"/>
      <c r="BU279" s="343"/>
      <c r="BV279" s="343"/>
      <c r="BW279" s="343"/>
      <c r="BX279" s="343"/>
      <c r="BY279" s="99"/>
      <c r="BZ279" s="343"/>
      <c r="CA279" s="343"/>
      <c r="CB279" s="343"/>
      <c r="CC279" s="343"/>
      <c r="CD279" s="99"/>
      <c r="CE279" s="504"/>
    </row>
    <row r="280" spans="1:91" ht="13.5" hidden="1" customHeight="1" outlineLevel="1">
      <c r="A280" s="514"/>
      <c r="B280" s="150" t="s">
        <v>255</v>
      </c>
      <c r="C280" s="490"/>
      <c r="D280" s="490"/>
      <c r="E280" s="490"/>
      <c r="F280" s="490"/>
      <c r="G280" s="490"/>
      <c r="H280" s="490"/>
      <c r="I280" s="490"/>
      <c r="J280" s="490"/>
      <c r="K280" s="490"/>
      <c r="L280" s="490"/>
      <c r="M280" s="490"/>
      <c r="N280" s="490"/>
      <c r="O280" s="490"/>
      <c r="P280" s="490"/>
      <c r="Q280" s="490"/>
      <c r="R280" s="490"/>
      <c r="S280" s="490"/>
      <c r="T280" s="490"/>
      <c r="U280" s="490"/>
      <c r="V280" s="490"/>
      <c r="W280" s="490"/>
      <c r="X280" s="490"/>
      <c r="Y280" s="490"/>
      <c r="Z280" s="490"/>
      <c r="AA280" s="490"/>
      <c r="AB280" s="490"/>
      <c r="AC280" s="490"/>
      <c r="AD280" s="490"/>
      <c r="AE280" s="490"/>
      <c r="AF280" s="490"/>
      <c r="AG280" s="490"/>
      <c r="AH280" s="490"/>
      <c r="AI280" s="490"/>
      <c r="AJ280" s="490"/>
      <c r="AK280" s="347"/>
      <c r="AL280" s="461"/>
      <c r="AM280" s="461"/>
      <c r="AN280" s="461"/>
      <c r="AO280" s="343"/>
      <c r="AP280" s="99"/>
      <c r="AQ280" s="343"/>
      <c r="AR280" s="343"/>
      <c r="AS280" s="343"/>
      <c r="AT280" s="343"/>
      <c r="AU280" s="99"/>
      <c r="AZ280" s="99"/>
      <c r="BA280" s="343"/>
      <c r="BE280" s="99"/>
      <c r="BF280" s="343"/>
      <c r="BJ280" s="99"/>
      <c r="BK280" s="343"/>
      <c r="BL280" s="343"/>
      <c r="BM280" s="343"/>
      <c r="BN280" s="343"/>
      <c r="BO280" s="99"/>
      <c r="BP280" s="343"/>
      <c r="BQ280" s="343"/>
      <c r="BR280" s="343"/>
      <c r="BS280" s="343"/>
      <c r="BT280" s="99"/>
      <c r="BU280" s="343"/>
      <c r="BV280" s="343"/>
      <c r="BW280" s="343"/>
      <c r="BX280" s="343"/>
      <c r="BY280" s="99"/>
      <c r="BZ280" s="343"/>
      <c r="CA280" s="343"/>
      <c r="CB280" s="343"/>
      <c r="CC280" s="343"/>
      <c r="CD280" s="99"/>
      <c r="CE280" s="147"/>
    </row>
    <row r="281" spans="1:91" ht="13.5" hidden="1" customHeight="1" outlineLevel="1">
      <c r="A281" s="514"/>
      <c r="B281" s="147"/>
      <c r="C281" s="516"/>
      <c r="D281" s="516"/>
      <c r="E281" s="516"/>
      <c r="F281" s="516"/>
      <c r="G281" s="517"/>
      <c r="H281" s="516"/>
      <c r="I281" s="516"/>
      <c r="J281" s="516"/>
      <c r="K281" s="516"/>
      <c r="L281" s="517"/>
      <c r="M281" s="516"/>
      <c r="N281" s="516"/>
      <c r="O281" s="516"/>
      <c r="P281" s="516"/>
      <c r="Q281" s="517"/>
      <c r="R281" s="516"/>
      <c r="S281" s="516"/>
      <c r="T281" s="516"/>
      <c r="U281" s="516"/>
      <c r="V281" s="517"/>
      <c r="W281" s="516"/>
      <c r="X281" s="516"/>
      <c r="Y281" s="516"/>
      <c r="Z281" s="516"/>
      <c r="AA281" s="517"/>
      <c r="AB281" s="516"/>
      <c r="AC281" s="516"/>
      <c r="AD281" s="516"/>
      <c r="AE281" s="516"/>
      <c r="AF281" s="517"/>
      <c r="AG281" s="516"/>
      <c r="AH281" s="516"/>
      <c r="AI281" s="516"/>
      <c r="AJ281" s="516"/>
      <c r="AK281" s="105"/>
      <c r="AL281" s="461"/>
      <c r="AM281" s="461"/>
      <c r="AN281" s="461"/>
      <c r="AO281" s="515"/>
      <c r="AP281" s="105"/>
      <c r="AQ281" s="515"/>
      <c r="AR281" s="515"/>
      <c r="AS281" s="515"/>
      <c r="AT281" s="515"/>
      <c r="AU281" s="105"/>
      <c r="AZ281" s="105"/>
      <c r="BA281" s="515"/>
      <c r="BE281" s="105"/>
      <c r="BF281" s="515"/>
      <c r="BJ281" s="105"/>
      <c r="BK281" s="515"/>
      <c r="BL281" s="515"/>
      <c r="BM281" s="515"/>
      <c r="BN281" s="515"/>
      <c r="BO281" s="105"/>
      <c r="BP281" s="515"/>
      <c r="BQ281" s="515"/>
      <c r="BR281" s="515"/>
      <c r="BS281" s="515"/>
      <c r="BT281" s="105"/>
      <c r="BU281" s="515"/>
      <c r="BV281" s="515"/>
      <c r="BW281" s="515"/>
      <c r="BX281" s="515"/>
      <c r="BY281" s="105"/>
      <c r="BZ281" s="515"/>
      <c r="CA281" s="515"/>
      <c r="CB281" s="515"/>
      <c r="CC281" s="515"/>
      <c r="CD281" s="105"/>
      <c r="CE281" s="147"/>
    </row>
    <row r="282" spans="1:91" ht="13.5" hidden="1" customHeight="1" outlineLevel="1">
      <c r="A282" s="518"/>
      <c r="B282" s="519" t="s">
        <v>256</v>
      </c>
      <c r="C282" s="516"/>
      <c r="D282" s="516"/>
      <c r="E282" s="516"/>
      <c r="F282" s="516"/>
      <c r="G282" s="517"/>
      <c r="H282" s="516"/>
      <c r="I282" s="516"/>
      <c r="J282" s="516"/>
      <c r="K282" s="516"/>
      <c r="L282" s="517"/>
      <c r="M282" s="516"/>
      <c r="N282" s="516"/>
      <c r="O282" s="516"/>
      <c r="P282" s="516"/>
      <c r="Q282" s="517"/>
      <c r="R282" s="516"/>
      <c r="S282" s="516"/>
      <c r="T282" s="516"/>
      <c r="U282" s="516"/>
      <c r="V282" s="517"/>
      <c r="W282" s="516"/>
      <c r="X282" s="516"/>
      <c r="Y282" s="516"/>
      <c r="Z282" s="516"/>
      <c r="AA282" s="517"/>
      <c r="AB282" s="516"/>
      <c r="AC282" s="516"/>
      <c r="AD282" s="516"/>
      <c r="AE282" s="516"/>
      <c r="AF282" s="517"/>
      <c r="AG282" s="516"/>
      <c r="AH282" s="516"/>
      <c r="AI282" s="516"/>
      <c r="AJ282" s="516"/>
      <c r="AK282" s="490"/>
      <c r="AL282" s="490"/>
      <c r="AM282" s="490"/>
      <c r="AN282" s="490"/>
      <c r="AO282" s="490"/>
      <c r="AP282" s="490">
        <f>SUM(AP283:AP284)</f>
        <v>0.34899999999999998</v>
      </c>
      <c r="AQ282" s="490"/>
      <c r="AR282" s="490"/>
      <c r="AS282" s="490"/>
      <c r="AT282" s="490"/>
      <c r="AU282" s="490">
        <f>SUM(AU283:AU284)</f>
        <v>0.35799999999999998</v>
      </c>
      <c r="AZ282" s="490">
        <v>0.35799999999999998</v>
      </c>
      <c r="BA282" s="490">
        <f>SUM(BA283:BA284)</f>
        <v>0.35799999999999998</v>
      </c>
      <c r="BB282" s="490">
        <f>SUM(BB283:BB284)</f>
        <v>0.35799999999999998</v>
      </c>
      <c r="BC282" s="490">
        <f>SUM(BC283:BC284)</f>
        <v>0.35799999999999998</v>
      </c>
      <c r="BD282" s="490">
        <f>SUM(BD283:BD284)</f>
        <v>0.35799999999999998</v>
      </c>
      <c r="BE282" s="490">
        <f>SUM(BE283:BE284)</f>
        <v>0.35799999999999998</v>
      </c>
      <c r="BF282" s="490">
        <f t="shared" ref="BF282:CD282" si="195">SUM(BF283:BF284)</f>
        <v>0.35799999999999998</v>
      </c>
      <c r="BG282" s="490">
        <f t="shared" si="195"/>
        <v>0.35799999999999998</v>
      </c>
      <c r="BH282" s="490">
        <f t="shared" si="195"/>
        <v>0.35799999999999998</v>
      </c>
      <c r="BI282" s="490">
        <f t="shared" si="195"/>
        <v>0.35799999999999998</v>
      </c>
      <c r="BJ282" s="490">
        <f t="shared" si="195"/>
        <v>0.35799999999999998</v>
      </c>
      <c r="BK282" s="490">
        <f t="shared" si="195"/>
        <v>0.35799999999999998</v>
      </c>
      <c r="BL282" s="490">
        <f t="shared" si="195"/>
        <v>0.35799999999999998</v>
      </c>
      <c r="BM282" s="490">
        <f t="shared" si="195"/>
        <v>0.35799999999999998</v>
      </c>
      <c r="BN282" s="490">
        <f t="shared" si="195"/>
        <v>0.35799999999999998</v>
      </c>
      <c r="BO282" s="490">
        <f t="shared" si="195"/>
        <v>0.35799999999999998</v>
      </c>
      <c r="BP282" s="490">
        <f t="shared" si="195"/>
        <v>0.35799999999999998</v>
      </c>
      <c r="BQ282" s="490">
        <f t="shared" si="195"/>
        <v>0.35799999999999998</v>
      </c>
      <c r="BR282" s="490">
        <f t="shared" si="195"/>
        <v>0.35799999999999998</v>
      </c>
      <c r="BS282" s="490">
        <f t="shared" si="195"/>
        <v>0.35799999999999998</v>
      </c>
      <c r="BT282" s="490">
        <f t="shared" si="195"/>
        <v>0.35799999999999998</v>
      </c>
      <c r="BU282" s="490">
        <f t="shared" si="195"/>
        <v>0.35799999999999998</v>
      </c>
      <c r="BV282" s="490">
        <f t="shared" si="195"/>
        <v>0.35799999999999998</v>
      </c>
      <c r="BW282" s="490">
        <f t="shared" si="195"/>
        <v>0.35799999999999998</v>
      </c>
      <c r="BX282" s="490">
        <f t="shared" si="195"/>
        <v>0.35799999999999998</v>
      </c>
      <c r="BY282" s="490">
        <f t="shared" si="195"/>
        <v>0.35799999999999998</v>
      </c>
      <c r="BZ282" s="490">
        <f t="shared" si="195"/>
        <v>0.35799999999999998</v>
      </c>
      <c r="CA282" s="490">
        <f t="shared" si="195"/>
        <v>0.35799999999999998</v>
      </c>
      <c r="CB282" s="490">
        <f t="shared" si="195"/>
        <v>0.35799999999999998</v>
      </c>
      <c r="CC282" s="490">
        <f t="shared" si="195"/>
        <v>0.35799999999999998</v>
      </c>
      <c r="CD282" s="490">
        <f t="shared" si="195"/>
        <v>0.35799999999999998</v>
      </c>
      <c r="CE282" s="518"/>
    </row>
    <row r="283" spans="1:91" ht="13.5" hidden="1" customHeight="1" outlineLevel="1">
      <c r="A283" s="520"/>
      <c r="B283" s="521" t="s">
        <v>257</v>
      </c>
      <c r="C283" s="510"/>
      <c r="D283" s="510"/>
      <c r="E283" s="510"/>
      <c r="F283" s="510"/>
      <c r="G283" s="522"/>
      <c r="H283" s="510"/>
      <c r="I283" s="510"/>
      <c r="J283" s="510"/>
      <c r="K283" s="510"/>
      <c r="L283" s="522"/>
      <c r="M283" s="510"/>
      <c r="N283" s="510"/>
      <c r="O283" s="510"/>
      <c r="P283" s="510"/>
      <c r="Q283" s="522"/>
      <c r="R283" s="510"/>
      <c r="S283" s="510"/>
      <c r="T283" s="510"/>
      <c r="U283" s="510"/>
      <c r="V283" s="522"/>
      <c r="W283" s="510"/>
      <c r="X283" s="510"/>
      <c r="Y283" s="510"/>
      <c r="Z283" s="510"/>
      <c r="AA283" s="522"/>
      <c r="AB283" s="510"/>
      <c r="AC283" s="510"/>
      <c r="AD283" s="510"/>
      <c r="AE283" s="510"/>
      <c r="AF283" s="522"/>
      <c r="AG283" s="510"/>
      <c r="AH283" s="510"/>
      <c r="AI283" s="510"/>
      <c r="AJ283" s="510"/>
      <c r="AK283" s="517"/>
      <c r="AL283" s="516"/>
      <c r="AM283" s="516"/>
      <c r="AN283" s="516"/>
      <c r="AO283" s="516"/>
      <c r="AP283" s="517">
        <v>-1E-3</v>
      </c>
      <c r="AQ283" s="516"/>
      <c r="AR283" s="516"/>
      <c r="AS283" s="516"/>
      <c r="AT283" s="516"/>
      <c r="AU283" s="517">
        <v>8.0000000000000002E-3</v>
      </c>
      <c r="AZ283" s="490">
        <v>8.0000000000000002E-3</v>
      </c>
      <c r="BA283" s="516">
        <f>BE283</f>
        <v>8.0000000000000002E-3</v>
      </c>
      <c r="BB283" s="516">
        <f>BE283</f>
        <v>8.0000000000000002E-3</v>
      </c>
      <c r="BC283" s="516">
        <f>BE283</f>
        <v>8.0000000000000002E-3</v>
      </c>
      <c r="BD283" s="516">
        <f>BE283</f>
        <v>8.0000000000000002E-3</v>
      </c>
      <c r="BE283" s="490">
        <f>AZ283</f>
        <v>8.0000000000000002E-3</v>
      </c>
      <c r="BF283" s="516">
        <f>BJ283</f>
        <v>8.0000000000000002E-3</v>
      </c>
      <c r="BG283" s="516">
        <f>BJ283</f>
        <v>8.0000000000000002E-3</v>
      </c>
      <c r="BH283" s="516">
        <f>BJ283</f>
        <v>8.0000000000000002E-3</v>
      </c>
      <c r="BI283" s="516">
        <f>BJ283</f>
        <v>8.0000000000000002E-3</v>
      </c>
      <c r="BJ283" s="490">
        <f>BE283</f>
        <v>8.0000000000000002E-3</v>
      </c>
      <c r="BK283" s="516">
        <f>BO283</f>
        <v>8.0000000000000002E-3</v>
      </c>
      <c r="BL283" s="516">
        <f>BO283</f>
        <v>8.0000000000000002E-3</v>
      </c>
      <c r="BM283" s="516">
        <f>BO283</f>
        <v>8.0000000000000002E-3</v>
      </c>
      <c r="BN283" s="516">
        <f>BO283</f>
        <v>8.0000000000000002E-3</v>
      </c>
      <c r="BO283" s="490">
        <f>BJ283</f>
        <v>8.0000000000000002E-3</v>
      </c>
      <c r="BP283" s="516">
        <f>BT283</f>
        <v>8.0000000000000002E-3</v>
      </c>
      <c r="BQ283" s="516">
        <f>BT283</f>
        <v>8.0000000000000002E-3</v>
      </c>
      <c r="BR283" s="516">
        <f>BT283</f>
        <v>8.0000000000000002E-3</v>
      </c>
      <c r="BS283" s="516">
        <f>BT283</f>
        <v>8.0000000000000002E-3</v>
      </c>
      <c r="BT283" s="490">
        <f>BO283</f>
        <v>8.0000000000000002E-3</v>
      </c>
      <c r="BU283" s="516">
        <f>BY283</f>
        <v>8.0000000000000002E-3</v>
      </c>
      <c r="BV283" s="516">
        <f>BY283</f>
        <v>8.0000000000000002E-3</v>
      </c>
      <c r="BW283" s="516">
        <f>BY283</f>
        <v>8.0000000000000002E-3</v>
      </c>
      <c r="BX283" s="516">
        <f>BY283</f>
        <v>8.0000000000000002E-3</v>
      </c>
      <c r="BY283" s="490">
        <f>BT283</f>
        <v>8.0000000000000002E-3</v>
      </c>
      <c r="BZ283" s="516">
        <f>CD283</f>
        <v>8.0000000000000002E-3</v>
      </c>
      <c r="CA283" s="516">
        <f>CD283</f>
        <v>8.0000000000000002E-3</v>
      </c>
      <c r="CB283" s="516">
        <f>CD283</f>
        <v>8.0000000000000002E-3</v>
      </c>
      <c r="CC283" s="516">
        <f>CD283</f>
        <v>8.0000000000000002E-3</v>
      </c>
      <c r="CD283" s="490">
        <f>BY283</f>
        <v>8.0000000000000002E-3</v>
      </c>
      <c r="CE283" s="518"/>
    </row>
    <row r="284" spans="1:91" ht="13.5" hidden="1" customHeight="1" outlineLevel="1">
      <c r="A284" s="520"/>
      <c r="B284" s="521" t="s">
        <v>258</v>
      </c>
      <c r="C284" s="510"/>
      <c r="D284" s="510"/>
      <c r="E284" s="510"/>
      <c r="F284" s="510"/>
      <c r="G284" s="510"/>
      <c r="H284" s="510"/>
      <c r="I284" s="510"/>
      <c r="J284" s="510"/>
      <c r="K284" s="510"/>
      <c r="L284" s="510"/>
      <c r="M284" s="510"/>
      <c r="N284" s="510"/>
      <c r="O284" s="510"/>
      <c r="P284" s="510"/>
      <c r="Q284" s="510"/>
      <c r="R284" s="510"/>
      <c r="S284" s="510"/>
      <c r="T284" s="510"/>
      <c r="U284" s="510"/>
      <c r="V284" s="510"/>
      <c r="W284" s="510"/>
      <c r="X284" s="510"/>
      <c r="Y284" s="510"/>
      <c r="Z284" s="510"/>
      <c r="AA284" s="510"/>
      <c r="AB284" s="510"/>
      <c r="AC284" s="510"/>
      <c r="AD284" s="510"/>
      <c r="AE284" s="510"/>
      <c r="AF284" s="510"/>
      <c r="AG284" s="510"/>
      <c r="AH284" s="510"/>
      <c r="AI284" s="510"/>
      <c r="AJ284" s="510"/>
      <c r="AK284" s="517"/>
      <c r="AL284" s="516"/>
      <c r="AM284" s="516"/>
      <c r="AN284" s="516"/>
      <c r="AO284" s="516"/>
      <c r="AP284" s="517">
        <v>0.35</v>
      </c>
      <c r="AQ284" s="516"/>
      <c r="AR284" s="516"/>
      <c r="AS284" s="516"/>
      <c r="AT284" s="516"/>
      <c r="AU284" s="517">
        <v>0.35</v>
      </c>
      <c r="AZ284" s="490">
        <v>0.35</v>
      </c>
      <c r="BA284" s="516">
        <f>BE284</f>
        <v>0.35</v>
      </c>
      <c r="BB284" s="516">
        <f>BE284</f>
        <v>0.35</v>
      </c>
      <c r="BC284" s="516">
        <f>BE284</f>
        <v>0.35</v>
      </c>
      <c r="BD284" s="516">
        <f>BE284</f>
        <v>0.35</v>
      </c>
      <c r="BE284" s="490">
        <f>AZ284</f>
        <v>0.35</v>
      </c>
      <c r="BF284" s="516">
        <f>BJ284</f>
        <v>0.35</v>
      </c>
      <c r="BG284" s="516">
        <f>BJ284</f>
        <v>0.35</v>
      </c>
      <c r="BH284" s="516">
        <f>BJ284</f>
        <v>0.35</v>
      </c>
      <c r="BI284" s="516">
        <f>BJ284</f>
        <v>0.35</v>
      </c>
      <c r="BJ284" s="490">
        <f>BE284</f>
        <v>0.35</v>
      </c>
      <c r="BK284" s="516">
        <f>BO284</f>
        <v>0.35</v>
      </c>
      <c r="BL284" s="516">
        <f>BO284</f>
        <v>0.35</v>
      </c>
      <c r="BM284" s="516">
        <f>BO284</f>
        <v>0.35</v>
      </c>
      <c r="BN284" s="516">
        <f>BO284</f>
        <v>0.35</v>
      </c>
      <c r="BO284" s="490">
        <f>BJ284</f>
        <v>0.35</v>
      </c>
      <c r="BP284" s="516">
        <f>BT284</f>
        <v>0.35</v>
      </c>
      <c r="BQ284" s="516">
        <f>BT284</f>
        <v>0.35</v>
      </c>
      <c r="BR284" s="516">
        <f>BT284</f>
        <v>0.35</v>
      </c>
      <c r="BS284" s="516">
        <f>BT284</f>
        <v>0.35</v>
      </c>
      <c r="BT284" s="490">
        <f>BO284</f>
        <v>0.35</v>
      </c>
      <c r="BU284" s="516">
        <f>BY284</f>
        <v>0.35</v>
      </c>
      <c r="BV284" s="516">
        <f>BY284</f>
        <v>0.35</v>
      </c>
      <c r="BW284" s="516">
        <f>BY284</f>
        <v>0.35</v>
      </c>
      <c r="BX284" s="516">
        <f>BY284</f>
        <v>0.35</v>
      </c>
      <c r="BY284" s="490">
        <f>BT284</f>
        <v>0.35</v>
      </c>
      <c r="BZ284" s="516">
        <f>CD284</f>
        <v>0.35</v>
      </c>
      <c r="CA284" s="516">
        <f>CD284</f>
        <v>0.35</v>
      </c>
      <c r="CB284" s="516">
        <f>CD284</f>
        <v>0.35</v>
      </c>
      <c r="CC284" s="516">
        <f>CD284</f>
        <v>0.35</v>
      </c>
      <c r="CD284" s="490">
        <f>BY284</f>
        <v>0.35</v>
      </c>
      <c r="CE284" s="518"/>
    </row>
    <row r="285" spans="1:91" ht="13.5" hidden="1" customHeight="1" outlineLevel="1">
      <c r="A285" s="523"/>
      <c r="B285" s="519" t="s">
        <v>259</v>
      </c>
      <c r="AK285" s="524"/>
      <c r="AL285" s="461"/>
      <c r="AM285" s="461"/>
      <c r="AN285" s="461"/>
      <c r="AO285" s="461"/>
      <c r="AP285" s="524" t="s">
        <v>165</v>
      </c>
      <c r="AQ285" s="461"/>
      <c r="AR285" s="461"/>
      <c r="AS285" s="461"/>
      <c r="AT285" s="461"/>
      <c r="AU285" s="524" t="s">
        <v>165</v>
      </c>
      <c r="AZ285" s="524" t="s">
        <v>165</v>
      </c>
      <c r="BA285" s="524" t="s">
        <v>165</v>
      </c>
      <c r="BB285" s="524" t="s">
        <v>165</v>
      </c>
      <c r="BC285" s="524" t="s">
        <v>165</v>
      </c>
      <c r="BD285" s="524" t="s">
        <v>165</v>
      </c>
      <c r="BE285" s="524" t="s">
        <v>165</v>
      </c>
      <c r="BF285" s="524" t="s">
        <v>165</v>
      </c>
      <c r="BG285" s="524" t="s">
        <v>165</v>
      </c>
      <c r="BH285" s="524" t="s">
        <v>165</v>
      </c>
      <c r="BI285" s="524" t="s">
        <v>165</v>
      </c>
      <c r="BJ285" s="524" t="s">
        <v>165</v>
      </c>
      <c r="BK285" s="524" t="s">
        <v>165</v>
      </c>
      <c r="BL285" s="524" t="s">
        <v>165</v>
      </c>
      <c r="BM285" s="524" t="s">
        <v>165</v>
      </c>
      <c r="BN285" s="524" t="s">
        <v>165</v>
      </c>
      <c r="BO285" s="524" t="s">
        <v>165</v>
      </c>
      <c r="BP285" s="524" t="s">
        <v>165</v>
      </c>
      <c r="BQ285" s="524" t="s">
        <v>165</v>
      </c>
      <c r="BR285" s="524" t="s">
        <v>165</v>
      </c>
      <c r="BS285" s="524" t="s">
        <v>165</v>
      </c>
      <c r="BT285" s="524" t="s">
        <v>165</v>
      </c>
      <c r="BU285" s="524" t="s">
        <v>165</v>
      </c>
      <c r="BV285" s="524" t="s">
        <v>165</v>
      </c>
      <c r="BW285" s="524" t="s">
        <v>165</v>
      </c>
      <c r="BX285" s="524" t="s">
        <v>165</v>
      </c>
      <c r="BY285" s="524" t="s">
        <v>165</v>
      </c>
      <c r="BZ285" s="524" t="s">
        <v>165</v>
      </c>
      <c r="CA285" s="524" t="s">
        <v>165</v>
      </c>
      <c r="CB285" s="524" t="s">
        <v>165</v>
      </c>
      <c r="CC285" s="524" t="s">
        <v>165</v>
      </c>
      <c r="CD285" s="524" t="s">
        <v>165</v>
      </c>
      <c r="CE285" s="523"/>
    </row>
    <row r="286" spans="1:91" ht="13.5" hidden="1" customHeight="1" outlineLevel="1">
      <c r="A286" s="523"/>
      <c r="B286" s="519" t="s">
        <v>260</v>
      </c>
      <c r="C286" s="160"/>
      <c r="D286" s="160"/>
      <c r="E286" s="160"/>
      <c r="F286" s="160"/>
      <c r="G286" s="160"/>
      <c r="H286" s="160"/>
      <c r="I286" s="160"/>
      <c r="J286" s="160"/>
      <c r="K286" s="160"/>
      <c r="L286" s="160"/>
      <c r="M286" s="160"/>
      <c r="N286" s="160"/>
      <c r="O286" s="160"/>
      <c r="P286" s="160"/>
      <c r="Q286" s="160"/>
      <c r="R286" s="160"/>
      <c r="S286" s="160"/>
      <c r="T286" s="160"/>
      <c r="U286" s="160"/>
      <c r="V286" s="160"/>
      <c r="W286" s="160"/>
      <c r="X286" s="160"/>
      <c r="Y286" s="160"/>
      <c r="Z286" s="160"/>
      <c r="AA286" s="160"/>
      <c r="AB286" s="160"/>
      <c r="AC286" s="160"/>
      <c r="AD286" s="160"/>
      <c r="AE286" s="160"/>
      <c r="AF286" s="160"/>
      <c r="AG286" s="160"/>
      <c r="AH286" s="160"/>
      <c r="AI286" s="160"/>
      <c r="AJ286" s="160"/>
      <c r="AK286" s="461"/>
      <c r="AL286" s="461"/>
      <c r="AM286" s="461"/>
      <c r="AN286" s="461"/>
      <c r="AO286" s="461"/>
      <c r="AP286" s="461">
        <f>AP135-AP111</f>
        <v>-278.10489014883063</v>
      </c>
      <c r="AQ286" s="461"/>
      <c r="AR286" s="461"/>
      <c r="AS286" s="461"/>
      <c r="AT286" s="461"/>
      <c r="AU286" s="461">
        <f t="shared" ref="AU286:CD286" si="196">AU135-AU111</f>
        <v>603.657047772233</v>
      </c>
      <c r="AV286" s="160"/>
      <c r="AW286" s="160"/>
      <c r="AX286" s="160"/>
      <c r="AY286" s="160"/>
      <c r="AZ286" s="461">
        <v>-70.871516489014709</v>
      </c>
      <c r="BA286" s="461">
        <f t="shared" si="196"/>
        <v>-25.789855072463766</v>
      </c>
      <c r="BB286" s="461">
        <f t="shared" si="196"/>
        <v>-21.054003724394789</v>
      </c>
      <c r="BC286" s="461">
        <f t="shared" si="196"/>
        <v>-23.280876494023907</v>
      </c>
      <c r="BD286" s="461">
        <f t="shared" si="196"/>
        <v>-13.541401273885342</v>
      </c>
      <c r="BE286" s="461">
        <f t="shared" si="196"/>
        <v>-83.666136564767839</v>
      </c>
      <c r="BF286" s="461">
        <f t="shared" si="196"/>
        <v>-35.766153846153841</v>
      </c>
      <c r="BG286" s="461">
        <f t="shared" si="196"/>
        <v>-51.349112426035504</v>
      </c>
      <c r="BH286" s="461">
        <f t="shared" si="196"/>
        <v>-9.6795252225519306</v>
      </c>
      <c r="BI286" s="461">
        <f t="shared" si="196"/>
        <v>128.55314009661836</v>
      </c>
      <c r="BJ286" s="461">
        <f t="shared" si="196"/>
        <v>31.75834860187706</v>
      </c>
      <c r="BK286" s="461">
        <f t="shared" si="196"/>
        <v>-70.831553973902729</v>
      </c>
      <c r="BL286" s="461">
        <f t="shared" si="196"/>
        <v>14.452143980481623</v>
      </c>
      <c r="BM286" s="461">
        <f t="shared" si="196"/>
        <v>13.331862232517651</v>
      </c>
      <c r="BN286" s="461">
        <f t="shared" si="196"/>
        <v>18.195504651141221</v>
      </c>
      <c r="BO286" s="461">
        <f t="shared" si="196"/>
        <v>-24.852043109762235</v>
      </c>
      <c r="BP286" s="461">
        <f t="shared" si="196"/>
        <v>7.0427773904215485</v>
      </c>
      <c r="BQ286" s="461">
        <f t="shared" si="196"/>
        <v>7.58595690649841</v>
      </c>
      <c r="BR286" s="461">
        <f t="shared" si="196"/>
        <v>7.5091931712528606</v>
      </c>
      <c r="BS286" s="461">
        <f t="shared" si="196"/>
        <v>10.565445617156996</v>
      </c>
      <c r="BT286" s="461">
        <f t="shared" si="196"/>
        <v>32.703373085329872</v>
      </c>
      <c r="BU286" s="461">
        <f t="shared" si="196"/>
        <v>5.035258791036</v>
      </c>
      <c r="BV286" s="461">
        <f t="shared" si="196"/>
        <v>5.5616654835613133</v>
      </c>
      <c r="BW286" s="461">
        <f t="shared" si="196"/>
        <v>5.2958172470689533</v>
      </c>
      <c r="BX286" s="461">
        <f t="shared" si="196"/>
        <v>7.8233480460721694</v>
      </c>
      <c r="BY286" s="461">
        <f t="shared" si="196"/>
        <v>23.716089567738436</v>
      </c>
      <c r="BZ286" s="461">
        <f t="shared" si="196"/>
        <v>1.9658690921453115</v>
      </c>
      <c r="CA286" s="461">
        <f t="shared" si="196"/>
        <v>2.3126754169423123</v>
      </c>
      <c r="CB286" s="461">
        <f t="shared" si="196"/>
        <v>2.3021861613228509</v>
      </c>
      <c r="CC286" s="461">
        <f t="shared" si="196"/>
        <v>3.8941176562380519</v>
      </c>
      <c r="CD286" s="461">
        <f t="shared" si="196"/>
        <v>10.474848326648498</v>
      </c>
      <c r="CE286" s="523"/>
      <c r="CL286" s="160"/>
      <c r="CM286" s="160"/>
    </row>
    <row r="287" spans="1:91" ht="13.5" hidden="1" customHeight="1" outlineLevel="1">
      <c r="A287" s="523"/>
      <c r="B287" s="519" t="s">
        <v>261</v>
      </c>
      <c r="AK287" s="461"/>
      <c r="AL287" s="461"/>
      <c r="AM287" s="461"/>
      <c r="AN287" s="461"/>
      <c r="AO287" s="461"/>
      <c r="AP287" s="461">
        <f>AP195+AP196+AP164</f>
        <v>253</v>
      </c>
      <c r="AQ287" s="461"/>
      <c r="AR287" s="461"/>
      <c r="AS287" s="461"/>
      <c r="AT287" s="461"/>
      <c r="AU287" s="461">
        <f>AU195+AU196+AU164</f>
        <v>299</v>
      </c>
      <c r="AZ287" s="461">
        <v>421</v>
      </c>
      <c r="BA287" s="461">
        <f t="shared" ref="BA287:CD287" si="197">BA195+BA196+BA164</f>
        <v>-495</v>
      </c>
      <c r="BB287" s="461">
        <f t="shared" si="197"/>
        <v>-138</v>
      </c>
      <c r="BC287" s="461">
        <f t="shared" si="197"/>
        <v>59</v>
      </c>
      <c r="BD287" s="461">
        <f t="shared" si="197"/>
        <v>103</v>
      </c>
      <c r="BE287" s="461">
        <f t="shared" si="197"/>
        <v>-471</v>
      </c>
      <c r="BF287" s="461">
        <f t="shared" si="197"/>
        <v>-360</v>
      </c>
      <c r="BG287" s="461">
        <f t="shared" si="197"/>
        <v>161</v>
      </c>
      <c r="BH287" s="461">
        <f t="shared" si="197"/>
        <v>107</v>
      </c>
      <c r="BI287" s="461">
        <f t="shared" si="197"/>
        <v>-37</v>
      </c>
      <c r="BJ287" s="461">
        <f t="shared" si="197"/>
        <v>-129</v>
      </c>
      <c r="BK287" s="461">
        <f t="shared" si="197"/>
        <v>-1607</v>
      </c>
      <c r="BL287" s="461">
        <f t="shared" si="197"/>
        <v>-150.11599825518954</v>
      </c>
      <c r="BM287" s="461">
        <f t="shared" si="197"/>
        <v>-160.51919074328896</v>
      </c>
      <c r="BN287" s="461">
        <f t="shared" si="197"/>
        <v>-122.59847807902338</v>
      </c>
      <c r="BO287" s="461">
        <f t="shared" si="197"/>
        <v>-2040.2336670775019</v>
      </c>
      <c r="BP287" s="461">
        <f t="shared" si="197"/>
        <v>-155.04742696430668</v>
      </c>
      <c r="BQ287" s="461">
        <f t="shared" si="197"/>
        <v>-145.34138913511751</v>
      </c>
      <c r="BR287" s="461">
        <f t="shared" si="197"/>
        <v>-137.99482062812575</v>
      </c>
      <c r="BS287" s="461">
        <f t="shared" si="197"/>
        <v>-96.330714997780035</v>
      </c>
      <c r="BT287" s="461">
        <f t="shared" si="197"/>
        <v>-534.71435172532983</v>
      </c>
      <c r="BU287" s="461">
        <f t="shared" si="197"/>
        <v>-206.47193517846426</v>
      </c>
      <c r="BV287" s="461">
        <f t="shared" si="197"/>
        <v>-193.74998349597041</v>
      </c>
      <c r="BW287" s="461">
        <f t="shared" si="197"/>
        <v>-190.34634307660741</v>
      </c>
      <c r="BX287" s="461">
        <f t="shared" si="197"/>
        <v>-139.82450505464442</v>
      </c>
      <c r="BY287" s="461">
        <f t="shared" si="197"/>
        <v>-730.39276680568628</v>
      </c>
      <c r="BZ287" s="461">
        <f t="shared" si="197"/>
        <v>-181.86205012973028</v>
      </c>
      <c r="CA287" s="461">
        <f t="shared" si="197"/>
        <v>-167.51212330169756</v>
      </c>
      <c r="CB287" s="461">
        <f t="shared" si="197"/>
        <v>-161.55164787546551</v>
      </c>
      <c r="CC287" s="461">
        <f t="shared" si="197"/>
        <v>-105.72650413389948</v>
      </c>
      <c r="CD287" s="461">
        <f t="shared" si="197"/>
        <v>-616.65232544079277</v>
      </c>
      <c r="CE287" s="523"/>
    </row>
    <row r="288" spans="1:91" ht="13.5" customHeight="1" collapsed="1"/>
  </sheetData>
  <pageMargins left="0.4" right="0.17" top="0.48" bottom="0.19" header="0.13" footer="0.14000000000000001"/>
  <pageSetup scale="38" fitToHeight="3" orientation="landscape" r:id="rId1"/>
  <headerFooter alignWithMargins="0"/>
  <rowBreaks count="1" manualBreakCount="1">
    <brk id="152" max="16383" man="1"/>
  </rowBreaks>
  <ignoredErrors>
    <ignoredError sqref="BJ20:BJ29 BJ37:BJ66 BI43 BJ101 BJ108:BJ123 BJ88 BJ161:BO161 BJ225:BJ245 BJ196:BJ202 BJ141:BO141 BJ151:BO156 BJ150:BO150 BI150 BQ149:BS149 BO181 BO196:BO201 BI50 BI57 BO221:BO223 BJ221:BJ223 AU123:AU132 BO20:BO27 BO37:BO60 BJ180 BM180:BO180 BJ149 BL149:BO149 BT37:BT60 BY20:BY64 AU134:AU135 BJ144:BO148 BJ142:BJ143 BL142:BO143 BJ160 BL160:BO160 BJ166:BO166 BJ162 BM162:BO162 BJ163 BM163:BO163 BJ164 BL164:BO164 BJ165 BL165:BO165 BJ168:BO168 BJ167 BM167:BN167 BJ170:BO170 BJ169 BM169:BO169 BJ174:BO174 BJ171 BL171:BO171 BJ172 BL172:BO172 BJ173 BM173:BO173 BJ178:BO179 BJ175 BM175:BO175 BJ176 BL176:BO176 BO80:BO123 BJ177:BK177 BM177:BN177 BO225:BO234 BO224 BO235:BO254" formula="1"/>
  </ignoredErrors>
  <drawing r:id="rId2"/>
  <legacyDrawing r:id="rId3"/>
  <controls>
    <mc:AlternateContent xmlns:mc="http://schemas.openxmlformats.org/markup-compatibility/2006">
      <mc:Choice Requires="x14">
        <control shapeId="2049" r:id="rId4" name="ComboBox1">
          <controlPr defaultSize="0" autoLine="0" autoPict="0" linkedCell="DCF!$A$5" listFillRange="DCF!$A$2:$A$4" r:id="rId5">
            <anchor>
              <from>
                <xdr:col>1</xdr:col>
                <xdr:colOff>723900</xdr:colOff>
                <xdr:row>0</xdr:row>
                <xdr:rowOff>123825</xdr:rowOff>
              </from>
              <to>
                <xdr:col>1</xdr:col>
                <xdr:colOff>2657475</xdr:colOff>
                <xdr:row>2</xdr:row>
                <xdr:rowOff>114300</xdr:rowOff>
              </to>
            </anchor>
          </controlPr>
        </control>
      </mc:Choice>
      <mc:Fallback>
        <control shapeId="2049" r:id="rId4" name="ComboBox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3"/>
    <pageSetUpPr fitToPage="1"/>
  </sheetPr>
  <dimension ref="A1:CJ293"/>
  <sheetViews>
    <sheetView showGridLines="0" zoomScale="85" zoomScaleNormal="85" zoomScaleSheetLayoutView="85" workbookViewId="0">
      <pane xSplit="2" ySplit="4" topLeftCell="AP5" activePane="bottomRight" state="frozen"/>
      <selection activeCell="I43" sqref="I43"/>
      <selection pane="topRight" activeCell="I43" sqref="I43"/>
      <selection pane="bottomLeft" activeCell="I43" sqref="I43"/>
      <selection pane="bottomRight"/>
    </sheetView>
  </sheetViews>
  <sheetFormatPr defaultRowHeight="12.75" outlineLevelRow="1" outlineLevelCol="1"/>
  <cols>
    <col min="1" max="1" width="1.85546875" customWidth="1"/>
    <col min="2" max="2" width="47.7109375" customWidth="1"/>
    <col min="3" max="6" width="10.7109375" hidden="1" customWidth="1" outlineLevel="1"/>
    <col min="7" max="7" width="10.7109375" hidden="1" customWidth="1" collapsed="1"/>
    <col min="8" max="11" width="10.7109375" hidden="1" customWidth="1" outlineLevel="1"/>
    <col min="12" max="12" width="10.7109375" hidden="1" customWidth="1" collapsed="1"/>
    <col min="13" max="16" width="10.7109375" hidden="1" customWidth="1" outlineLevel="1"/>
    <col min="17" max="17" width="10.7109375" hidden="1" customWidth="1" collapsed="1"/>
    <col min="18" max="21" width="10.7109375" hidden="1" customWidth="1" outlineLevel="1"/>
    <col min="22" max="22" width="10.7109375" hidden="1" customWidth="1" collapsed="1"/>
    <col min="23" max="26" width="10.7109375" hidden="1" customWidth="1" outlineLevel="1"/>
    <col min="27" max="27" width="10.7109375" hidden="1" customWidth="1" collapsed="1"/>
    <col min="28" max="31" width="10.7109375" hidden="1" customWidth="1" outlineLevel="1"/>
    <col min="32" max="32" width="10.7109375" hidden="1" customWidth="1" collapsed="1"/>
    <col min="33" max="36" width="10.7109375" hidden="1" customWidth="1" outlineLevel="1"/>
    <col min="37" max="37" width="10.7109375" hidden="1" customWidth="1" collapsed="1"/>
    <col min="38" max="41" width="10.7109375" hidden="1" customWidth="1" outlineLevel="1"/>
    <col min="42" max="42" width="10.85546875" customWidth="1" collapsed="1"/>
    <col min="43" max="46" width="10.7109375" hidden="1" customWidth="1" outlineLevel="1"/>
    <col min="47" max="47" width="10.85546875" customWidth="1" collapsed="1"/>
    <col min="48" max="51" width="10.7109375" hidden="1" customWidth="1" outlineLevel="1"/>
    <col min="52" max="52" width="10.85546875" customWidth="1" collapsed="1"/>
    <col min="53" max="56" width="10.7109375" customWidth="1" outlineLevel="1"/>
    <col min="57" max="57" width="10.85546875" customWidth="1"/>
    <col min="58" max="61" width="10.7109375" customWidth="1" outlineLevel="1"/>
    <col min="62" max="62" width="10.85546875" customWidth="1"/>
    <col min="63" max="66" width="9.85546875" customWidth="1" outlineLevel="1"/>
    <col min="67" max="67" width="9.85546875" customWidth="1"/>
    <col min="68" max="71" width="9.85546875" customWidth="1" outlineLevel="1"/>
    <col min="72" max="72" width="9.85546875" customWidth="1"/>
    <col min="73" max="76" width="9.85546875" customWidth="1" outlineLevel="1"/>
    <col min="77" max="77" width="9.85546875" customWidth="1"/>
    <col min="78" max="81" width="9.85546875" customWidth="1" outlineLevel="1"/>
    <col min="82" max="82" width="11.5703125" customWidth="1"/>
  </cols>
  <sheetData>
    <row r="1" spans="1:83" ht="18">
      <c r="A1" s="525"/>
      <c r="B1" s="526" t="s">
        <v>262</v>
      </c>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527"/>
      <c r="AQ1" s="115"/>
      <c r="AR1" s="115"/>
      <c r="AS1" s="115"/>
      <c r="AT1" s="115"/>
      <c r="AU1" s="318"/>
      <c r="AV1" s="115"/>
      <c r="AW1" s="528"/>
      <c r="AX1" s="528"/>
      <c r="AY1" s="528"/>
      <c r="AZ1" s="528"/>
      <c r="BA1" s="528"/>
      <c r="BB1" s="528"/>
      <c r="BC1" s="528"/>
      <c r="BD1" s="528"/>
      <c r="BE1" s="100"/>
      <c r="BF1" s="107"/>
      <c r="BG1" s="528"/>
      <c r="BH1" s="528"/>
      <c r="BI1" s="528"/>
      <c r="BJ1" s="529"/>
      <c r="BK1" s="525"/>
      <c r="BL1" s="525"/>
      <c r="BM1" s="525"/>
      <c r="BN1" s="527"/>
      <c r="BO1" s="310"/>
      <c r="BP1" s="525"/>
      <c r="BQ1" s="525"/>
      <c r="BR1" s="1276"/>
      <c r="BS1" s="525"/>
      <c r="BT1" s="527"/>
      <c r="BU1" s="525"/>
      <c r="BV1" s="525"/>
      <c r="BW1" s="525"/>
      <c r="BX1" s="525"/>
      <c r="BY1" s="527"/>
      <c r="BZ1" s="525"/>
      <c r="CA1" s="525"/>
      <c r="CB1" s="525"/>
      <c r="CC1" s="525"/>
      <c r="CD1" s="527"/>
      <c r="CE1" s="525"/>
    </row>
    <row r="2" spans="1:83">
      <c r="A2" s="113"/>
      <c r="B2" s="93" t="s">
        <v>115</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107"/>
      <c r="AQ2" s="107"/>
      <c r="AR2" s="107"/>
      <c r="AS2" s="107"/>
      <c r="AT2" s="107"/>
      <c r="AU2" s="107"/>
      <c r="AV2" s="107"/>
      <c r="AW2" s="347"/>
      <c r="AX2" s="347"/>
      <c r="AY2" s="347"/>
      <c r="AZ2" s="347"/>
      <c r="BA2" s="347"/>
      <c r="BB2" s="347"/>
      <c r="BC2" s="347"/>
      <c r="BD2" s="347"/>
      <c r="BE2" s="530"/>
      <c r="BF2" s="347"/>
      <c r="BG2" s="347"/>
      <c r="BH2" s="347"/>
      <c r="BI2" s="347"/>
      <c r="BJ2" s="531"/>
      <c r="BK2" s="99"/>
      <c r="BL2" s="105"/>
      <c r="BM2" s="99"/>
      <c r="BN2" s="99"/>
      <c r="BO2" s="99"/>
      <c r="BP2" s="99"/>
      <c r="BQ2" s="99"/>
      <c r="BR2" s="99"/>
      <c r="BS2" s="99"/>
      <c r="BT2" s="99"/>
      <c r="BU2" s="99"/>
      <c r="BV2" s="99"/>
      <c r="BW2" s="99"/>
      <c r="BX2" s="99"/>
      <c r="BY2" s="99"/>
      <c r="BZ2" s="99"/>
      <c r="CA2" s="99"/>
      <c r="CB2" s="99"/>
      <c r="CC2" s="99"/>
      <c r="CD2" s="99"/>
      <c r="CE2" s="99"/>
    </row>
    <row r="3" spans="1:83">
      <c r="A3" s="113"/>
      <c r="B3" s="104" t="s">
        <v>8</v>
      </c>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532"/>
      <c r="BL3" s="92"/>
      <c r="BM3" s="92"/>
      <c r="BN3" s="92"/>
      <c r="BO3" s="92"/>
      <c r="BP3" s="92"/>
      <c r="BQ3" s="92"/>
      <c r="BR3" s="92"/>
      <c r="BS3" s="92"/>
      <c r="BT3" s="92"/>
      <c r="BU3" s="92"/>
      <c r="BV3" s="92"/>
      <c r="BW3" s="92"/>
      <c r="BX3" s="92"/>
      <c r="BY3" s="92"/>
      <c r="BZ3" s="92"/>
      <c r="CA3" s="92"/>
      <c r="CB3" s="92"/>
      <c r="CC3" s="92"/>
      <c r="CD3" s="92"/>
      <c r="CE3" s="92"/>
    </row>
    <row r="4" spans="1:83">
      <c r="A4" s="113"/>
      <c r="B4" s="108"/>
      <c r="C4" s="109" t="s">
        <v>40</v>
      </c>
      <c r="D4" s="109" t="s">
        <v>41</v>
      </c>
      <c r="E4" s="109" t="s">
        <v>42</v>
      </c>
      <c r="F4" s="109" t="s">
        <v>43</v>
      </c>
      <c r="G4" s="110" t="s">
        <v>44</v>
      </c>
      <c r="H4" s="109" t="s">
        <v>45</v>
      </c>
      <c r="I4" s="109" t="s">
        <v>46</v>
      </c>
      <c r="J4" s="109" t="s">
        <v>47</v>
      </c>
      <c r="K4" s="109" t="s">
        <v>48</v>
      </c>
      <c r="L4" s="110" t="s">
        <v>49</v>
      </c>
      <c r="M4" s="109" t="s">
        <v>50</v>
      </c>
      <c r="N4" s="109" t="s">
        <v>51</v>
      </c>
      <c r="O4" s="109" t="s">
        <v>52</v>
      </c>
      <c r="P4" s="109" t="s">
        <v>53</v>
      </c>
      <c r="Q4" s="110" t="s">
        <v>54</v>
      </c>
      <c r="R4" s="109" t="s">
        <v>55</v>
      </c>
      <c r="S4" s="109" t="s">
        <v>56</v>
      </c>
      <c r="T4" s="109" t="s">
        <v>57</v>
      </c>
      <c r="U4" s="109" t="s">
        <v>58</v>
      </c>
      <c r="V4" s="110" t="s">
        <v>59</v>
      </c>
      <c r="W4" s="109" t="s">
        <v>60</v>
      </c>
      <c r="X4" s="109" t="s">
        <v>61</v>
      </c>
      <c r="Y4" s="109" t="s">
        <v>62</v>
      </c>
      <c r="Z4" s="109" t="s">
        <v>63</v>
      </c>
      <c r="AA4" s="110" t="s">
        <v>64</v>
      </c>
      <c r="AB4" s="109" t="s">
        <v>65</v>
      </c>
      <c r="AC4" s="109" t="s">
        <v>66</v>
      </c>
      <c r="AD4" s="109" t="s">
        <v>67</v>
      </c>
      <c r="AE4" s="109" t="s">
        <v>68</v>
      </c>
      <c r="AF4" s="110" t="s">
        <v>69</v>
      </c>
      <c r="AG4" s="109" t="s">
        <v>70</v>
      </c>
      <c r="AH4" s="109" t="s">
        <v>71</v>
      </c>
      <c r="AI4" s="109" t="s">
        <v>72</v>
      </c>
      <c r="AJ4" s="109" t="s">
        <v>73</v>
      </c>
      <c r="AK4" s="110" t="str">
        <f>'Quarterly Model'!AK3</f>
        <v>2012A</v>
      </c>
      <c r="AL4" s="109" t="s">
        <v>75</v>
      </c>
      <c r="AM4" s="109" t="s">
        <v>76</v>
      </c>
      <c r="AN4" s="109" t="s">
        <v>77</v>
      </c>
      <c r="AO4" s="109" t="s">
        <v>78</v>
      </c>
      <c r="AP4" s="110" t="str">
        <f>'Quarterly Model'!AP3</f>
        <v>2013A</v>
      </c>
      <c r="AQ4" s="109" t="str">
        <f>'Quarterly Model'!AQ3</f>
        <v>1Q14A</v>
      </c>
      <c r="AR4" s="109" t="str">
        <f>'Quarterly Model'!AR3</f>
        <v>2Q14A</v>
      </c>
      <c r="AS4" s="109" t="str">
        <f>'Quarterly Model'!AS3</f>
        <v>3Q14A</v>
      </c>
      <c r="AT4" s="109" t="str">
        <f>'Quarterly Model'!AT3</f>
        <v>4Q14A</v>
      </c>
      <c r="AU4" s="110" t="str">
        <f>'Quarterly Model'!AU3</f>
        <v>2014A</v>
      </c>
      <c r="AV4" s="109" t="str">
        <f>'Quarterly Model'!AV3</f>
        <v>1Q15A</v>
      </c>
      <c r="AW4" s="109" t="str">
        <f>'Quarterly Model'!AW3</f>
        <v>2Q15A</v>
      </c>
      <c r="AX4" s="109" t="str">
        <f>'Quarterly Model'!AX3</f>
        <v>3Q15A</v>
      </c>
      <c r="AY4" s="109" t="str">
        <f>'Quarterly Model'!AY3</f>
        <v>4Q15A</v>
      </c>
      <c r="AZ4" s="110" t="str">
        <f>'Quarterly Model'!AZ3</f>
        <v>2015A</v>
      </c>
      <c r="BA4" s="109" t="str">
        <f>'Quarterly Model'!BA3</f>
        <v>1Q16A</v>
      </c>
      <c r="BB4" s="109" t="str">
        <f>'Quarterly Model'!BB3</f>
        <v>2Q16A</v>
      </c>
      <c r="BC4" s="109" t="str">
        <f>'Quarterly Model'!BC3</f>
        <v>3Q16A</v>
      </c>
      <c r="BD4" s="109" t="str">
        <f>'Quarterly Model'!BD3</f>
        <v>4Q16A</v>
      </c>
      <c r="BE4" s="110" t="str">
        <f>'Quarterly Model'!BE3</f>
        <v>2016A</v>
      </c>
      <c r="BF4" s="109" t="str">
        <f>'Quarterly Model'!BF3</f>
        <v>1Q17A</v>
      </c>
      <c r="BG4" s="109" t="str">
        <f>'Quarterly Model'!BG3</f>
        <v>2Q17A</v>
      </c>
      <c r="BH4" s="109" t="str">
        <f>'Quarterly Model'!BH3</f>
        <v>3Q17A</v>
      </c>
      <c r="BI4" s="109" t="str">
        <f>'Quarterly Model'!BI3</f>
        <v>4Q17A</v>
      </c>
      <c r="BJ4" s="110" t="str">
        <f>'Quarterly Model'!BJ3</f>
        <v>2017A</v>
      </c>
      <c r="BK4" s="109" t="str">
        <f>'Quarterly Model'!BK3</f>
        <v>1Q18A</v>
      </c>
      <c r="BL4" s="109" t="str">
        <f>'Quarterly Model'!BL3</f>
        <v>2Q18E</v>
      </c>
      <c r="BM4" s="109" t="str">
        <f>'Quarterly Model'!BM3</f>
        <v>3Q18E</v>
      </c>
      <c r="BN4" s="109" t="str">
        <f>'Quarterly Model'!BN3</f>
        <v>4Q18E</v>
      </c>
      <c r="BO4" s="110" t="str">
        <f>'Quarterly Model'!BO3</f>
        <v>2018E</v>
      </c>
      <c r="BP4" s="109" t="str">
        <f>'Quarterly Model'!BP3</f>
        <v>1Q19E</v>
      </c>
      <c r="BQ4" s="109" t="str">
        <f>'Quarterly Model'!BQ3</f>
        <v>2Q19E</v>
      </c>
      <c r="BR4" s="109" t="str">
        <f>'Quarterly Model'!BR3</f>
        <v>3Q19E</v>
      </c>
      <c r="BS4" s="109" t="str">
        <f>'Quarterly Model'!BS3</f>
        <v>4Q19E</v>
      </c>
      <c r="BT4" s="110" t="str">
        <f>'Quarterly Model'!BT3</f>
        <v>2019E</v>
      </c>
      <c r="BU4" s="109" t="str">
        <f>'Quarterly Model'!BU3</f>
        <v>1Q20E</v>
      </c>
      <c r="BV4" s="109" t="str">
        <f>'Quarterly Model'!BV3</f>
        <v>2Q20E</v>
      </c>
      <c r="BW4" s="109" t="str">
        <f>'Quarterly Model'!BW3</f>
        <v>3Q20E</v>
      </c>
      <c r="BX4" s="109" t="str">
        <f>'Quarterly Model'!BX3</f>
        <v>4Q20E</v>
      </c>
      <c r="BY4" s="110" t="str">
        <f>'Quarterly Model'!BY3</f>
        <v>2020E</v>
      </c>
      <c r="BZ4" s="109" t="str">
        <f>'Quarterly Model'!BZ3</f>
        <v>1Q21E</v>
      </c>
      <c r="CA4" s="109" t="str">
        <f>'Quarterly Model'!CA3</f>
        <v>2Q21E</v>
      </c>
      <c r="CB4" s="109" t="str">
        <f>'Quarterly Model'!CB3</f>
        <v>3Q21E</v>
      </c>
      <c r="CC4" s="109" t="str">
        <f>'Quarterly Model'!CC3</f>
        <v>4Q21E</v>
      </c>
      <c r="CD4" s="110" t="str">
        <f>'Quarterly Model'!CD3</f>
        <v>2021E</v>
      </c>
      <c r="CE4" s="92"/>
    </row>
    <row r="5" spans="1:83" ht="15.75">
      <c r="A5" s="533"/>
      <c r="B5" s="534" t="s">
        <v>263</v>
      </c>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c r="AH5" s="535"/>
      <c r="AI5" s="535"/>
      <c r="AJ5" s="535"/>
      <c r="AK5" s="535"/>
      <c r="AL5" s="535"/>
      <c r="AM5" s="535"/>
      <c r="AN5" s="535"/>
      <c r="AO5" s="535"/>
      <c r="AP5" s="535"/>
      <c r="AQ5" s="535"/>
      <c r="AR5" s="535"/>
      <c r="AS5" s="535"/>
      <c r="AT5" s="535"/>
      <c r="AU5" s="535"/>
      <c r="AV5" s="535"/>
      <c r="AW5" s="535"/>
      <c r="AX5" s="535"/>
      <c r="AY5" s="536"/>
      <c r="AZ5" s="535"/>
      <c r="BA5" s="536"/>
      <c r="BB5" s="535"/>
      <c r="BC5" s="535"/>
      <c r="BD5" s="535"/>
      <c r="BE5" s="535"/>
      <c r="BF5" s="536"/>
      <c r="BG5" s="536"/>
      <c r="BH5" s="536"/>
      <c r="BI5" s="535"/>
      <c r="BJ5" s="537"/>
      <c r="BK5" s="535"/>
      <c r="BL5" s="535"/>
      <c r="BM5" s="535"/>
      <c r="BN5" s="535"/>
      <c r="BO5" s="537"/>
      <c r="BP5" s="535"/>
      <c r="BQ5" s="535"/>
      <c r="BR5" s="535"/>
      <c r="BS5" s="535"/>
      <c r="BT5" s="537"/>
      <c r="BU5" s="535"/>
      <c r="BV5" s="535"/>
      <c r="BW5" s="535"/>
      <c r="BX5" s="535"/>
      <c r="BY5" s="537"/>
      <c r="BZ5" s="535"/>
      <c r="CA5" s="535"/>
      <c r="CB5" s="535"/>
      <c r="CC5" s="535"/>
      <c r="CD5" s="537"/>
      <c r="CE5" s="310"/>
    </row>
    <row r="6" spans="1:83">
      <c r="A6" s="538"/>
      <c r="B6" s="300" t="s">
        <v>264</v>
      </c>
      <c r="C6" s="539"/>
      <c r="D6" s="539"/>
      <c r="E6" s="539"/>
      <c r="F6" s="539"/>
      <c r="G6" s="540"/>
      <c r="H6" s="539"/>
      <c r="I6" s="539"/>
      <c r="J6" s="539"/>
      <c r="K6" s="539"/>
      <c r="L6" s="540"/>
      <c r="M6" s="539"/>
      <c r="N6" s="539"/>
      <c r="O6" s="539"/>
      <c r="P6" s="539"/>
      <c r="Q6" s="540"/>
      <c r="R6" s="539"/>
      <c r="S6" s="539"/>
      <c r="T6" s="539"/>
      <c r="U6" s="539"/>
      <c r="V6" s="540"/>
      <c r="W6" s="539"/>
      <c r="X6" s="539"/>
      <c r="Y6" s="539"/>
      <c r="Z6" s="539"/>
      <c r="AA6" s="540"/>
      <c r="AB6" s="539"/>
      <c r="AC6" s="539"/>
      <c r="AD6" s="539"/>
      <c r="AE6" s="539"/>
      <c r="AF6" s="540"/>
      <c r="AG6" s="539"/>
      <c r="AH6" s="539"/>
      <c r="AI6" s="539"/>
      <c r="AJ6" s="539"/>
      <c r="AK6" s="541">
        <v>150066</v>
      </c>
      <c r="AL6" s="539"/>
      <c r="AM6" s="539"/>
      <c r="AN6" s="539"/>
      <c r="AO6" s="539"/>
      <c r="AP6" s="541">
        <v>185606</v>
      </c>
      <c r="AQ6" s="542">
        <v>53676</v>
      </c>
      <c r="AR6" s="543">
        <v>56736</v>
      </c>
      <c r="AS6" s="544">
        <v>58184</v>
      </c>
      <c r="AT6" s="544">
        <v>66039</v>
      </c>
      <c r="AU6" s="541">
        <v>234635</v>
      </c>
      <c r="AV6" s="545">
        <v>63021</v>
      </c>
      <c r="AW6" s="544">
        <v>67482</v>
      </c>
      <c r="AX6" s="544">
        <v>71317</v>
      </c>
      <c r="AY6" s="544">
        <v>83102</v>
      </c>
      <c r="AZ6" s="546">
        <v>288038</v>
      </c>
      <c r="BA6" s="544">
        <v>82559</v>
      </c>
      <c r="BB6" s="544">
        <v>87763</v>
      </c>
      <c r="BC6" s="544">
        <v>88895</v>
      </c>
      <c r="BD6" s="544">
        <v>100711</v>
      </c>
      <c r="BE6" s="546">
        <f>SUM(BA6:BD6)</f>
        <v>359928</v>
      </c>
      <c r="BF6" s="544">
        <v>100639</v>
      </c>
      <c r="BG6" s="544">
        <v>107800</v>
      </c>
      <c r="BH6" s="544">
        <v>115224</v>
      </c>
      <c r="BI6" s="544">
        <v>132515</v>
      </c>
      <c r="BJ6" s="546">
        <f>SUM(BF6:BI6)</f>
        <v>456178</v>
      </c>
      <c r="BK6" s="547">
        <v>132364</v>
      </c>
      <c r="BL6" s="547">
        <f>+BG6*(1+BL7)</f>
        <v>140561.33787169337</v>
      </c>
      <c r="BM6" s="547">
        <f>+BH6*(1+BM7)</f>
        <v>147059.95453442595</v>
      </c>
      <c r="BN6" s="547">
        <f>+BI6*(1+BN7)</f>
        <v>167588.24807250078</v>
      </c>
      <c r="BO6" s="546">
        <f>SUM(BK6:BN6)</f>
        <v>587573.5404786201</v>
      </c>
      <c r="BP6" s="547">
        <f>+BK6*(1+BP7)</f>
        <v>162467.63207952195</v>
      </c>
      <c r="BQ6" s="547">
        <f>+BL6*(1+BQ7)</f>
        <v>172609.32290643945</v>
      </c>
      <c r="BR6" s="547">
        <f>+BM6*(1+BR7)</f>
        <v>180589.62416827507</v>
      </c>
      <c r="BS6" s="547">
        <f>+BN6*(1+BS7)</f>
        <v>205798.36863303094</v>
      </c>
      <c r="BT6" s="546">
        <f>SUM(BP6:BS6)</f>
        <v>721464.94778726739</v>
      </c>
      <c r="BU6" s="547">
        <f>+BP6*(1+BU7)</f>
        <v>194961.15849542632</v>
      </c>
      <c r="BV6" s="547">
        <f>+BQ6*(1+BV7)</f>
        <v>207131.18748772735</v>
      </c>
      <c r="BW6" s="547">
        <f>+BR6*(1+BW7)</f>
        <v>213095.75651856457</v>
      </c>
      <c r="BX6" s="547">
        <f>+BS6*(1+BX7)</f>
        <v>242842.07498697651</v>
      </c>
      <c r="BY6" s="546">
        <f>SUM(BU6:BX6)</f>
        <v>858030.17748869467</v>
      </c>
      <c r="BZ6" s="547">
        <f>+BU6*(1+BZ7)</f>
        <v>228104.55543964877</v>
      </c>
      <c r="CA6" s="547">
        <f>+BV6*(1+CA7)</f>
        <v>242343.48936064099</v>
      </c>
      <c r="CB6" s="547">
        <f>+BW6*(1+CB7)</f>
        <v>249322.03512672053</v>
      </c>
      <c r="CC6" s="547">
        <f>+BX6*(1+CC7)</f>
        <v>284125.22773476248</v>
      </c>
      <c r="CD6" s="546">
        <f>SUM(BZ6:CC6)</f>
        <v>1003895.3076617728</v>
      </c>
      <c r="CE6" s="270">
        <f>+(BO6/AZ6)^(0.33333)-1</f>
        <v>0.26824487463452695</v>
      </c>
    </row>
    <row r="7" spans="1:83">
      <c r="A7" s="548"/>
      <c r="B7" s="138" t="s">
        <v>21</v>
      </c>
      <c r="C7" s="173"/>
      <c r="D7" s="173"/>
      <c r="E7" s="173"/>
      <c r="F7" s="173"/>
      <c r="G7" s="549"/>
      <c r="H7" s="173"/>
      <c r="I7" s="173"/>
      <c r="J7" s="173"/>
      <c r="K7" s="173"/>
      <c r="L7" s="549"/>
      <c r="M7" s="173"/>
      <c r="N7" s="173"/>
      <c r="O7" s="173"/>
      <c r="P7" s="173"/>
      <c r="Q7" s="549"/>
      <c r="R7" s="173"/>
      <c r="S7" s="173"/>
      <c r="T7" s="173"/>
      <c r="U7" s="173"/>
      <c r="V7" s="549"/>
      <c r="W7" s="173"/>
      <c r="X7" s="173"/>
      <c r="Y7" s="173"/>
      <c r="Z7" s="173"/>
      <c r="AA7" s="549"/>
      <c r="AB7" s="173"/>
      <c r="AC7" s="173"/>
      <c r="AD7" s="173"/>
      <c r="AE7" s="173"/>
      <c r="AF7" s="549"/>
      <c r="AG7" s="173"/>
      <c r="AH7" s="173"/>
      <c r="AI7" s="173"/>
      <c r="AJ7" s="173"/>
      <c r="AK7" s="549"/>
      <c r="AL7" s="173"/>
      <c r="AM7" s="173"/>
      <c r="AN7" s="173"/>
      <c r="AO7" s="173"/>
      <c r="AP7" s="549">
        <f>IF(ISERROR(AP6/AK6-1), "NM", (AP6/AK6-1))</f>
        <v>0.23682912851678606</v>
      </c>
      <c r="AQ7" s="173"/>
      <c r="AR7" s="173"/>
      <c r="AS7" s="173"/>
      <c r="AT7" s="173"/>
      <c r="AU7" s="549">
        <f>IF(ISERROR(AU6/AP6-1), "NM", (AU6/AP6-1))</f>
        <v>0.26415633115308768</v>
      </c>
      <c r="AV7" s="173">
        <f>IF(ISERROR(AV6/AQ6-1), "NM", (AV6/AQ6-1))</f>
        <v>0.1741001564945226</v>
      </c>
      <c r="AW7" s="173">
        <f>IF(ISERROR(AW6/AR6-1), "NM", (AW6/AR6-1))</f>
        <v>0.18940355329949243</v>
      </c>
      <c r="AX7" s="173">
        <f>IF(ISERROR(AX6/AS6-1), "NM", (AX6/AS6-1))</f>
        <v>0.22571497318850553</v>
      </c>
      <c r="AY7" s="173">
        <f>IF(ISERROR(AY6/AT6-1), "NM", (AY6/AT6-1))</f>
        <v>0.25837762534260067</v>
      </c>
      <c r="AZ7" s="549">
        <f>+AZ6/AU6-1</f>
        <v>0.22760031538346803</v>
      </c>
      <c r="BA7" s="173">
        <f t="shared" ref="BA7:BK7" si="0">IF(ISERROR(BA6/AV6-1), "NM", (BA6/AV6-1))</f>
        <v>0.31002364291267992</v>
      </c>
      <c r="BB7" s="173">
        <f t="shared" si="0"/>
        <v>0.30053940310008587</v>
      </c>
      <c r="BC7" s="173">
        <f t="shared" si="0"/>
        <v>0.2464769970694225</v>
      </c>
      <c r="BD7" s="173">
        <f t="shared" si="0"/>
        <v>0.21189622391759522</v>
      </c>
      <c r="BE7" s="549">
        <f t="shared" si="0"/>
        <v>0.24958512418500334</v>
      </c>
      <c r="BF7" s="173">
        <f t="shared" si="0"/>
        <v>0.21899490061652882</v>
      </c>
      <c r="BG7" s="173">
        <f t="shared" si="0"/>
        <v>0.22830805692603939</v>
      </c>
      <c r="BH7" s="173">
        <f t="shared" si="0"/>
        <v>0.29618088756397998</v>
      </c>
      <c r="BI7" s="173">
        <f t="shared" si="0"/>
        <v>0.31579469968523788</v>
      </c>
      <c r="BJ7" s="549">
        <f>IF(ISERROR(BJ6/BE6-1), "NM", (BJ6/BE6-1))</f>
        <v>0.26741459402991707</v>
      </c>
      <c r="BK7" s="173">
        <f t="shared" si="0"/>
        <v>0.31523564423334882</v>
      </c>
      <c r="BL7" s="173">
        <f>+BL8+BL12</f>
        <v>0.30390851457971574</v>
      </c>
      <c r="BM7" s="173">
        <f>+BM8+BM12</f>
        <v>0.27629621028974805</v>
      </c>
      <c r="BN7" s="173">
        <f>+BN8+BN12</f>
        <v>0.26467379596650015</v>
      </c>
      <c r="BO7" s="549">
        <f>IF(ISERROR(BO6/BJ6-1), "NM", (BO6/BJ6-1))</f>
        <v>0.28803568010430158</v>
      </c>
      <c r="BP7" s="173">
        <f>+BP8+BP12</f>
        <v>0.22743066150556004</v>
      </c>
      <c r="BQ7" s="173">
        <f>+BQ8+BQ12</f>
        <v>0.22799999999999998</v>
      </c>
      <c r="BR7" s="173">
        <f>+BR8+BR12</f>
        <v>0.22799999999999998</v>
      </c>
      <c r="BS7" s="173">
        <f>+BS8+BS12</f>
        <v>0.22799999999999998</v>
      </c>
      <c r="BT7" s="549">
        <f>IF(ISERROR(BT6/BO6-1), "NM", (BT6/BO6-1))</f>
        <v>0.22787174384943087</v>
      </c>
      <c r="BU7" s="173">
        <f>+BU8+BU12</f>
        <v>0.2</v>
      </c>
      <c r="BV7" s="173">
        <f>+BV8+BV12</f>
        <v>0.2</v>
      </c>
      <c r="BW7" s="173">
        <f>+BW8+BW12</f>
        <v>0.18000000000000002</v>
      </c>
      <c r="BX7" s="173">
        <f>+BX8+BX12</f>
        <v>0.18000000000000002</v>
      </c>
      <c r="BY7" s="549">
        <f>IF(ISERROR(BY6/BT6-1), "NM", (BY6/BT6-1))</f>
        <v>0.18928879375259022</v>
      </c>
      <c r="BZ7" s="173">
        <f>+BZ8+BZ12</f>
        <v>0.17</v>
      </c>
      <c r="CA7" s="173">
        <f>+CA8+CA12</f>
        <v>0.17</v>
      </c>
      <c r="CB7" s="173">
        <f>+CB8+CB12</f>
        <v>0.17</v>
      </c>
      <c r="CC7" s="173">
        <f>+CC8+CC12</f>
        <v>0.17</v>
      </c>
      <c r="CD7" s="549">
        <f>IF(ISERROR(CD6/BY6-1), "NM", (CD6/BY6-1))</f>
        <v>0.17000000000000015</v>
      </c>
    </row>
    <row r="8" spans="1:83">
      <c r="A8" s="548"/>
      <c r="B8" s="138" t="s">
        <v>265</v>
      </c>
      <c r="C8" s="173"/>
      <c r="D8" s="173"/>
      <c r="E8" s="173"/>
      <c r="F8" s="173"/>
      <c r="G8" s="549"/>
      <c r="H8" s="173"/>
      <c r="I8" s="173"/>
      <c r="J8" s="173"/>
      <c r="K8" s="173"/>
      <c r="L8" s="549"/>
      <c r="M8" s="173"/>
      <c r="N8" s="173"/>
      <c r="O8" s="173"/>
      <c r="P8" s="173"/>
      <c r="Q8" s="549"/>
      <c r="R8" s="173"/>
      <c r="S8" s="173"/>
      <c r="T8" s="173"/>
      <c r="U8" s="173"/>
      <c r="V8" s="549"/>
      <c r="W8" s="173"/>
      <c r="X8" s="173"/>
      <c r="Y8" s="173"/>
      <c r="Z8" s="173"/>
      <c r="AA8" s="549"/>
      <c r="AB8" s="173"/>
      <c r="AC8" s="173"/>
      <c r="AD8" s="173"/>
      <c r="AE8" s="173"/>
      <c r="AF8" s="549"/>
      <c r="AG8" s="173"/>
      <c r="AH8" s="173"/>
      <c r="AI8" s="173"/>
      <c r="AJ8" s="173"/>
      <c r="AK8" s="549"/>
      <c r="AL8" s="173"/>
      <c r="AM8" s="173"/>
      <c r="AN8" s="173"/>
      <c r="AO8" s="173"/>
      <c r="AP8" s="549"/>
      <c r="AQ8" s="173"/>
      <c r="AR8" s="550">
        <v>0.26</v>
      </c>
      <c r="AS8" s="550">
        <v>0.27</v>
      </c>
      <c r="AT8" s="550">
        <v>0.26</v>
      </c>
      <c r="AU8" s="549"/>
      <c r="AV8" s="550">
        <v>0.25</v>
      </c>
      <c r="AW8" s="550">
        <v>0.27</v>
      </c>
      <c r="AX8" s="550">
        <v>0.27</v>
      </c>
      <c r="AY8" s="550">
        <v>0.28999999999999998</v>
      </c>
      <c r="AZ8" s="549">
        <f>+AZ7-AZ179</f>
        <v>0.28433400814030307</v>
      </c>
      <c r="BA8" s="550">
        <v>0.31</v>
      </c>
      <c r="BB8" s="550">
        <v>0.28999999999999998</v>
      </c>
      <c r="BC8" s="550">
        <v>0.27</v>
      </c>
      <c r="BD8" s="550">
        <v>0.25</v>
      </c>
      <c r="BE8" s="551">
        <v>0.28000000000000003</v>
      </c>
      <c r="BF8" s="550">
        <v>0.24</v>
      </c>
      <c r="BG8" s="550">
        <v>0.25</v>
      </c>
      <c r="BH8" s="550">
        <v>0.28000000000000003</v>
      </c>
      <c r="BI8" s="550">
        <v>0.28999999999999998</v>
      </c>
      <c r="BJ8" s="551">
        <v>0.27</v>
      </c>
      <c r="BK8" s="173">
        <v>0.27</v>
      </c>
      <c r="BL8" s="173">
        <f>CHOOSE(_Switch,BL9,BL10,BL11)</f>
        <v>0.25750000000000001</v>
      </c>
      <c r="BM8" s="173">
        <f>CHOOSE(_Switch,BM9,BM10,BM11)</f>
        <v>0.2475</v>
      </c>
      <c r="BN8" s="173">
        <f>CHOOSE(_Switch,BN9,BN10,BN11)</f>
        <v>0.24</v>
      </c>
      <c r="BO8" s="549">
        <f>+BO7-BO179</f>
        <v>0.25099666165106332</v>
      </c>
      <c r="BP8" s="173">
        <f>CHOOSE(_Switch,BP9,BP10,BP11)</f>
        <v>0.22799999999999998</v>
      </c>
      <c r="BQ8" s="173">
        <f>CHOOSE(_Switch,BQ9,BQ10,BQ11)</f>
        <v>0.22799999999999998</v>
      </c>
      <c r="BR8" s="173">
        <f>CHOOSE(_Switch,BR9,BR10,BR11)</f>
        <v>0.22799999999999998</v>
      </c>
      <c r="BS8" s="173">
        <f>CHOOSE(_Switch,BS9,BS10,BS11)</f>
        <v>0.22799999999999998</v>
      </c>
      <c r="BT8" s="549">
        <f>+BT7-BT179</f>
        <v>0.22799999999999998</v>
      </c>
      <c r="BU8" s="173">
        <f>CHOOSE(_Switch,BU9,BU10,BU11)</f>
        <v>0.2</v>
      </c>
      <c r="BV8" s="173">
        <f>CHOOSE(_Switch,BV9,BV10,BV11)</f>
        <v>0.2</v>
      </c>
      <c r="BW8" s="173">
        <f>CHOOSE(_Switch,BW9,BW10,BW11)</f>
        <v>0.18000000000000002</v>
      </c>
      <c r="BX8" s="173">
        <f>CHOOSE(_Switch,BX9,BX10,BX11)</f>
        <v>0.18000000000000002</v>
      </c>
      <c r="BY8" s="549">
        <f>+BY7-BY179</f>
        <v>0.18928879375259022</v>
      </c>
      <c r="BZ8" s="173">
        <f>CHOOSE(_Switch,BZ9,BZ10,BZ11)</f>
        <v>0.17</v>
      </c>
      <c r="CA8" s="173">
        <f>CHOOSE(_Switch,CA9,CA10,CA11)</f>
        <v>0.17</v>
      </c>
      <c r="CB8" s="173">
        <f>CHOOSE(_Switch,CB9,CB10,CB11)</f>
        <v>0.17</v>
      </c>
      <c r="CC8" s="173">
        <f>CHOOSE(_Switch,CC9,CC10,CC11)</f>
        <v>0.17</v>
      </c>
      <c r="CD8" s="549">
        <f>+CD7-CD179</f>
        <v>0.17000000000000015</v>
      </c>
      <c r="CE8" s="552">
        <f>((1+BJ8)*(1+BO8)*(1+BT8))^0.333-1</f>
        <v>0.24926908665064706</v>
      </c>
    </row>
    <row r="9" spans="1:83" outlineLevel="1">
      <c r="A9" s="533"/>
      <c r="B9" s="181" t="s">
        <v>121</v>
      </c>
      <c r="C9" s="553"/>
      <c r="D9" s="553"/>
      <c r="E9" s="553"/>
      <c r="F9" s="554"/>
      <c r="G9" s="182"/>
      <c r="H9" s="553"/>
      <c r="I9" s="553"/>
      <c r="J9" s="553"/>
      <c r="K9" s="554"/>
      <c r="L9" s="182"/>
      <c r="M9" s="553"/>
      <c r="N9" s="553"/>
      <c r="O9" s="553"/>
      <c r="P9" s="554"/>
      <c r="Q9" s="182"/>
      <c r="R9" s="553"/>
      <c r="S9" s="553"/>
      <c r="T9" s="553"/>
      <c r="U9" s="554"/>
      <c r="V9" s="182"/>
      <c r="W9" s="553"/>
      <c r="X9" s="553"/>
      <c r="Y9" s="553"/>
      <c r="Z9" s="554"/>
      <c r="AA9" s="182"/>
      <c r="AB9" s="553"/>
      <c r="AC9" s="553"/>
      <c r="AD9" s="553"/>
      <c r="AE9" s="554"/>
      <c r="AF9" s="182"/>
      <c r="AG9" s="553"/>
      <c r="AH9" s="553"/>
      <c r="AI9" s="553"/>
      <c r="AJ9" s="554"/>
      <c r="AK9" s="182"/>
      <c r="AL9" s="553"/>
      <c r="AM9" s="553"/>
      <c r="AN9" s="553"/>
      <c r="AO9" s="554"/>
      <c r="AP9" s="182"/>
      <c r="AQ9" s="553"/>
      <c r="AR9" s="553"/>
      <c r="AS9" s="553"/>
      <c r="AT9" s="554"/>
      <c r="AU9" s="549"/>
      <c r="AV9" s="555"/>
      <c r="AW9" s="556"/>
      <c r="AX9" s="556"/>
      <c r="AY9" s="556"/>
      <c r="AZ9" s="144"/>
      <c r="BA9" s="556"/>
      <c r="BB9" s="556"/>
      <c r="BC9" s="556"/>
      <c r="BD9" s="556"/>
      <c r="BE9" s="182"/>
      <c r="BF9" s="556"/>
      <c r="BG9" s="556"/>
      <c r="BH9" s="556"/>
      <c r="BI9" s="556"/>
      <c r="BJ9" s="182"/>
      <c r="BK9" s="200"/>
      <c r="BL9" s="200">
        <f>BL10+3%</f>
        <v>0.28749999999999998</v>
      </c>
      <c r="BM9" s="200">
        <f>BM10+3%</f>
        <v>0.27749999999999997</v>
      </c>
      <c r="BN9" s="200">
        <f>BN10+3%</f>
        <v>0.27</v>
      </c>
      <c r="BO9" s="182"/>
      <c r="BP9" s="200">
        <f>BP10+1%</f>
        <v>0.23799999999999999</v>
      </c>
      <c r="BQ9" s="200">
        <f t="shared" ref="BQ9:BS9" si="1">BQ10+1%</f>
        <v>0.23799999999999999</v>
      </c>
      <c r="BR9" s="200">
        <f t="shared" si="1"/>
        <v>0.23799999999999999</v>
      </c>
      <c r="BS9" s="200">
        <f t="shared" si="1"/>
        <v>0.23799999999999999</v>
      </c>
      <c r="BT9" s="182"/>
      <c r="BU9" s="200">
        <f>BU10+3%</f>
        <v>0.23</v>
      </c>
      <c r="BV9" s="200">
        <f>BV10+3%</f>
        <v>0.23</v>
      </c>
      <c r="BW9" s="200">
        <f>BW10+3%</f>
        <v>0.21000000000000002</v>
      </c>
      <c r="BX9" s="200">
        <f>BX10+3%</f>
        <v>0.21000000000000002</v>
      </c>
      <c r="BY9" s="182"/>
      <c r="BZ9" s="200">
        <f>BZ10+3%</f>
        <v>0.2</v>
      </c>
      <c r="CA9" s="200">
        <f>CA10+3%</f>
        <v>0.2</v>
      </c>
      <c r="CB9" s="200">
        <f>CB10+3%</f>
        <v>0.2</v>
      </c>
      <c r="CC9" s="200">
        <f>CC10+3%</f>
        <v>0.2</v>
      </c>
      <c r="CD9" s="182"/>
      <c r="CE9" s="160"/>
    </row>
    <row r="10" spans="1:83" outlineLevel="1">
      <c r="A10" s="533"/>
      <c r="B10" s="181" t="s">
        <v>122</v>
      </c>
      <c r="C10" s="553"/>
      <c r="D10" s="553"/>
      <c r="E10" s="553"/>
      <c r="F10" s="554"/>
      <c r="G10" s="182"/>
      <c r="H10" s="553"/>
      <c r="I10" s="553"/>
      <c r="J10" s="553"/>
      <c r="K10" s="554"/>
      <c r="L10" s="182"/>
      <c r="M10" s="553"/>
      <c r="N10" s="553"/>
      <c r="O10" s="553"/>
      <c r="P10" s="554"/>
      <c r="Q10" s="182"/>
      <c r="R10" s="553"/>
      <c r="S10" s="553"/>
      <c r="T10" s="553"/>
      <c r="U10" s="554"/>
      <c r="V10" s="182"/>
      <c r="W10" s="553"/>
      <c r="X10" s="553"/>
      <c r="Y10" s="553"/>
      <c r="Z10" s="554"/>
      <c r="AA10" s="182"/>
      <c r="AB10" s="553"/>
      <c r="AC10" s="553"/>
      <c r="AD10" s="553"/>
      <c r="AE10" s="554"/>
      <c r="AF10" s="182"/>
      <c r="AG10" s="553"/>
      <c r="AH10" s="553"/>
      <c r="AI10" s="553"/>
      <c r="AJ10" s="554"/>
      <c r="AK10" s="182"/>
      <c r="AL10" s="553"/>
      <c r="AM10" s="553"/>
      <c r="AN10" s="553"/>
      <c r="AO10" s="554"/>
      <c r="AP10" s="182"/>
      <c r="AQ10" s="553"/>
      <c r="AR10" s="553"/>
      <c r="AS10" s="553"/>
      <c r="AT10" s="554"/>
      <c r="AU10" s="549"/>
      <c r="AV10" s="555"/>
      <c r="AW10" s="556"/>
      <c r="AX10" s="556"/>
      <c r="AY10" s="557"/>
      <c r="AZ10" s="144"/>
      <c r="BA10" s="557"/>
      <c r="BB10" s="557"/>
      <c r="BC10" s="557"/>
      <c r="BD10" s="557"/>
      <c r="BE10" s="182"/>
      <c r="BF10" s="557"/>
      <c r="BG10" s="557"/>
      <c r="BH10" s="557"/>
      <c r="BI10" s="557"/>
      <c r="BJ10" s="182"/>
      <c r="BK10" s="200"/>
      <c r="BL10" s="200">
        <v>0.25750000000000001</v>
      </c>
      <c r="BM10" s="200">
        <f>+BL10-1%</f>
        <v>0.2475</v>
      </c>
      <c r="BN10" s="200">
        <f>+BM10-0.75%</f>
        <v>0.24</v>
      </c>
      <c r="BO10" s="182"/>
      <c r="BP10" s="200">
        <f>23.5%-0.7%</f>
        <v>0.22799999999999998</v>
      </c>
      <c r="BQ10" s="200">
        <f>+BP10</f>
        <v>0.22799999999999998</v>
      </c>
      <c r="BR10" s="200">
        <f>+BQ10</f>
        <v>0.22799999999999998</v>
      </c>
      <c r="BS10" s="200">
        <f>+BR10</f>
        <v>0.22799999999999998</v>
      </c>
      <c r="BT10" s="182"/>
      <c r="BU10" s="200">
        <v>0.2</v>
      </c>
      <c r="BV10" s="200">
        <f>BU10</f>
        <v>0.2</v>
      </c>
      <c r="BW10" s="200">
        <f>20%-0.02</f>
        <v>0.18000000000000002</v>
      </c>
      <c r="BX10" s="200">
        <f>BW10</f>
        <v>0.18000000000000002</v>
      </c>
      <c r="BY10" s="182"/>
      <c r="BZ10" s="200">
        <f>19%-0.02</f>
        <v>0.17</v>
      </c>
      <c r="CA10" s="200">
        <f>BZ10</f>
        <v>0.17</v>
      </c>
      <c r="CB10" s="200">
        <f>CA10</f>
        <v>0.17</v>
      </c>
      <c r="CC10" s="200">
        <f>CB10</f>
        <v>0.17</v>
      </c>
      <c r="CD10" s="182"/>
      <c r="CE10" s="160"/>
    </row>
    <row r="11" spans="1:83" outlineLevel="1">
      <c r="A11" s="533"/>
      <c r="B11" s="181" t="s">
        <v>123</v>
      </c>
      <c r="C11" s="553"/>
      <c r="D11" s="553"/>
      <c r="E11" s="553"/>
      <c r="F11" s="554"/>
      <c r="G11" s="182"/>
      <c r="H11" s="553"/>
      <c r="I11" s="553"/>
      <c r="J11" s="553"/>
      <c r="K11" s="554"/>
      <c r="L11" s="182"/>
      <c r="M11" s="553"/>
      <c r="N11" s="553"/>
      <c r="O11" s="553"/>
      <c r="P11" s="554"/>
      <c r="Q11" s="182"/>
      <c r="R11" s="553"/>
      <c r="S11" s="553"/>
      <c r="T11" s="553"/>
      <c r="U11" s="554"/>
      <c r="V11" s="182"/>
      <c r="W11" s="553"/>
      <c r="X11" s="553"/>
      <c r="Y11" s="553"/>
      <c r="Z11" s="554"/>
      <c r="AA11" s="182"/>
      <c r="AB11" s="553"/>
      <c r="AC11" s="553"/>
      <c r="AD11" s="553"/>
      <c r="AE11" s="554"/>
      <c r="AF11" s="182"/>
      <c r="AG11" s="553"/>
      <c r="AH11" s="553"/>
      <c r="AI11" s="553"/>
      <c r="AJ11" s="554"/>
      <c r="AK11" s="182"/>
      <c r="AL11" s="553"/>
      <c r="AM11" s="553"/>
      <c r="AN11" s="553"/>
      <c r="AO11" s="554"/>
      <c r="AP11" s="182"/>
      <c r="AQ11" s="553"/>
      <c r="AR11" s="553"/>
      <c r="AS11" s="553"/>
      <c r="AT11" s="554"/>
      <c r="AU11" s="549"/>
      <c r="AV11" s="555"/>
      <c r="AW11" s="556"/>
      <c r="AX11" s="556"/>
      <c r="AY11" s="556"/>
      <c r="AZ11" s="144"/>
      <c r="BA11" s="556"/>
      <c r="BB11" s="556"/>
      <c r="BC11" s="556"/>
      <c r="BD11" s="556"/>
      <c r="BE11" s="182"/>
      <c r="BF11" s="556"/>
      <c r="BG11" s="556"/>
      <c r="BH11" s="556"/>
      <c r="BI11" s="556"/>
      <c r="BJ11" s="182"/>
      <c r="BK11" s="200"/>
      <c r="BL11" s="200">
        <f t="shared" ref="BL11:BN11" si="2">BL10-3%</f>
        <v>0.22750000000000001</v>
      </c>
      <c r="BM11" s="200">
        <f t="shared" si="2"/>
        <v>0.2175</v>
      </c>
      <c r="BN11" s="200">
        <f t="shared" si="2"/>
        <v>0.21</v>
      </c>
      <c r="BO11" s="182"/>
      <c r="BP11" s="200">
        <f>BP10-4%</f>
        <v>0.18799999999999997</v>
      </c>
      <c r="BQ11" s="200">
        <f>BQ10-4%</f>
        <v>0.18799999999999997</v>
      </c>
      <c r="BR11" s="200">
        <f>BR10-4%</f>
        <v>0.18799999999999997</v>
      </c>
      <c r="BS11" s="200">
        <f>BS10-4%</f>
        <v>0.18799999999999997</v>
      </c>
      <c r="BT11" s="182"/>
      <c r="BU11" s="200">
        <f>BU10-4%</f>
        <v>0.16</v>
      </c>
      <c r="BV11" s="200">
        <f>BV10-4%</f>
        <v>0.16</v>
      </c>
      <c r="BW11" s="200">
        <f>BW10-4%</f>
        <v>0.14000000000000001</v>
      </c>
      <c r="BX11" s="200">
        <f>BX10-4%</f>
        <v>0.14000000000000001</v>
      </c>
      <c r="BY11" s="182"/>
      <c r="BZ11" s="200">
        <f>BZ10-4%</f>
        <v>0.13</v>
      </c>
      <c r="CA11" s="200">
        <f>CA10-4%</f>
        <v>0.13</v>
      </c>
      <c r="CB11" s="200">
        <f>CB10-4%</f>
        <v>0.13</v>
      </c>
      <c r="CC11" s="200">
        <f>CC10-4%</f>
        <v>0.13</v>
      </c>
      <c r="CD11" s="182"/>
      <c r="CE11" s="160"/>
    </row>
    <row r="12" spans="1:83">
      <c r="A12" s="533"/>
      <c r="B12" s="138" t="s">
        <v>266</v>
      </c>
      <c r="C12" s="553"/>
      <c r="D12" s="553"/>
      <c r="E12" s="553"/>
      <c r="F12" s="554"/>
      <c r="G12" s="182"/>
      <c r="H12" s="553"/>
      <c r="I12" s="553"/>
      <c r="J12" s="553"/>
      <c r="K12" s="554"/>
      <c r="L12" s="182"/>
      <c r="M12" s="553"/>
      <c r="N12" s="553"/>
      <c r="O12" s="553"/>
      <c r="P12" s="554"/>
      <c r="Q12" s="182"/>
      <c r="R12" s="553"/>
      <c r="S12" s="553"/>
      <c r="T12" s="553"/>
      <c r="U12" s="554"/>
      <c r="V12" s="182"/>
      <c r="W12" s="553"/>
      <c r="X12" s="553"/>
      <c r="Y12" s="553"/>
      <c r="Z12" s="554"/>
      <c r="AA12" s="182"/>
      <c r="AB12" s="553"/>
      <c r="AC12" s="553"/>
      <c r="AD12" s="553"/>
      <c r="AE12" s="554"/>
      <c r="AF12" s="182"/>
      <c r="AG12" s="553"/>
      <c r="AH12" s="553"/>
      <c r="AI12" s="553"/>
      <c r="AJ12" s="554"/>
      <c r="AK12" s="182"/>
      <c r="AL12" s="553"/>
      <c r="AM12" s="553"/>
      <c r="AN12" s="553"/>
      <c r="AO12" s="554"/>
      <c r="AP12" s="182"/>
      <c r="AQ12" s="553"/>
      <c r="AR12" s="553"/>
      <c r="AS12" s="553"/>
      <c r="AT12" s="554"/>
      <c r="AU12" s="549"/>
      <c r="AV12" s="555"/>
      <c r="AW12" s="550"/>
      <c r="AX12" s="550"/>
      <c r="AY12" s="550"/>
      <c r="AZ12" s="144"/>
      <c r="BA12" s="550"/>
      <c r="BB12" s="550"/>
      <c r="BC12" s="550"/>
      <c r="BD12" s="550"/>
      <c r="BE12" s="558"/>
      <c r="BF12" s="550"/>
      <c r="BG12" s="550"/>
      <c r="BH12" s="550"/>
      <c r="BI12" s="550"/>
      <c r="BJ12" s="182"/>
      <c r="BK12" s="559"/>
      <c r="BL12" s="559">
        <f>BL179</f>
        <v>4.6408514579715753E-2</v>
      </c>
      <c r="BM12" s="559">
        <f>BM179</f>
        <v>2.8796210289748048E-2</v>
      </c>
      <c r="BN12" s="559">
        <f>BN179</f>
        <v>2.467379596650018E-2</v>
      </c>
      <c r="BO12" s="182"/>
      <c r="BP12" s="559">
        <f>BP179</f>
        <v>-5.6933849443993514E-4</v>
      </c>
      <c r="BQ12" s="559">
        <f>BQ179</f>
        <v>0</v>
      </c>
      <c r="BR12" s="559">
        <f>BR179</f>
        <v>0</v>
      </c>
      <c r="BS12" s="559">
        <f>BS179</f>
        <v>0</v>
      </c>
      <c r="BT12" s="182"/>
      <c r="BU12" s="559">
        <f>BU179</f>
        <v>0</v>
      </c>
      <c r="BV12" s="559">
        <f>BV179</f>
        <v>0</v>
      </c>
      <c r="BW12" s="559">
        <f>BW179</f>
        <v>0</v>
      </c>
      <c r="BX12" s="559">
        <f>BX179</f>
        <v>0</v>
      </c>
      <c r="BY12" s="182"/>
      <c r="BZ12" s="559">
        <f>BZ179</f>
        <v>0</v>
      </c>
      <c r="CA12" s="559">
        <f>CA179</f>
        <v>0</v>
      </c>
      <c r="CB12" s="559">
        <f>CB179</f>
        <v>0</v>
      </c>
      <c r="CC12" s="559">
        <f>CC179</f>
        <v>0</v>
      </c>
      <c r="CD12" s="182"/>
      <c r="CE12" s="160"/>
    </row>
    <row r="13" spans="1:83">
      <c r="A13" s="533"/>
      <c r="B13" s="560"/>
      <c r="C13" s="553"/>
      <c r="D13" s="553"/>
      <c r="E13" s="553"/>
      <c r="F13" s="554"/>
      <c r="G13" s="182"/>
      <c r="H13" s="553"/>
      <c r="I13" s="553"/>
      <c r="J13" s="553"/>
      <c r="K13" s="554"/>
      <c r="L13" s="182"/>
      <c r="M13" s="553"/>
      <c r="N13" s="553"/>
      <c r="O13" s="553"/>
      <c r="P13" s="554"/>
      <c r="Q13" s="182"/>
      <c r="R13" s="553"/>
      <c r="S13" s="553"/>
      <c r="T13" s="553"/>
      <c r="U13" s="554"/>
      <c r="V13" s="182"/>
      <c r="W13" s="553"/>
      <c r="X13" s="553"/>
      <c r="Y13" s="553"/>
      <c r="Z13" s="554"/>
      <c r="AA13" s="182"/>
      <c r="AB13" s="553"/>
      <c r="AC13" s="553"/>
      <c r="AD13" s="553"/>
      <c r="AE13" s="554"/>
      <c r="AF13" s="182"/>
      <c r="AG13" s="553"/>
      <c r="AH13" s="553"/>
      <c r="AI13" s="553"/>
      <c r="AJ13" s="554"/>
      <c r="AK13" s="182"/>
      <c r="AL13" s="553"/>
      <c r="AM13" s="553"/>
      <c r="AN13" s="553"/>
      <c r="AO13" s="554"/>
      <c r="AP13" s="182"/>
      <c r="AQ13" s="553"/>
      <c r="AR13" s="553"/>
      <c r="AS13" s="553"/>
      <c r="AT13" s="554"/>
      <c r="AU13" s="549"/>
      <c r="AV13" s="555"/>
      <c r="AW13" s="555"/>
      <c r="AX13" s="555"/>
      <c r="AY13" s="555"/>
      <c r="AZ13" s="144"/>
      <c r="BA13" s="555"/>
      <c r="BB13" s="555"/>
      <c r="BC13" s="555"/>
      <c r="BD13" s="555"/>
      <c r="BE13" s="182"/>
      <c r="BF13" s="555"/>
      <c r="BG13" s="555"/>
      <c r="BH13" s="555"/>
      <c r="BI13" s="555"/>
      <c r="BJ13" s="182"/>
      <c r="BK13" s="555"/>
      <c r="BL13" s="555"/>
      <c r="BM13" s="555"/>
      <c r="BN13" s="555"/>
      <c r="BO13" s="182"/>
      <c r="BP13" s="555"/>
      <c r="BQ13" s="555"/>
      <c r="BR13" s="555"/>
      <c r="BS13" s="555"/>
      <c r="BT13" s="182"/>
      <c r="BU13" s="555"/>
      <c r="BV13" s="555"/>
      <c r="BW13" s="555"/>
      <c r="BX13" s="555"/>
      <c r="BY13" s="182"/>
      <c r="BZ13" s="555"/>
      <c r="CA13" s="555"/>
      <c r="CB13" s="555"/>
      <c r="CC13" s="555"/>
      <c r="CD13" s="182"/>
      <c r="CE13" s="160"/>
    </row>
    <row r="14" spans="1:83">
      <c r="A14" s="533"/>
      <c r="B14" s="561" t="s">
        <v>267</v>
      </c>
      <c r="C14" s="553"/>
      <c r="D14" s="553"/>
      <c r="E14" s="553"/>
      <c r="F14" s="554"/>
      <c r="G14" s="182"/>
      <c r="H14" s="553"/>
      <c r="I14" s="553"/>
      <c r="J14" s="553"/>
      <c r="K14" s="554"/>
      <c r="L14" s="182"/>
      <c r="M14" s="553"/>
      <c r="N14" s="553"/>
      <c r="O14" s="553"/>
      <c r="P14" s="554"/>
      <c r="Q14" s="182"/>
      <c r="R14" s="553"/>
      <c r="S14" s="553"/>
      <c r="T14" s="553"/>
      <c r="U14" s="554"/>
      <c r="V14" s="182"/>
      <c r="W14" s="553"/>
      <c r="X14" s="553"/>
      <c r="Y14" s="553"/>
      <c r="Z14" s="554"/>
      <c r="AA14" s="182"/>
      <c r="AB14" s="553"/>
      <c r="AC14" s="553"/>
      <c r="AD14" s="553"/>
      <c r="AE14" s="554"/>
      <c r="AF14" s="182"/>
      <c r="AG14" s="553"/>
      <c r="AH14" s="553"/>
      <c r="AI14" s="553"/>
      <c r="AJ14" s="554"/>
      <c r="AK14" s="182"/>
      <c r="AL14" s="553"/>
      <c r="AM14" s="553"/>
      <c r="AN14" s="553"/>
      <c r="AO14" s="554"/>
      <c r="AP14" s="562">
        <f>+AP16*AP6</f>
        <v>72386.34</v>
      </c>
      <c r="AQ14" s="563">
        <f>+AQ6*AQ16</f>
        <v>21470.400000000001</v>
      </c>
      <c r="AR14" s="563">
        <f>+AR6*AR16</f>
        <v>24396.48</v>
      </c>
      <c r="AS14" s="563">
        <f>+AS6*AS16</f>
        <v>25019.119999999999</v>
      </c>
      <c r="AT14" s="563">
        <f>+AT6*AT16</f>
        <v>28396.77</v>
      </c>
      <c r="AU14" s="562">
        <f>+AU16*AU6</f>
        <v>98546.7</v>
      </c>
      <c r="AV14" s="318">
        <f>+AV6*AV16</f>
        <v>26468.82</v>
      </c>
      <c r="AW14" s="318">
        <f>+AW6*AW16</f>
        <v>31041.72</v>
      </c>
      <c r="AX14" s="318">
        <f>+AX6*AX16</f>
        <v>32805.82</v>
      </c>
      <c r="AY14" s="318">
        <f>AY6*AY16</f>
        <v>38226.92</v>
      </c>
      <c r="AZ14" s="194">
        <f>SUM(AV14:AY14)</f>
        <v>128543.28</v>
      </c>
      <c r="BA14" s="318">
        <f>BA6*BA16</f>
        <v>37151.550000000003</v>
      </c>
      <c r="BB14" s="318">
        <f>BB6*BB16</f>
        <v>42126.239999999998</v>
      </c>
      <c r="BC14" s="318">
        <f>BC6*BC16</f>
        <v>42669.599999999999</v>
      </c>
      <c r="BD14" s="318">
        <f>BD6*BD16</f>
        <v>48341.279999999999</v>
      </c>
      <c r="BE14" s="194">
        <f>SUM(BA14:BD14)</f>
        <v>170288.67</v>
      </c>
      <c r="BF14" s="318">
        <f>BF6*BF16</f>
        <v>48306.720000000001</v>
      </c>
      <c r="BG14" s="318">
        <f>BG6*BG16</f>
        <v>52283</v>
      </c>
      <c r="BH14" s="318">
        <f>BH6*BH16</f>
        <v>56459.76</v>
      </c>
      <c r="BI14" s="318">
        <f>BI6*BI16</f>
        <v>65594.925000000003</v>
      </c>
      <c r="BJ14" s="194">
        <f>SUM(BF14:BI14)</f>
        <v>222644.40500000003</v>
      </c>
      <c r="BK14" s="317">
        <f>BK6*BK16</f>
        <v>66049.635999999999</v>
      </c>
      <c r="BL14" s="317">
        <f>BL6*BL16</f>
        <v>70702.352949461769</v>
      </c>
      <c r="BM14" s="317">
        <f>BM6*BM16</f>
        <v>74559.39694895396</v>
      </c>
      <c r="BN14" s="317">
        <f>BN6*BN16</f>
        <v>85637.594765047892</v>
      </c>
      <c r="BO14" s="194">
        <f>SUM(BK14:BN14)</f>
        <v>296948.98066346365</v>
      </c>
      <c r="BP14" s="317">
        <f>BP6*BP16</f>
        <v>83345.895256794756</v>
      </c>
      <c r="BQ14" s="317">
        <f>BQ6*BQ16</f>
        <v>88893.801296816324</v>
      </c>
      <c r="BR14" s="317">
        <f>BR6*BR16</f>
        <v>93364.835694998212</v>
      </c>
      <c r="BS14" s="317">
        <f>BS6*BS16</f>
        <v>106809.35332054306</v>
      </c>
      <c r="BT14" s="194">
        <f>SUM(BP14:BS14)</f>
        <v>372413.88556915236</v>
      </c>
      <c r="BU14" s="317">
        <f>BU6*BU16</f>
        <v>101574.76357611711</v>
      </c>
      <c r="BV14" s="317">
        <f>BV6*BV16</f>
        <v>108329.61105608141</v>
      </c>
      <c r="BW14" s="317">
        <f>BW6*BW16</f>
        <v>111875.2721722464</v>
      </c>
      <c r="BX14" s="317">
        <f>BX6*BX16</f>
        <v>127977.77351813663</v>
      </c>
      <c r="BY14" s="194">
        <f>SUM(BU14:BX14)</f>
        <v>449757.4203225816</v>
      </c>
      <c r="BZ14" s="317">
        <f>BZ6*BZ16</f>
        <v>120667.30982757421</v>
      </c>
      <c r="CA14" s="317">
        <f>CA6*CA16</f>
        <v>128684.39285050037</v>
      </c>
      <c r="CB14" s="317">
        <f>CB6*CB16</f>
        <v>132888.64472254206</v>
      </c>
      <c r="CC14" s="317">
        <f>CC6*CC16</f>
        <v>152006.99683809793</v>
      </c>
      <c r="CD14" s="194">
        <f>SUM(BZ14:CC14)</f>
        <v>534247.34423871455</v>
      </c>
      <c r="CE14" s="160"/>
    </row>
    <row r="15" spans="1:83">
      <c r="A15" s="533"/>
      <c r="B15" s="138" t="s">
        <v>21</v>
      </c>
      <c r="C15" s="553"/>
      <c r="D15" s="553"/>
      <c r="E15" s="553"/>
      <c r="F15" s="554"/>
      <c r="G15" s="182"/>
      <c r="H15" s="553"/>
      <c r="I15" s="553"/>
      <c r="J15" s="553"/>
      <c r="K15" s="554"/>
      <c r="L15" s="182"/>
      <c r="M15" s="553"/>
      <c r="N15" s="553"/>
      <c r="O15" s="553"/>
      <c r="P15" s="554"/>
      <c r="Q15" s="182"/>
      <c r="R15" s="553"/>
      <c r="S15" s="553"/>
      <c r="T15" s="553"/>
      <c r="U15" s="554"/>
      <c r="V15" s="182"/>
      <c r="W15" s="553"/>
      <c r="X15" s="553"/>
      <c r="Y15" s="553"/>
      <c r="Z15" s="554"/>
      <c r="AA15" s="182"/>
      <c r="AB15" s="553"/>
      <c r="AC15" s="553"/>
      <c r="AD15" s="553"/>
      <c r="AE15" s="554"/>
      <c r="AF15" s="182"/>
      <c r="AG15" s="553"/>
      <c r="AH15" s="553"/>
      <c r="AI15" s="553"/>
      <c r="AJ15" s="554"/>
      <c r="AK15" s="182"/>
      <c r="AL15" s="553"/>
      <c r="AM15" s="553"/>
      <c r="AN15" s="553"/>
      <c r="AO15" s="554"/>
      <c r="AP15" s="182"/>
      <c r="AQ15" s="553"/>
      <c r="AR15" s="553"/>
      <c r="AS15" s="553"/>
      <c r="AT15" s="554"/>
      <c r="AU15" s="549">
        <f>+AU14/AP14-1</f>
        <v>0.36139912585717138</v>
      </c>
      <c r="AV15" s="173">
        <f>+AV14/AQ14-1</f>
        <v>0.2328051643192488</v>
      </c>
      <c r="AW15" s="173">
        <f>+AW14/AR14-1</f>
        <v>0.27238519655294535</v>
      </c>
      <c r="AX15" s="173">
        <f>+AX14/AS14-1</f>
        <v>0.31122997131793606</v>
      </c>
      <c r="AY15" s="173">
        <f>AY14/AT14-1</f>
        <v>0.34617141315720046</v>
      </c>
      <c r="AZ15" s="549">
        <f>+AZ14/AU14-1</f>
        <v>0.30438949249442149</v>
      </c>
      <c r="BA15" s="173">
        <f t="shared" ref="BA15:CD15" si="3">BA14/AV14-1</f>
        <v>0.40359676026358571</v>
      </c>
      <c r="BB15" s="173">
        <f t="shared" si="3"/>
        <v>0.35708459453922003</v>
      </c>
      <c r="BC15" s="173">
        <f t="shared" si="3"/>
        <v>0.30067164911591893</v>
      </c>
      <c r="BD15" s="173">
        <f t="shared" si="3"/>
        <v>0.26458736408792549</v>
      </c>
      <c r="BE15" s="549">
        <f t="shared" si="3"/>
        <v>0.32475746690142038</v>
      </c>
      <c r="BF15" s="173">
        <f t="shared" si="3"/>
        <v>0.30026122732429728</v>
      </c>
      <c r="BG15" s="173">
        <f t="shared" si="3"/>
        <v>0.24110293251901904</v>
      </c>
      <c r="BH15" s="173">
        <f t="shared" si="3"/>
        <v>0.32318465605489632</v>
      </c>
      <c r="BI15" s="173">
        <f t="shared" si="3"/>
        <v>0.35691328405040168</v>
      </c>
      <c r="BJ15" s="549">
        <f t="shared" si="3"/>
        <v>0.30745283875903207</v>
      </c>
      <c r="BK15" s="173">
        <f t="shared" si="3"/>
        <v>0.36729705515091893</v>
      </c>
      <c r="BL15" s="173">
        <f t="shared" si="3"/>
        <v>0.35230099553318994</v>
      </c>
      <c r="BM15" s="173">
        <f t="shared" si="3"/>
        <v>0.32057587472837223</v>
      </c>
      <c r="BN15" s="173">
        <f t="shared" si="3"/>
        <v>0.3055521408866293</v>
      </c>
      <c r="BO15" s="549">
        <f t="shared" si="3"/>
        <v>0.33373655027829519</v>
      </c>
      <c r="BP15" s="173">
        <f t="shared" si="3"/>
        <v>0.26186759389248948</v>
      </c>
      <c r="BQ15" s="173">
        <f t="shared" si="3"/>
        <v>0.25729622266401586</v>
      </c>
      <c r="BR15" s="173">
        <f t="shared" si="3"/>
        <v>0.25222090729783031</v>
      </c>
      <c r="BS15" s="173">
        <f t="shared" si="3"/>
        <v>0.24722504892367914</v>
      </c>
      <c r="BT15" s="549">
        <f t="shared" si="3"/>
        <v>0.25413424466748413</v>
      </c>
      <c r="BU15" s="173">
        <f t="shared" si="3"/>
        <v>0.21871345029239753</v>
      </c>
      <c r="BV15" s="173">
        <f t="shared" si="3"/>
        <v>0.21864077669902926</v>
      </c>
      <c r="BW15" s="173">
        <f t="shared" si="3"/>
        <v>0.19825918762088968</v>
      </c>
      <c r="BX15" s="173">
        <f t="shared" si="3"/>
        <v>0.19818882466281318</v>
      </c>
      <c r="BY15" s="549">
        <f t="shared" si="3"/>
        <v>0.20768166212499506</v>
      </c>
      <c r="BZ15" s="173">
        <f t="shared" si="3"/>
        <v>0.18796545105566209</v>
      </c>
      <c r="CA15" s="173">
        <f t="shared" si="3"/>
        <v>0.18789674952198854</v>
      </c>
      <c r="CB15" s="173">
        <f t="shared" si="3"/>
        <v>0.18782857142857146</v>
      </c>
      <c r="CC15" s="173">
        <f t="shared" si="3"/>
        <v>0.18776091081593904</v>
      </c>
      <c r="CD15" s="549">
        <f t="shared" si="3"/>
        <v>0.18785665360570114</v>
      </c>
      <c r="CE15" s="160"/>
    </row>
    <row r="16" spans="1:83">
      <c r="A16" s="533"/>
      <c r="B16" s="138" t="s">
        <v>268</v>
      </c>
      <c r="C16" s="553"/>
      <c r="D16" s="553"/>
      <c r="E16" s="553"/>
      <c r="F16" s="554"/>
      <c r="G16" s="182"/>
      <c r="H16" s="553"/>
      <c r="I16" s="553"/>
      <c r="J16" s="553"/>
      <c r="K16" s="554"/>
      <c r="L16" s="182"/>
      <c r="M16" s="553"/>
      <c r="N16" s="553"/>
      <c r="O16" s="553"/>
      <c r="P16" s="554"/>
      <c r="Q16" s="182"/>
      <c r="R16" s="553"/>
      <c r="S16" s="553"/>
      <c r="T16" s="553"/>
      <c r="U16" s="554"/>
      <c r="V16" s="182"/>
      <c r="W16" s="553"/>
      <c r="X16" s="553"/>
      <c r="Y16" s="553"/>
      <c r="Z16" s="554"/>
      <c r="AA16" s="182"/>
      <c r="AB16" s="553"/>
      <c r="AC16" s="553"/>
      <c r="AD16" s="553"/>
      <c r="AE16" s="554"/>
      <c r="AF16" s="182"/>
      <c r="AG16" s="553"/>
      <c r="AH16" s="553"/>
      <c r="AI16" s="553"/>
      <c r="AJ16" s="554"/>
      <c r="AK16" s="182"/>
      <c r="AL16" s="553"/>
      <c r="AM16" s="553"/>
      <c r="AN16" s="553"/>
      <c r="AO16" s="554"/>
      <c r="AP16" s="551">
        <v>0.39</v>
      </c>
      <c r="AQ16" s="550">
        <v>0.4</v>
      </c>
      <c r="AR16" s="550">
        <v>0.43</v>
      </c>
      <c r="AS16" s="550">
        <v>0.43</v>
      </c>
      <c r="AT16" s="550">
        <v>0.43</v>
      </c>
      <c r="AU16" s="551">
        <v>0.42</v>
      </c>
      <c r="AV16" s="550">
        <v>0.42</v>
      </c>
      <c r="AW16" s="550">
        <v>0.46</v>
      </c>
      <c r="AX16" s="550">
        <v>0.46</v>
      </c>
      <c r="AY16" s="550">
        <v>0.46</v>
      </c>
      <c r="AZ16" s="549">
        <f>AZ14/AZ6</f>
        <v>0.44627195022878924</v>
      </c>
      <c r="BA16" s="550">
        <v>0.45</v>
      </c>
      <c r="BB16" s="550">
        <v>0.48</v>
      </c>
      <c r="BC16" s="550">
        <v>0.48</v>
      </c>
      <c r="BD16" s="550">
        <f>+BC16</f>
        <v>0.48</v>
      </c>
      <c r="BE16" s="549">
        <f>BE14/BE6</f>
        <v>0.47311870707474835</v>
      </c>
      <c r="BF16" s="550">
        <v>0.48</v>
      </c>
      <c r="BG16" s="550">
        <v>0.48499999999999999</v>
      </c>
      <c r="BH16" s="550">
        <v>0.49</v>
      </c>
      <c r="BI16" s="550">
        <v>0.495</v>
      </c>
      <c r="BJ16" s="549">
        <f>BJ14/BJ6</f>
        <v>0.4880647576165445</v>
      </c>
      <c r="BK16" s="550">
        <v>0.499</v>
      </c>
      <c r="BL16" s="173">
        <f>CHOOSE(_Switch,BL17,BL18,BL19)</f>
        <v>0.503</v>
      </c>
      <c r="BM16" s="173">
        <f>CHOOSE(_Switch,BM17,BM18,BM19)</f>
        <v>0.50700000000000001</v>
      </c>
      <c r="BN16" s="173">
        <f>CHOOSE(_Switch,BN17,BN18,BN19)</f>
        <v>0.51100000000000001</v>
      </c>
      <c r="BO16" s="549">
        <f>BO14/BO6</f>
        <v>0.50538181215848788</v>
      </c>
      <c r="BP16" s="173">
        <f>CHOOSE(_Switch,BP17,BP18,BP19)</f>
        <v>0.51300000000000001</v>
      </c>
      <c r="BQ16" s="173">
        <f>CHOOSE(_Switch,BQ17,BQ18,BQ19)</f>
        <v>0.51500000000000001</v>
      </c>
      <c r="BR16" s="173">
        <f>CHOOSE(_Switch,BR17,BR18,BR19)</f>
        <v>0.51700000000000002</v>
      </c>
      <c r="BS16" s="173">
        <f>CHOOSE(_Switch,BS17,BS18,BS19)</f>
        <v>0.51900000000000002</v>
      </c>
      <c r="BT16" s="549">
        <f>BT14/BT6</f>
        <v>0.51619123938223965</v>
      </c>
      <c r="BU16" s="173">
        <f>CHOOSE(_Switch,BU17,BU18,BU19)</f>
        <v>0.52100000000000002</v>
      </c>
      <c r="BV16" s="173">
        <f>CHOOSE(_Switch,BV17,BV18,BV19)</f>
        <v>0.52300000000000002</v>
      </c>
      <c r="BW16" s="173">
        <f>CHOOSE(_Switch,BW17,BW18,BW19)</f>
        <v>0.52500000000000002</v>
      </c>
      <c r="BX16" s="173">
        <f>CHOOSE(_Switch,BX17,BX18,BX19)</f>
        <v>0.52700000000000002</v>
      </c>
      <c r="BY16" s="549">
        <f>BY14/BY6</f>
        <v>0.52417436137146534</v>
      </c>
      <c r="BZ16" s="173">
        <f>CHOOSE(_Switch,BZ17,BZ18,BZ19)</f>
        <v>0.52900000000000003</v>
      </c>
      <c r="CA16" s="173">
        <f>CHOOSE(_Switch,CA17,CA18,CA19)</f>
        <v>0.53100000000000003</v>
      </c>
      <c r="CB16" s="173">
        <f>CHOOSE(_Switch,CB17,CB18,CB19)</f>
        <v>0.53300000000000003</v>
      </c>
      <c r="CC16" s="173">
        <f>CHOOSE(_Switch,CC17,CC18,CC19)</f>
        <v>0.53500000000000003</v>
      </c>
      <c r="CD16" s="549">
        <f>CD14/CD6</f>
        <v>0.53217436137146523</v>
      </c>
      <c r="CE16" s="160"/>
    </row>
    <row r="17" spans="1:84" outlineLevel="1">
      <c r="A17" s="533"/>
      <c r="B17" s="181" t="s">
        <v>121</v>
      </c>
      <c r="C17" s="553"/>
      <c r="D17" s="553"/>
      <c r="E17" s="553"/>
      <c r="F17" s="554"/>
      <c r="G17" s="182"/>
      <c r="H17" s="553"/>
      <c r="I17" s="553"/>
      <c r="J17" s="553"/>
      <c r="K17" s="554"/>
      <c r="L17" s="182"/>
      <c r="M17" s="553"/>
      <c r="N17" s="553"/>
      <c r="O17" s="553"/>
      <c r="P17" s="554"/>
      <c r="Q17" s="182"/>
      <c r="R17" s="553"/>
      <c r="S17" s="553"/>
      <c r="T17" s="553"/>
      <c r="U17" s="554"/>
      <c r="V17" s="182"/>
      <c r="W17" s="553"/>
      <c r="X17" s="553"/>
      <c r="Y17" s="553"/>
      <c r="Z17" s="554"/>
      <c r="AA17" s="182"/>
      <c r="AB17" s="553"/>
      <c r="AC17" s="553"/>
      <c r="AD17" s="553"/>
      <c r="AE17" s="554"/>
      <c r="AF17" s="182"/>
      <c r="AG17" s="553"/>
      <c r="AH17" s="553"/>
      <c r="AI17" s="553"/>
      <c r="AJ17" s="554"/>
      <c r="AK17" s="182"/>
      <c r="AL17" s="553"/>
      <c r="AM17" s="553"/>
      <c r="AN17" s="553"/>
      <c r="AO17" s="554"/>
      <c r="AP17" s="182"/>
      <c r="AQ17" s="553"/>
      <c r="AR17" s="553"/>
      <c r="AS17" s="553"/>
      <c r="AT17" s="554"/>
      <c r="AU17" s="549"/>
      <c r="AV17" s="555"/>
      <c r="AW17" s="555"/>
      <c r="AX17" s="555"/>
      <c r="AY17" s="555"/>
      <c r="AZ17" s="144"/>
      <c r="BA17" s="555"/>
      <c r="BB17" s="555"/>
      <c r="BC17" s="555"/>
      <c r="BD17" s="555"/>
      <c r="BE17" s="182"/>
      <c r="BF17" s="555"/>
      <c r="BG17" s="555"/>
      <c r="BH17" s="555"/>
      <c r="BI17" s="555"/>
      <c r="BJ17" s="182"/>
      <c r="BK17" s="200"/>
      <c r="BL17" s="200">
        <f>+BL18+1.5%</f>
        <v>0.51800000000000002</v>
      </c>
      <c r="BM17" s="200">
        <f>+BM18+1.5%</f>
        <v>0.52200000000000002</v>
      </c>
      <c r="BN17" s="200">
        <f>+BN18+1.5%</f>
        <v>0.52600000000000002</v>
      </c>
      <c r="BO17" s="182"/>
      <c r="BP17" s="200">
        <f>+BP18+1.5%</f>
        <v>0.52800000000000002</v>
      </c>
      <c r="BQ17" s="200">
        <f>+BQ18+1.5%</f>
        <v>0.53</v>
      </c>
      <c r="BR17" s="200">
        <f>+BR18+1.5%</f>
        <v>0.53200000000000003</v>
      </c>
      <c r="BS17" s="200">
        <f>+BS18+1.5%</f>
        <v>0.53400000000000003</v>
      </c>
      <c r="BT17" s="182"/>
      <c r="BU17" s="200">
        <f>+BU18+1.5%</f>
        <v>0.53600000000000003</v>
      </c>
      <c r="BV17" s="200">
        <f>+BV18+1.5%</f>
        <v>0.53800000000000003</v>
      </c>
      <c r="BW17" s="200">
        <f>+BW18+1.5%</f>
        <v>0.54</v>
      </c>
      <c r="BX17" s="200">
        <f>+BX18+1.5%</f>
        <v>0.54200000000000004</v>
      </c>
      <c r="BY17" s="182"/>
      <c r="BZ17" s="200">
        <f>+BZ18+1.5%</f>
        <v>0.54400000000000004</v>
      </c>
      <c r="CA17" s="200">
        <f>+CA18+1.5%</f>
        <v>0.54600000000000004</v>
      </c>
      <c r="CB17" s="200">
        <f>+CB18+1.5%</f>
        <v>0.54800000000000004</v>
      </c>
      <c r="CC17" s="200">
        <f>+CC18+1.5%</f>
        <v>0.55000000000000004</v>
      </c>
      <c r="CD17" s="182"/>
      <c r="CE17" s="160"/>
    </row>
    <row r="18" spans="1:84" outlineLevel="1">
      <c r="A18" s="533"/>
      <c r="B18" s="181" t="s">
        <v>122</v>
      </c>
      <c r="C18" s="553"/>
      <c r="D18" s="553"/>
      <c r="E18" s="553"/>
      <c r="F18" s="554"/>
      <c r="G18" s="182"/>
      <c r="H18" s="553"/>
      <c r="I18" s="553"/>
      <c r="J18" s="553"/>
      <c r="K18" s="554"/>
      <c r="L18" s="182"/>
      <c r="M18" s="553"/>
      <c r="N18" s="553"/>
      <c r="O18" s="553"/>
      <c r="P18" s="554"/>
      <c r="Q18" s="182"/>
      <c r="R18" s="553"/>
      <c r="S18" s="553"/>
      <c r="T18" s="553"/>
      <c r="U18" s="554"/>
      <c r="V18" s="182"/>
      <c r="W18" s="553"/>
      <c r="X18" s="553"/>
      <c r="Y18" s="553"/>
      <c r="Z18" s="554"/>
      <c r="AA18" s="182"/>
      <c r="AB18" s="553"/>
      <c r="AC18" s="553"/>
      <c r="AD18" s="553"/>
      <c r="AE18" s="554"/>
      <c r="AF18" s="182"/>
      <c r="AG18" s="553"/>
      <c r="AH18" s="553"/>
      <c r="AI18" s="553"/>
      <c r="AJ18" s="554"/>
      <c r="AK18" s="182"/>
      <c r="AL18" s="553"/>
      <c r="AM18" s="553"/>
      <c r="AN18" s="553"/>
      <c r="AO18" s="554"/>
      <c r="AP18" s="182"/>
      <c r="AQ18" s="553"/>
      <c r="AR18" s="553"/>
      <c r="AS18" s="553"/>
      <c r="AT18" s="554"/>
      <c r="AU18" s="549"/>
      <c r="AV18" s="555"/>
      <c r="AW18" s="555"/>
      <c r="AX18" s="555"/>
      <c r="AY18" s="555"/>
      <c r="AZ18" s="144"/>
      <c r="BA18" s="555"/>
      <c r="BB18" s="555"/>
      <c r="BC18" s="555"/>
      <c r="BD18" s="555"/>
      <c r="BE18" s="182"/>
      <c r="BF18" s="555"/>
      <c r="BG18" s="555"/>
      <c r="BH18" s="555"/>
      <c r="BI18" s="555"/>
      <c r="BJ18" s="182"/>
      <c r="BK18" s="200"/>
      <c r="BL18" s="200">
        <v>0.503</v>
      </c>
      <c r="BM18" s="200">
        <f>BL18+0.004</f>
        <v>0.50700000000000001</v>
      </c>
      <c r="BN18" s="200">
        <f>BM18+0.004</f>
        <v>0.51100000000000001</v>
      </c>
      <c r="BO18" s="182"/>
      <c r="BP18" s="200">
        <f>BN18+0.002</f>
        <v>0.51300000000000001</v>
      </c>
      <c r="BQ18" s="200">
        <f>BP18+0.002</f>
        <v>0.51500000000000001</v>
      </c>
      <c r="BR18" s="200">
        <f>BQ18+0.002</f>
        <v>0.51700000000000002</v>
      </c>
      <c r="BS18" s="200">
        <f>BR18+0.002</f>
        <v>0.51900000000000002</v>
      </c>
      <c r="BT18" s="182"/>
      <c r="BU18" s="200">
        <f>BS18+0.002</f>
        <v>0.52100000000000002</v>
      </c>
      <c r="BV18" s="200">
        <f>BU18+0.002</f>
        <v>0.52300000000000002</v>
      </c>
      <c r="BW18" s="200">
        <f>BV18+0.002</f>
        <v>0.52500000000000002</v>
      </c>
      <c r="BX18" s="200">
        <f>BW18+0.002</f>
        <v>0.52700000000000002</v>
      </c>
      <c r="BY18" s="182"/>
      <c r="BZ18" s="200">
        <f>BX18+0.002</f>
        <v>0.52900000000000003</v>
      </c>
      <c r="CA18" s="200">
        <f>BZ18+0.002</f>
        <v>0.53100000000000003</v>
      </c>
      <c r="CB18" s="200">
        <f>CA18+0.002</f>
        <v>0.53300000000000003</v>
      </c>
      <c r="CC18" s="200">
        <f>CB18+0.002</f>
        <v>0.53500000000000003</v>
      </c>
      <c r="CD18" s="182"/>
      <c r="CE18" s="160"/>
    </row>
    <row r="19" spans="1:84" outlineLevel="1">
      <c r="A19" s="533"/>
      <c r="B19" s="181" t="s">
        <v>123</v>
      </c>
      <c r="C19" s="553"/>
      <c r="D19" s="553"/>
      <c r="E19" s="553"/>
      <c r="F19" s="554"/>
      <c r="G19" s="182"/>
      <c r="H19" s="553"/>
      <c r="I19" s="553"/>
      <c r="J19" s="553"/>
      <c r="K19" s="554"/>
      <c r="L19" s="182"/>
      <c r="M19" s="553"/>
      <c r="N19" s="553"/>
      <c r="O19" s="553"/>
      <c r="P19" s="554"/>
      <c r="Q19" s="182"/>
      <c r="R19" s="553"/>
      <c r="S19" s="553"/>
      <c r="T19" s="553"/>
      <c r="U19" s="554"/>
      <c r="V19" s="182"/>
      <c r="W19" s="553"/>
      <c r="X19" s="553"/>
      <c r="Y19" s="553"/>
      <c r="Z19" s="554"/>
      <c r="AA19" s="182"/>
      <c r="AB19" s="553"/>
      <c r="AC19" s="553"/>
      <c r="AD19" s="553"/>
      <c r="AE19" s="554"/>
      <c r="AF19" s="182"/>
      <c r="AG19" s="553"/>
      <c r="AH19" s="553"/>
      <c r="AI19" s="553"/>
      <c r="AJ19" s="554"/>
      <c r="AK19" s="182"/>
      <c r="AL19" s="553"/>
      <c r="AM19" s="553"/>
      <c r="AN19" s="553"/>
      <c r="AO19" s="554"/>
      <c r="AP19" s="182"/>
      <c r="AQ19" s="553"/>
      <c r="AR19" s="553"/>
      <c r="AS19" s="553"/>
      <c r="AT19" s="554"/>
      <c r="AU19" s="549"/>
      <c r="AV19" s="555"/>
      <c r="AW19" s="555"/>
      <c r="AX19" s="555"/>
      <c r="AY19" s="555"/>
      <c r="AZ19" s="144"/>
      <c r="BA19" s="555"/>
      <c r="BB19" s="555"/>
      <c r="BC19" s="555"/>
      <c r="BD19" s="555"/>
      <c r="BE19" s="182"/>
      <c r="BF19" s="555"/>
      <c r="BG19" s="555"/>
      <c r="BH19" s="555"/>
      <c r="BI19" s="555"/>
      <c r="BJ19" s="182"/>
      <c r="BK19" s="200"/>
      <c r="BL19" s="200">
        <f>BL18-0.5%</f>
        <v>0.498</v>
      </c>
      <c r="BM19" s="200">
        <f>BM18-0.5%</f>
        <v>0.502</v>
      </c>
      <c r="BN19" s="200">
        <f>BN18-0.5%</f>
        <v>0.50600000000000001</v>
      </c>
      <c r="BO19" s="182"/>
      <c r="BP19" s="200">
        <f>BP18-0.5%</f>
        <v>0.50800000000000001</v>
      </c>
      <c r="BQ19" s="200">
        <f>BQ18-0.5%</f>
        <v>0.51</v>
      </c>
      <c r="BR19" s="200">
        <f>BR18-0.5%</f>
        <v>0.51200000000000001</v>
      </c>
      <c r="BS19" s="200">
        <f>BS18-0.5%</f>
        <v>0.51400000000000001</v>
      </c>
      <c r="BT19" s="182"/>
      <c r="BU19" s="200">
        <f>BU18-0.5%</f>
        <v>0.51600000000000001</v>
      </c>
      <c r="BV19" s="200">
        <f>BV18-0.5%</f>
        <v>0.51800000000000002</v>
      </c>
      <c r="BW19" s="200">
        <f>BW18-0.5%</f>
        <v>0.52</v>
      </c>
      <c r="BX19" s="200">
        <f>BX18-0.5%</f>
        <v>0.52200000000000002</v>
      </c>
      <c r="BY19" s="182"/>
      <c r="BZ19" s="200">
        <f>BZ18-0.5%</f>
        <v>0.52400000000000002</v>
      </c>
      <c r="CA19" s="200">
        <f>CA18-0.5%</f>
        <v>0.52600000000000002</v>
      </c>
      <c r="CB19" s="200">
        <f>CB18-0.5%</f>
        <v>0.52800000000000002</v>
      </c>
      <c r="CC19" s="200">
        <f>CC18-0.5%</f>
        <v>0.53</v>
      </c>
      <c r="CD19" s="182"/>
      <c r="CE19" s="160"/>
    </row>
    <row r="20" spans="1:84">
      <c r="A20" s="533"/>
      <c r="B20" s="560"/>
      <c r="C20" s="553"/>
      <c r="D20" s="553"/>
      <c r="E20" s="553"/>
      <c r="F20" s="554"/>
      <c r="G20" s="182"/>
      <c r="H20" s="553"/>
      <c r="I20" s="553"/>
      <c r="J20" s="553"/>
      <c r="K20" s="554"/>
      <c r="L20" s="182"/>
      <c r="M20" s="553"/>
      <c r="N20" s="553"/>
      <c r="O20" s="553"/>
      <c r="P20" s="554"/>
      <c r="Q20" s="182"/>
      <c r="R20" s="553"/>
      <c r="S20" s="553"/>
      <c r="T20" s="553"/>
      <c r="U20" s="554"/>
      <c r="V20" s="182"/>
      <c r="W20" s="553"/>
      <c r="X20" s="553"/>
      <c r="Y20" s="553"/>
      <c r="Z20" s="554"/>
      <c r="AA20" s="182"/>
      <c r="AB20" s="553"/>
      <c r="AC20" s="553"/>
      <c r="AD20" s="553"/>
      <c r="AE20" s="554"/>
      <c r="AF20" s="182"/>
      <c r="AG20" s="553"/>
      <c r="AH20" s="553"/>
      <c r="AI20" s="553"/>
      <c r="AJ20" s="554"/>
      <c r="AK20" s="182"/>
      <c r="AL20" s="553"/>
      <c r="AM20" s="553"/>
      <c r="AN20" s="553"/>
      <c r="AO20" s="554"/>
      <c r="AP20" s="182"/>
      <c r="AQ20" s="553"/>
      <c r="AR20" s="553"/>
      <c r="AS20" s="553"/>
      <c r="AT20" s="554"/>
      <c r="AU20" s="549"/>
      <c r="AV20" s="555"/>
      <c r="AW20" s="555"/>
      <c r="AX20" s="555"/>
      <c r="AY20" s="555"/>
      <c r="AZ20" s="144"/>
      <c r="BA20" s="555"/>
      <c r="BB20" s="555"/>
      <c r="BC20" s="555"/>
      <c r="BD20" s="555"/>
      <c r="BE20" s="182"/>
      <c r="BF20" s="555"/>
      <c r="BG20" s="555"/>
      <c r="BH20" s="555"/>
      <c r="BI20" s="555"/>
      <c r="BJ20" s="182"/>
      <c r="BK20" s="555"/>
      <c r="BL20" s="555"/>
      <c r="BM20" s="555"/>
      <c r="BN20" s="555"/>
      <c r="BO20" s="182"/>
      <c r="BP20" s="555"/>
      <c r="BQ20" s="555"/>
      <c r="BR20" s="555"/>
      <c r="BS20" s="555"/>
      <c r="BT20" s="182"/>
      <c r="BU20" s="555"/>
      <c r="BV20" s="555"/>
      <c r="BW20" s="555"/>
      <c r="BX20" s="555"/>
      <c r="BY20" s="182"/>
      <c r="BZ20" s="555"/>
      <c r="CA20" s="555"/>
      <c r="CB20" s="555"/>
      <c r="CC20" s="555"/>
      <c r="CD20" s="182"/>
      <c r="CE20" s="160"/>
    </row>
    <row r="21" spans="1:84">
      <c r="A21" s="533"/>
      <c r="B21" s="561" t="s">
        <v>269</v>
      </c>
      <c r="C21" s="553"/>
      <c r="D21" s="553"/>
      <c r="E21" s="553"/>
      <c r="F21" s="554"/>
      <c r="G21" s="182"/>
      <c r="H21" s="553"/>
      <c r="I21" s="553"/>
      <c r="J21" s="553"/>
      <c r="K21" s="554"/>
      <c r="L21" s="182"/>
      <c r="M21" s="553"/>
      <c r="N21" s="553"/>
      <c r="O21" s="553"/>
      <c r="P21" s="554"/>
      <c r="Q21" s="182"/>
      <c r="R21" s="553"/>
      <c r="S21" s="553"/>
      <c r="T21" s="553"/>
      <c r="U21" s="554"/>
      <c r="V21" s="182"/>
      <c r="W21" s="553"/>
      <c r="X21" s="553"/>
      <c r="Y21" s="553"/>
      <c r="Z21" s="554"/>
      <c r="AA21" s="182"/>
      <c r="AB21" s="553"/>
      <c r="AC21" s="553"/>
      <c r="AD21" s="553"/>
      <c r="AE21" s="554"/>
      <c r="AF21" s="182"/>
      <c r="AG21" s="553"/>
      <c r="AH21" s="553"/>
      <c r="AI21" s="553"/>
      <c r="AJ21" s="554"/>
      <c r="AK21" s="182"/>
      <c r="AL21" s="553"/>
      <c r="AM21" s="553"/>
      <c r="AN21" s="553"/>
      <c r="AO21" s="554"/>
      <c r="AP21" s="562">
        <f t="shared" ref="AP21:CD21" si="4">+AP6-AP14</f>
        <v>113219.66</v>
      </c>
      <c r="AQ21" s="318">
        <f t="shared" si="4"/>
        <v>32205.599999999999</v>
      </c>
      <c r="AR21" s="318">
        <f t="shared" si="4"/>
        <v>32339.52</v>
      </c>
      <c r="AS21" s="318">
        <f t="shared" si="4"/>
        <v>33164.880000000005</v>
      </c>
      <c r="AT21" s="318">
        <f t="shared" si="4"/>
        <v>37642.229999999996</v>
      </c>
      <c r="AU21" s="562">
        <f t="shared" si="4"/>
        <v>136088.29999999999</v>
      </c>
      <c r="AV21" s="318">
        <f t="shared" si="4"/>
        <v>36552.18</v>
      </c>
      <c r="AW21" s="318">
        <f t="shared" si="4"/>
        <v>36440.28</v>
      </c>
      <c r="AX21" s="318">
        <f>+AX6-AX14</f>
        <v>38511.18</v>
      </c>
      <c r="AY21" s="318">
        <f t="shared" si="4"/>
        <v>44875.08</v>
      </c>
      <c r="AZ21" s="562">
        <f t="shared" si="4"/>
        <v>159494.72</v>
      </c>
      <c r="BA21" s="318">
        <f t="shared" si="4"/>
        <v>45407.45</v>
      </c>
      <c r="BB21" s="318">
        <f t="shared" si="4"/>
        <v>45636.76</v>
      </c>
      <c r="BC21" s="318">
        <f>+BC6-BC14</f>
        <v>46225.4</v>
      </c>
      <c r="BD21" s="318">
        <f t="shared" si="4"/>
        <v>52369.72</v>
      </c>
      <c r="BE21" s="562">
        <f t="shared" si="4"/>
        <v>189639.33</v>
      </c>
      <c r="BF21" s="318">
        <f t="shared" si="4"/>
        <v>52332.28</v>
      </c>
      <c r="BG21" s="318">
        <f t="shared" si="4"/>
        <v>55517</v>
      </c>
      <c r="BH21" s="318">
        <f t="shared" si="4"/>
        <v>58764.24</v>
      </c>
      <c r="BI21" s="318">
        <f t="shared" si="4"/>
        <v>66920.074999999997</v>
      </c>
      <c r="BJ21" s="562">
        <f t="shared" si="4"/>
        <v>233533.59499999997</v>
      </c>
      <c r="BK21" s="318">
        <f t="shared" si="4"/>
        <v>66314.364000000001</v>
      </c>
      <c r="BL21" s="318">
        <f t="shared" si="4"/>
        <v>69858.984922231597</v>
      </c>
      <c r="BM21" s="318">
        <f t="shared" si="4"/>
        <v>72500.557585471994</v>
      </c>
      <c r="BN21" s="318">
        <f t="shared" si="4"/>
        <v>81950.653307452885</v>
      </c>
      <c r="BO21" s="562">
        <f t="shared" si="4"/>
        <v>290624.55981515645</v>
      </c>
      <c r="BP21" s="318">
        <f t="shared" si="4"/>
        <v>79121.736822727195</v>
      </c>
      <c r="BQ21" s="318">
        <f t="shared" si="4"/>
        <v>83715.521609623131</v>
      </c>
      <c r="BR21" s="318">
        <f t="shared" si="4"/>
        <v>87224.788473276858</v>
      </c>
      <c r="BS21" s="318">
        <f t="shared" si="4"/>
        <v>98989.015312487885</v>
      </c>
      <c r="BT21" s="562">
        <f t="shared" si="4"/>
        <v>349051.06221811502</v>
      </c>
      <c r="BU21" s="318">
        <f t="shared" si="4"/>
        <v>93386.394919309212</v>
      </c>
      <c r="BV21" s="318">
        <f t="shared" si="4"/>
        <v>98801.576431645939</v>
      </c>
      <c r="BW21" s="318">
        <f t="shared" si="4"/>
        <v>101220.48434631816</v>
      </c>
      <c r="BX21" s="318">
        <f t="shared" si="4"/>
        <v>114864.30146883988</v>
      </c>
      <c r="BY21" s="562">
        <f t="shared" si="4"/>
        <v>408272.75716611306</v>
      </c>
      <c r="BZ21" s="318">
        <f t="shared" si="4"/>
        <v>107437.24561207456</v>
      </c>
      <c r="CA21" s="318">
        <f t="shared" si="4"/>
        <v>113659.09651014062</v>
      </c>
      <c r="CB21" s="318">
        <f t="shared" si="4"/>
        <v>116433.39040417847</v>
      </c>
      <c r="CC21" s="318">
        <f t="shared" si="4"/>
        <v>132118.23089666455</v>
      </c>
      <c r="CD21" s="562">
        <f t="shared" si="4"/>
        <v>469647.96342305827</v>
      </c>
      <c r="CE21" s="160"/>
    </row>
    <row r="22" spans="1:84">
      <c r="A22" s="533"/>
      <c r="B22" s="138" t="s">
        <v>21</v>
      </c>
      <c r="C22" s="553"/>
      <c r="D22" s="553"/>
      <c r="E22" s="553"/>
      <c r="F22" s="554"/>
      <c r="G22" s="182"/>
      <c r="H22" s="553"/>
      <c r="I22" s="553"/>
      <c r="J22" s="553"/>
      <c r="K22" s="554"/>
      <c r="L22" s="182"/>
      <c r="M22" s="553"/>
      <c r="N22" s="553"/>
      <c r="O22" s="553"/>
      <c r="P22" s="554"/>
      <c r="Q22" s="182"/>
      <c r="R22" s="553"/>
      <c r="S22" s="553"/>
      <c r="T22" s="553"/>
      <c r="U22" s="554"/>
      <c r="V22" s="182"/>
      <c r="W22" s="553"/>
      <c r="X22" s="553"/>
      <c r="Y22" s="553"/>
      <c r="Z22" s="554"/>
      <c r="AA22" s="182"/>
      <c r="AB22" s="553"/>
      <c r="AC22" s="553"/>
      <c r="AD22" s="553"/>
      <c r="AE22" s="554"/>
      <c r="AF22" s="182"/>
      <c r="AG22" s="553"/>
      <c r="AH22" s="553"/>
      <c r="AI22" s="553"/>
      <c r="AJ22" s="554"/>
      <c r="AK22" s="182"/>
      <c r="AL22" s="553"/>
      <c r="AM22" s="553"/>
      <c r="AN22" s="553"/>
      <c r="AO22" s="554"/>
      <c r="AP22" s="182"/>
      <c r="AQ22" s="553"/>
      <c r="AR22" s="553"/>
      <c r="AS22" s="553"/>
      <c r="AT22" s="554"/>
      <c r="AU22" s="549">
        <f>+AU21/AP21-1</f>
        <v>0.201984708309493</v>
      </c>
      <c r="AV22" s="559">
        <f>AV21/AQ21-1</f>
        <v>0.13496348461137209</v>
      </c>
      <c r="AW22" s="559">
        <f>AW21/AR21-1</f>
        <v>0.12680336628372957</v>
      </c>
      <c r="AX22" s="559">
        <f>AX21/AS21-1</f>
        <v>0.16120365881016285</v>
      </c>
      <c r="AY22" s="559">
        <f>AY21/AT21-1</f>
        <v>0.19214722400877959</v>
      </c>
      <c r="AZ22" s="549">
        <f>+AZ21/AU21-1</f>
        <v>0.17199435954450171</v>
      </c>
      <c r="BA22" s="559">
        <f>BA21/AV21-1</f>
        <v>0.2422637993137482</v>
      </c>
      <c r="BB22" s="559">
        <f>BB21/AW21-1</f>
        <v>0.25237127705934204</v>
      </c>
      <c r="BC22" s="559">
        <f>BC21/AX21-1</f>
        <v>0.2003111823631476</v>
      </c>
      <c r="BD22" s="559">
        <f>BD21/AY21-1</f>
        <v>0.16701117858731385</v>
      </c>
      <c r="BE22" s="549">
        <f>+BE21/AZ21-1</f>
        <v>0.18900067663681908</v>
      </c>
      <c r="BF22" s="559">
        <f>BF21/BA21-1</f>
        <v>0.15250426967380903</v>
      </c>
      <c r="BG22" s="559">
        <f>BG21/BB21-1</f>
        <v>0.2164974025325197</v>
      </c>
      <c r="BH22" s="559">
        <f>BH21/BC21-1</f>
        <v>0.27125433203390337</v>
      </c>
      <c r="BI22" s="559">
        <f>BI21/BD21-1</f>
        <v>0.27783908334816365</v>
      </c>
      <c r="BJ22" s="549">
        <f>+BJ21/BE21-1</f>
        <v>0.23146182281913763</v>
      </c>
      <c r="BK22" s="559">
        <f>BK21/BF21-1</f>
        <v>0.26717895723251495</v>
      </c>
      <c r="BL22" s="559">
        <f>BL21/BG21-1</f>
        <v>0.25833501309925966</v>
      </c>
      <c r="BM22" s="559">
        <f>BM21/BH21-1</f>
        <v>0.23375300328009008</v>
      </c>
      <c r="BN22" s="559">
        <f>BN21/BI21-1</f>
        <v>0.22460492322300718</v>
      </c>
      <c r="BO22" s="549">
        <f>+BO21/BJ21-1</f>
        <v>0.24446574727356252</v>
      </c>
      <c r="BP22" s="559">
        <f>BP21/BK21-1</f>
        <v>0.19313120190261035</v>
      </c>
      <c r="BQ22" s="559">
        <f>BQ21/BL21-1</f>
        <v>0.19835010060362168</v>
      </c>
      <c r="BR22" s="559">
        <f>BR21/BM21-1</f>
        <v>0.20309127789046655</v>
      </c>
      <c r="BS22" s="559">
        <f>BS21/BN21-1</f>
        <v>0.20791002044989759</v>
      </c>
      <c r="BT22" s="549">
        <f>+BT21/BO21-1</f>
        <v>0.20103773211775056</v>
      </c>
      <c r="BU22" s="559">
        <f>BU21/BP21-1</f>
        <v>0.1802874743326488</v>
      </c>
      <c r="BV22" s="559">
        <f>BV21/BQ21-1</f>
        <v>0.18020618556701029</v>
      </c>
      <c r="BW22" s="559">
        <f>BW21/BR21-1</f>
        <v>0.16045548654244279</v>
      </c>
      <c r="BX22" s="559">
        <f>BX21/BS21-1</f>
        <v>0.16037422037422022</v>
      </c>
      <c r="BY22" s="549">
        <f>+BY21/BT21-1</f>
        <v>0.16966484666072024</v>
      </c>
      <c r="BZ22" s="559">
        <f>BZ21/BU21-1</f>
        <v>0.15045929018789117</v>
      </c>
      <c r="CA22" s="559">
        <f>CA21/BV21-1</f>
        <v>0.1503773584905661</v>
      </c>
      <c r="CB22" s="559">
        <f>CB21/BW21-1</f>
        <v>0.15029473684210504</v>
      </c>
      <c r="CC22" s="559">
        <f>CC21/BX21-1</f>
        <v>0.15021141649048619</v>
      </c>
      <c r="CD22" s="549">
        <f>+CD21/BY21-1</f>
        <v>0.15032892883414606</v>
      </c>
      <c r="CE22" s="160"/>
    </row>
    <row r="23" spans="1:84">
      <c r="A23" s="533"/>
      <c r="B23" s="138" t="s">
        <v>268</v>
      </c>
      <c r="C23" s="553"/>
      <c r="D23" s="553"/>
      <c r="E23" s="553"/>
      <c r="F23" s="554"/>
      <c r="G23" s="182"/>
      <c r="H23" s="553"/>
      <c r="I23" s="553"/>
      <c r="J23" s="553"/>
      <c r="K23" s="554"/>
      <c r="L23" s="182"/>
      <c r="M23" s="553"/>
      <c r="N23" s="553"/>
      <c r="O23" s="553"/>
      <c r="P23" s="554"/>
      <c r="Q23" s="182"/>
      <c r="R23" s="553"/>
      <c r="S23" s="553"/>
      <c r="T23" s="553"/>
      <c r="U23" s="554"/>
      <c r="V23" s="182"/>
      <c r="W23" s="553"/>
      <c r="X23" s="553"/>
      <c r="Y23" s="553"/>
      <c r="Z23" s="554"/>
      <c r="AA23" s="182"/>
      <c r="AB23" s="553"/>
      <c r="AC23" s="553"/>
      <c r="AD23" s="553"/>
      <c r="AE23" s="554"/>
      <c r="AF23" s="182"/>
      <c r="AG23" s="553"/>
      <c r="AH23" s="553"/>
      <c r="AI23" s="553"/>
      <c r="AJ23" s="554"/>
      <c r="AK23" s="182"/>
      <c r="AL23" s="553"/>
      <c r="AM23" s="553"/>
      <c r="AN23" s="553"/>
      <c r="AO23" s="554"/>
      <c r="AP23" s="549">
        <f t="shared" ref="AP23:CD23" si="5">+AP21/AP6</f>
        <v>0.61</v>
      </c>
      <c r="AQ23" s="173">
        <f t="shared" si="5"/>
        <v>0.6</v>
      </c>
      <c r="AR23" s="173">
        <f t="shared" si="5"/>
        <v>0.57000000000000006</v>
      </c>
      <c r="AS23" s="173">
        <f t="shared" si="5"/>
        <v>0.57000000000000006</v>
      </c>
      <c r="AT23" s="173">
        <f t="shared" si="5"/>
        <v>0.56999999999999995</v>
      </c>
      <c r="AU23" s="549">
        <f t="shared" si="5"/>
        <v>0.57999999999999996</v>
      </c>
      <c r="AV23" s="173">
        <f t="shared" si="5"/>
        <v>0.57999999999999996</v>
      </c>
      <c r="AW23" s="173">
        <f t="shared" si="5"/>
        <v>0.54</v>
      </c>
      <c r="AX23" s="173">
        <f>+AX21/AX6</f>
        <v>0.54</v>
      </c>
      <c r="AY23" s="173">
        <f t="shared" si="5"/>
        <v>0.54</v>
      </c>
      <c r="AZ23" s="549">
        <f t="shared" si="5"/>
        <v>0.55372804977121071</v>
      </c>
      <c r="BA23" s="173">
        <f t="shared" si="5"/>
        <v>0.54999999999999993</v>
      </c>
      <c r="BB23" s="173">
        <f t="shared" si="5"/>
        <v>0.52</v>
      </c>
      <c r="BC23" s="173">
        <f>+BC21/BC6</f>
        <v>0.52</v>
      </c>
      <c r="BD23" s="173">
        <f t="shared" si="5"/>
        <v>0.52</v>
      </c>
      <c r="BE23" s="549">
        <f t="shared" si="5"/>
        <v>0.52688129292525165</v>
      </c>
      <c r="BF23" s="173">
        <f t="shared" si="5"/>
        <v>0.52</v>
      </c>
      <c r="BG23" s="173">
        <f t="shared" si="5"/>
        <v>0.51500000000000001</v>
      </c>
      <c r="BH23" s="173">
        <f t="shared" si="5"/>
        <v>0.51</v>
      </c>
      <c r="BI23" s="173">
        <f t="shared" si="5"/>
        <v>0.505</v>
      </c>
      <c r="BJ23" s="549">
        <f t="shared" si="5"/>
        <v>0.51193524238345556</v>
      </c>
      <c r="BK23" s="173">
        <f t="shared" si="5"/>
        <v>0.501</v>
      </c>
      <c r="BL23" s="173">
        <f t="shared" si="5"/>
        <v>0.49699999999999994</v>
      </c>
      <c r="BM23" s="173">
        <f t="shared" si="5"/>
        <v>0.49299999999999999</v>
      </c>
      <c r="BN23" s="173">
        <f t="shared" si="5"/>
        <v>0.48900000000000005</v>
      </c>
      <c r="BO23" s="549">
        <f t="shared" si="5"/>
        <v>0.49461818784151212</v>
      </c>
      <c r="BP23" s="173">
        <f t="shared" si="5"/>
        <v>0.48700000000000004</v>
      </c>
      <c r="BQ23" s="173">
        <f t="shared" si="5"/>
        <v>0.48499999999999999</v>
      </c>
      <c r="BR23" s="173">
        <f t="shared" si="5"/>
        <v>0.48299999999999998</v>
      </c>
      <c r="BS23" s="173">
        <f t="shared" si="5"/>
        <v>0.48099999999999998</v>
      </c>
      <c r="BT23" s="549">
        <f t="shared" si="5"/>
        <v>0.48380876061776035</v>
      </c>
      <c r="BU23" s="173">
        <f t="shared" si="5"/>
        <v>0.47900000000000004</v>
      </c>
      <c r="BV23" s="173">
        <f t="shared" si="5"/>
        <v>0.47699999999999998</v>
      </c>
      <c r="BW23" s="173">
        <f t="shared" si="5"/>
        <v>0.47499999999999998</v>
      </c>
      <c r="BX23" s="173">
        <f t="shared" si="5"/>
        <v>0.47299999999999998</v>
      </c>
      <c r="BY23" s="549">
        <f t="shared" si="5"/>
        <v>0.47582563862853466</v>
      </c>
      <c r="BZ23" s="173">
        <f t="shared" si="5"/>
        <v>0.47099999999999997</v>
      </c>
      <c r="CA23" s="173">
        <f t="shared" si="5"/>
        <v>0.46899999999999997</v>
      </c>
      <c r="CB23" s="173">
        <f t="shared" si="5"/>
        <v>0.46699999999999992</v>
      </c>
      <c r="CC23" s="173">
        <f t="shared" si="5"/>
        <v>0.46499999999999997</v>
      </c>
      <c r="CD23" s="549">
        <f t="shared" si="5"/>
        <v>0.46782563862853477</v>
      </c>
      <c r="CE23" s="160"/>
    </row>
    <row r="24" spans="1:84">
      <c r="A24" s="533"/>
      <c r="B24" s="560"/>
      <c r="C24" s="553"/>
      <c r="D24" s="553"/>
      <c r="E24" s="553"/>
      <c r="F24" s="554"/>
      <c r="G24" s="182"/>
      <c r="H24" s="553"/>
      <c r="I24" s="553"/>
      <c r="J24" s="553"/>
      <c r="K24" s="554"/>
      <c r="L24" s="182"/>
      <c r="M24" s="553"/>
      <c r="N24" s="553"/>
      <c r="O24" s="553"/>
      <c r="P24" s="554"/>
      <c r="Q24" s="182"/>
      <c r="R24" s="553"/>
      <c r="S24" s="553"/>
      <c r="T24" s="553"/>
      <c r="U24" s="554"/>
      <c r="V24" s="182"/>
      <c r="W24" s="553"/>
      <c r="X24" s="553"/>
      <c r="Y24" s="553"/>
      <c r="Z24" s="554"/>
      <c r="AA24" s="182"/>
      <c r="AB24" s="553"/>
      <c r="AC24" s="553"/>
      <c r="AD24" s="553"/>
      <c r="AE24" s="554"/>
      <c r="AF24" s="182"/>
      <c r="AG24" s="553"/>
      <c r="AH24" s="553"/>
      <c r="AI24" s="553"/>
      <c r="AJ24" s="554"/>
      <c r="AK24" s="182"/>
      <c r="AL24" s="553"/>
      <c r="AM24" s="553"/>
      <c r="AN24" s="553"/>
      <c r="AO24" s="554"/>
      <c r="AP24" s="182"/>
      <c r="AQ24" s="553"/>
      <c r="AR24" s="553"/>
      <c r="AS24" s="553"/>
      <c r="AT24" s="554"/>
      <c r="AU24" s="549"/>
      <c r="AV24" s="555"/>
      <c r="AW24" s="555"/>
      <c r="AX24" s="555"/>
      <c r="AY24" s="555"/>
      <c r="AZ24" s="144"/>
      <c r="BA24" s="555"/>
      <c r="BB24" s="555"/>
      <c r="BC24" s="555"/>
      <c r="BD24" s="555"/>
      <c r="BE24" s="182"/>
      <c r="BF24" s="555"/>
      <c r="BG24" s="555"/>
      <c r="BH24" s="555"/>
      <c r="BI24" s="555"/>
      <c r="BJ24" s="182"/>
      <c r="BK24" s="555"/>
      <c r="BL24" s="555"/>
      <c r="BM24" s="555"/>
      <c r="BN24" s="555"/>
      <c r="BO24" s="182"/>
      <c r="BP24" s="555"/>
      <c r="BQ24" s="555"/>
      <c r="BR24" s="555"/>
      <c r="BS24" s="555"/>
      <c r="BT24" s="182"/>
      <c r="BU24" s="555"/>
      <c r="BV24" s="555"/>
      <c r="BW24" s="555"/>
      <c r="BX24" s="555"/>
      <c r="BY24" s="182"/>
      <c r="BZ24" s="555"/>
      <c r="CA24" s="555"/>
      <c r="CB24" s="555"/>
      <c r="CC24" s="555"/>
      <c r="CD24" s="182"/>
      <c r="CE24" s="160"/>
    </row>
    <row r="25" spans="1:84">
      <c r="A25" s="564"/>
      <c r="B25" s="300" t="s">
        <v>270</v>
      </c>
      <c r="C25" s="565"/>
      <c r="D25" s="565"/>
      <c r="E25" s="565"/>
      <c r="F25" s="565"/>
      <c r="G25" s="566"/>
      <c r="H25" s="565"/>
      <c r="I25" s="565"/>
      <c r="J25" s="565"/>
      <c r="K25" s="565"/>
      <c r="L25" s="566"/>
      <c r="M25" s="565"/>
      <c r="N25" s="565"/>
      <c r="O25" s="565"/>
      <c r="P25" s="565"/>
      <c r="Q25" s="566"/>
      <c r="R25" s="565"/>
      <c r="S25" s="565"/>
      <c r="T25" s="565"/>
      <c r="U25" s="565"/>
      <c r="V25" s="566"/>
      <c r="W25" s="565"/>
      <c r="X25" s="565"/>
      <c r="Y25" s="565"/>
      <c r="Z25" s="565"/>
      <c r="AA25" s="566"/>
      <c r="AB25" s="565"/>
      <c r="AC25" s="565"/>
      <c r="AD25" s="565"/>
      <c r="AE25" s="565"/>
      <c r="AF25" s="566"/>
      <c r="AG25" s="565"/>
      <c r="AH25" s="565"/>
      <c r="AI25" s="565"/>
      <c r="AJ25" s="565"/>
      <c r="AK25" s="566">
        <f>AK45/AK6</f>
        <v>3.3505257686617891E-2</v>
      </c>
      <c r="AL25" s="567"/>
      <c r="AM25" s="567"/>
      <c r="AN25" s="567"/>
      <c r="AO25" s="567"/>
      <c r="AP25" s="566">
        <f>AP45/AP6</f>
        <v>3.2283439112959708E-2</v>
      </c>
      <c r="AQ25" s="567">
        <f>+AQ45/AQ6</f>
        <v>3.1131231835457188E-2</v>
      </c>
      <c r="AR25" s="567">
        <f>+AR45/AR6</f>
        <v>3.0139593908629442E-2</v>
      </c>
      <c r="AS25" s="567">
        <f>+AS45/AS6</f>
        <v>3.0076997112608278E-2</v>
      </c>
      <c r="AT25" s="567">
        <f>+AT45/AT6</f>
        <v>2.9724859552688564E-2</v>
      </c>
      <c r="AU25" s="566">
        <f t="shared" ref="AU25:BK25" si="6">AU45/AU6</f>
        <v>3.0234193534638906E-2</v>
      </c>
      <c r="AV25" s="568">
        <f t="shared" si="6"/>
        <v>3.0323225591469511E-2</v>
      </c>
      <c r="AW25" s="568">
        <f t="shared" si="6"/>
        <v>2.9133694911235589E-2</v>
      </c>
      <c r="AX25" s="568">
        <f t="shared" si="6"/>
        <v>2.8099892031352974E-2</v>
      </c>
      <c r="AY25" s="568">
        <f t="shared" si="6"/>
        <v>2.7508363216288415E-2</v>
      </c>
      <c r="AZ25" s="566">
        <f t="shared" si="6"/>
        <v>2.8527485956714043E-2</v>
      </c>
      <c r="BA25" s="568">
        <f t="shared" si="6"/>
        <v>2.7374362577066099E-2</v>
      </c>
      <c r="BB25" s="568">
        <f t="shared" si="6"/>
        <v>2.6742476898009411E-2</v>
      </c>
      <c r="BC25" s="568">
        <f t="shared" si="6"/>
        <v>2.6289442600821195E-2</v>
      </c>
      <c r="BD25" s="568">
        <f t="shared" si="6"/>
        <v>2.6223550555550038E-2</v>
      </c>
      <c r="BE25" s="566">
        <f t="shared" si="6"/>
        <v>2.6630326065213043E-2</v>
      </c>
      <c r="BF25" s="568">
        <f t="shared" si="6"/>
        <v>2.6073391031309928E-2</v>
      </c>
      <c r="BG25" s="568">
        <f t="shared" si="6"/>
        <v>2.5742115027829315E-2</v>
      </c>
      <c r="BH25" s="568">
        <f t="shared" si="6"/>
        <v>2.4803860306880511E-2</v>
      </c>
      <c r="BI25" s="568">
        <f t="shared" si="6"/>
        <v>2.4480247519148776E-2</v>
      </c>
      <c r="BJ25" s="566">
        <f>BJ45/BJ6</f>
        <v>2.5211649838440257E-2</v>
      </c>
      <c r="BK25" s="568">
        <f t="shared" si="6"/>
        <v>2.415309298600828E-2</v>
      </c>
      <c r="BL25" s="567">
        <f>+BL30*BL23+BL35*BL16+BL43</f>
        <v>2.3960040415725709E-2</v>
      </c>
      <c r="BM25" s="567">
        <f>+BM30*BM23+BM35*BM16+BM43</f>
        <v>2.3718709651999206E-2</v>
      </c>
      <c r="BN25" s="567">
        <f>+BN30*BN23+BN35*BN16+BN43</f>
        <v>2.3523983673254492E-2</v>
      </c>
      <c r="BO25" s="566">
        <f>BO45/BO6</f>
        <v>2.3818756201001153E-2</v>
      </c>
      <c r="BP25" s="567">
        <f>+BP30*BP23+BP35*BP16+BP43</f>
        <v>2.3383998617451881E-2</v>
      </c>
      <c r="BQ25" s="567">
        <f>+BQ30*BQ23+BQ35*BQ16+BQ43</f>
        <v>2.321457853408912E-2</v>
      </c>
      <c r="BR25" s="567">
        <f>+BR30*BR23+BR35*BR16+BR43</f>
        <v>2.304555845072636E-2</v>
      </c>
      <c r="BS25" s="567">
        <f>+BS30*BS23+BS35*BS16+BS43</f>
        <v>2.2876938367363601E-2</v>
      </c>
      <c r="BT25" s="566">
        <f>BT45/BT6</f>
        <v>2.3114111021037914E-2</v>
      </c>
      <c r="BU25" s="567">
        <f>+BU30*BU23+BU35*BU16+BU43</f>
        <v>2.279464328400084E-2</v>
      </c>
      <c r="BV25" s="567">
        <f>+BV30*BV23+BV35*BV16+BV43</f>
        <v>2.2712448200638079E-2</v>
      </c>
      <c r="BW25" s="567">
        <f>+BW30*BW23+BW35*BW16+BW43</f>
        <v>2.2512228117275317E-2</v>
      </c>
      <c r="BX25" s="567">
        <f>+BX30*BX23+BX35*BX16+BX43</f>
        <v>2.2429783033912555E-2</v>
      </c>
      <c r="BY25" s="566">
        <f>BY45/BY6</f>
        <v>2.2601398263732121E-2</v>
      </c>
      <c r="BZ25" s="567">
        <f>+BZ30*BZ23+BZ35*BZ16+BZ43</f>
        <v>2.2389212950549797E-2</v>
      </c>
      <c r="CA25" s="567">
        <f>+CA30*CA23+CA35*CA16+CA43</f>
        <v>2.2348642867187036E-2</v>
      </c>
      <c r="CB25" s="567">
        <f>+CB30*CB23+CB35*CB16+CB43</f>
        <v>2.2308072783824275E-2</v>
      </c>
      <c r="CC25" s="567">
        <f>+CC30*CC23+CC35*CC16+CC43</f>
        <v>2.2267502700461517E-2</v>
      </c>
      <c r="CD25" s="566">
        <f>CD45/CD6</f>
        <v>2.232482089781786E-2</v>
      </c>
      <c r="CE25" s="569"/>
    </row>
    <row r="26" spans="1:84">
      <c r="A26" s="570"/>
      <c r="B26" s="571" t="s">
        <v>271</v>
      </c>
      <c r="C26" s="553"/>
      <c r="D26" s="553"/>
      <c r="E26" s="553"/>
      <c r="F26" s="553"/>
      <c r="G26" s="143"/>
      <c r="H26" s="553"/>
      <c r="I26" s="553"/>
      <c r="J26" s="553"/>
      <c r="K26" s="553"/>
      <c r="L26" s="143"/>
      <c r="M26" s="553"/>
      <c r="N26" s="553"/>
      <c r="O26" s="553"/>
      <c r="P26" s="553"/>
      <c r="Q26" s="143"/>
      <c r="R26" s="553"/>
      <c r="S26" s="553"/>
      <c r="T26" s="553"/>
      <c r="U26" s="553"/>
      <c r="V26" s="143"/>
      <c r="W26" s="553"/>
      <c r="X26" s="553"/>
      <c r="Y26" s="553"/>
      <c r="Z26" s="553"/>
      <c r="AA26" s="143"/>
      <c r="AB26" s="553"/>
      <c r="AC26" s="553"/>
      <c r="AD26" s="553"/>
      <c r="AE26" s="553"/>
      <c r="AF26" s="143"/>
      <c r="AG26" s="553"/>
      <c r="AH26" s="553"/>
      <c r="AI26" s="553"/>
      <c r="AJ26" s="553"/>
      <c r="AK26" s="144"/>
      <c r="AL26" s="553"/>
      <c r="AM26" s="553"/>
      <c r="AN26" s="553"/>
      <c r="AO26" s="553"/>
      <c r="AP26" s="144"/>
      <c r="AQ26" s="553"/>
      <c r="AR26" s="553"/>
      <c r="AS26" s="553"/>
      <c r="AT26" s="553"/>
      <c r="AU26" s="549">
        <f>AU25/AP25-1</f>
        <v>-6.3476681376804178E-2</v>
      </c>
      <c r="AV26" s="559">
        <f>AV25/AQ25-1</f>
        <v>-2.5954843298792718E-2</v>
      </c>
      <c r="AW26" s="559">
        <f>AW25/AR25-1</f>
        <v>-3.337466989247817E-2</v>
      </c>
      <c r="AX26" s="559">
        <f>AX25/AS25-1</f>
        <v>-6.5734789741576316E-2</v>
      </c>
      <c r="AY26" s="559">
        <f t="shared" ref="AY26:CD26" si="7">AY25/AT25-1</f>
        <v>-7.4567091981420974E-2</v>
      </c>
      <c r="AZ26" s="572">
        <f t="shared" si="7"/>
        <v>-5.6449581695291795E-2</v>
      </c>
      <c r="BA26" s="559">
        <f t="shared" si="7"/>
        <v>-9.7247669299171835E-2</v>
      </c>
      <c r="BB26" s="559">
        <f t="shared" si="7"/>
        <v>-8.2077402832415491E-2</v>
      </c>
      <c r="BC26" s="559">
        <f t="shared" si="7"/>
        <v>-6.4429052912791884E-2</v>
      </c>
      <c r="BD26" s="559">
        <f t="shared" si="7"/>
        <v>-4.6706256226019538E-2</v>
      </c>
      <c r="BE26" s="572">
        <f t="shared" si="7"/>
        <v>-6.6502877063181809E-2</v>
      </c>
      <c r="BF26" s="559">
        <f t="shared" si="7"/>
        <v>-4.7525181347824685E-2</v>
      </c>
      <c r="BG26" s="559">
        <f t="shared" si="7"/>
        <v>-3.7407225740356154E-2</v>
      </c>
      <c r="BH26" s="559">
        <f t="shared" si="7"/>
        <v>-5.6508702618680795E-2</v>
      </c>
      <c r="BI26" s="559">
        <f t="shared" si="7"/>
        <v>-6.6478527867855908E-2</v>
      </c>
      <c r="BJ26" s="572">
        <f t="shared" si="7"/>
        <v>-5.3272957428260326E-2</v>
      </c>
      <c r="BK26" s="559">
        <f t="shared" si="7"/>
        <v>-7.3649723697070346E-2</v>
      </c>
      <c r="BL26" s="559">
        <f t="shared" si="7"/>
        <v>-6.922797952604276E-2</v>
      </c>
      <c r="BM26" s="559">
        <f t="shared" si="7"/>
        <v>-4.3749264890847961E-2</v>
      </c>
      <c r="BN26" s="559">
        <f t="shared" si="7"/>
        <v>-3.9062670634611885E-2</v>
      </c>
      <c r="BO26" s="572">
        <f t="shared" si="7"/>
        <v>-5.5248016149873513E-2</v>
      </c>
      <c r="BP26" s="559">
        <f t="shared" si="7"/>
        <v>-3.184247951191721E-2</v>
      </c>
      <c r="BQ26" s="559">
        <f t="shared" si="7"/>
        <v>-3.1112713864510866E-2</v>
      </c>
      <c r="BR26" s="559">
        <f t="shared" si="7"/>
        <v>-2.8380599583591071E-2</v>
      </c>
      <c r="BS26" s="559">
        <f t="shared" si="7"/>
        <v>-2.7505770913561212E-2</v>
      </c>
      <c r="BT26" s="572">
        <f t="shared" si="7"/>
        <v>-2.958362619848387E-2</v>
      </c>
      <c r="BU26" s="559">
        <f t="shared" si="7"/>
        <v>-2.5203359916861845E-2</v>
      </c>
      <c r="BV26" s="559">
        <f t="shared" si="7"/>
        <v>-2.1629956913225667E-2</v>
      </c>
      <c r="BW26" s="559">
        <f t="shared" si="7"/>
        <v>-2.3142434781580845E-2</v>
      </c>
      <c r="BX26" s="559">
        <f t="shared" si="7"/>
        <v>-1.9546117853294631E-2</v>
      </c>
      <c r="BY26" s="572">
        <f t="shared" si="7"/>
        <v>-2.2181807331423387E-2</v>
      </c>
      <c r="BZ26" s="559">
        <f t="shared" si="7"/>
        <v>-1.7786210926827972E-2</v>
      </c>
      <c r="CA26" s="559">
        <f t="shared" si="7"/>
        <v>-1.6017882803176731E-2</v>
      </c>
      <c r="CB26" s="559">
        <f t="shared" si="7"/>
        <v>-9.0686418237907462E-3</v>
      </c>
      <c r="CC26" s="559">
        <f t="shared" si="7"/>
        <v>-7.2350380387398161E-3</v>
      </c>
      <c r="CD26" s="572">
        <f t="shared" si="7"/>
        <v>-1.2237179429649636E-2</v>
      </c>
      <c r="CE26" s="157"/>
      <c r="CF26" s="173"/>
    </row>
    <row r="27" spans="1:84">
      <c r="A27" s="570"/>
      <c r="B27" s="571" t="s">
        <v>272</v>
      </c>
      <c r="C27" s="553"/>
      <c r="D27" s="553"/>
      <c r="E27" s="553"/>
      <c r="F27" s="553"/>
      <c r="G27" s="143"/>
      <c r="H27" s="553"/>
      <c r="I27" s="553"/>
      <c r="J27" s="553"/>
      <c r="K27" s="553"/>
      <c r="L27" s="143"/>
      <c r="M27" s="553"/>
      <c r="N27" s="553"/>
      <c r="O27" s="553"/>
      <c r="P27" s="553"/>
      <c r="Q27" s="143"/>
      <c r="R27" s="553"/>
      <c r="S27" s="553"/>
      <c r="T27" s="553"/>
      <c r="U27" s="553"/>
      <c r="V27" s="143"/>
      <c r="W27" s="553"/>
      <c r="X27" s="553"/>
      <c r="Y27" s="553"/>
      <c r="Z27" s="553"/>
      <c r="AA27" s="143"/>
      <c r="AB27" s="553"/>
      <c r="AC27" s="553"/>
      <c r="AD27" s="553"/>
      <c r="AE27" s="553"/>
      <c r="AF27" s="143"/>
      <c r="AG27" s="553"/>
      <c r="AH27" s="553"/>
      <c r="AI27" s="553"/>
      <c r="AJ27" s="553"/>
      <c r="AK27" s="144"/>
      <c r="AL27" s="553"/>
      <c r="AM27" s="553"/>
      <c r="AN27" s="553"/>
      <c r="AO27" s="553"/>
      <c r="AP27" s="144"/>
      <c r="AQ27" s="553"/>
      <c r="AR27" s="553"/>
      <c r="AS27" s="553"/>
      <c r="AT27" s="553"/>
      <c r="AU27" s="573">
        <f>(AU25-AP25)*10000</f>
        <v>-20.492455783208026</v>
      </c>
      <c r="AV27" s="574">
        <f t="shared" ref="AV27:CD27" si="8">(AV25-AQ25)*10000</f>
        <v>-8.0800624398767731</v>
      </c>
      <c r="AW27" s="574">
        <f t="shared" si="8"/>
        <v>-10.058989973938532</v>
      </c>
      <c r="AX27" s="574">
        <f t="shared" si="8"/>
        <v>-19.771050812553042</v>
      </c>
      <c r="AY27" s="574">
        <f t="shared" si="8"/>
        <v>-22.16496336400149</v>
      </c>
      <c r="AZ27" s="575">
        <f t="shared" si="8"/>
        <v>-17.067075779248626</v>
      </c>
      <c r="BA27" s="574">
        <f t="shared" si="8"/>
        <v>-29.488630144034119</v>
      </c>
      <c r="BB27" s="574">
        <f t="shared" si="8"/>
        <v>-23.912180132261778</v>
      </c>
      <c r="BC27" s="574">
        <f t="shared" si="8"/>
        <v>-18.10449430531779</v>
      </c>
      <c r="BD27" s="574">
        <f t="shared" si="8"/>
        <v>-12.848126607383769</v>
      </c>
      <c r="BE27" s="575">
        <f t="shared" si="8"/>
        <v>-18.971598915010006</v>
      </c>
      <c r="BF27" s="574">
        <f t="shared" si="8"/>
        <v>-13.009715457561709</v>
      </c>
      <c r="BG27" s="574">
        <f t="shared" si="8"/>
        <v>-10.003618701800963</v>
      </c>
      <c r="BH27" s="574">
        <f t="shared" si="8"/>
        <v>-14.855822939406835</v>
      </c>
      <c r="BI27" s="574">
        <f t="shared" si="8"/>
        <v>-17.43303036401262</v>
      </c>
      <c r="BJ27" s="575">
        <f t="shared" si="8"/>
        <v>-14.186762267727852</v>
      </c>
      <c r="BK27" s="574">
        <f t="shared" si="8"/>
        <v>-19.202980453016487</v>
      </c>
      <c r="BL27" s="574">
        <f>(BL25-BG25)*10000</f>
        <v>-17.820746121036056</v>
      </c>
      <c r="BM27" s="574">
        <f t="shared" si="8"/>
        <v>-10.851506548813054</v>
      </c>
      <c r="BN27" s="574">
        <f t="shared" si="8"/>
        <v>-9.5626384589428408</v>
      </c>
      <c r="BO27" s="575">
        <f t="shared" si="8"/>
        <v>-13.928936374391041</v>
      </c>
      <c r="BP27" s="574">
        <f t="shared" si="8"/>
        <v>-7.6909436855639859</v>
      </c>
      <c r="BQ27" s="574">
        <f t="shared" si="8"/>
        <v>-7.4546188163658949</v>
      </c>
      <c r="BR27" s="574">
        <f t="shared" si="8"/>
        <v>-6.7315120127284596</v>
      </c>
      <c r="BS27" s="574">
        <f t="shared" si="8"/>
        <v>-6.4704530589089133</v>
      </c>
      <c r="BT27" s="575">
        <f t="shared" si="8"/>
        <v>-7.0464517996323899</v>
      </c>
      <c r="BU27" s="574">
        <f t="shared" si="8"/>
        <v>-5.8935533345104085</v>
      </c>
      <c r="BV27" s="574">
        <f t="shared" si="8"/>
        <v>-5.0213033345104101</v>
      </c>
      <c r="BW27" s="574">
        <f t="shared" si="8"/>
        <v>-5.3333033345104308</v>
      </c>
      <c r="BX27" s="574">
        <f t="shared" si="8"/>
        <v>-4.4715533345104568</v>
      </c>
      <c r="BY27" s="575">
        <f t="shared" si="8"/>
        <v>-5.1271275730579298</v>
      </c>
      <c r="BZ27" s="574">
        <f t="shared" si="8"/>
        <v>-4.0543033345104282</v>
      </c>
      <c r="CA27" s="574">
        <f t="shared" si="8"/>
        <v>-3.6380533345104284</v>
      </c>
      <c r="CB27" s="574">
        <f t="shared" si="8"/>
        <v>-2.0415533345104206</v>
      </c>
      <c r="CC27" s="574">
        <f t="shared" si="8"/>
        <v>-1.6228033345103836</v>
      </c>
      <c r="CD27" s="575">
        <f t="shared" si="8"/>
        <v>-2.7657736591426079</v>
      </c>
      <c r="CE27" s="157"/>
    </row>
    <row r="28" spans="1:84">
      <c r="A28" s="570"/>
      <c r="B28" s="571"/>
      <c r="C28" s="553"/>
      <c r="D28" s="553"/>
      <c r="E28" s="553"/>
      <c r="F28" s="553"/>
      <c r="G28" s="143"/>
      <c r="H28" s="553"/>
      <c r="I28" s="553"/>
      <c r="J28" s="553"/>
      <c r="K28" s="553"/>
      <c r="L28" s="143"/>
      <c r="M28" s="553"/>
      <c r="N28" s="553"/>
      <c r="O28" s="553"/>
      <c r="P28" s="553"/>
      <c r="Q28" s="143"/>
      <c r="R28" s="553"/>
      <c r="S28" s="553"/>
      <c r="T28" s="553"/>
      <c r="U28" s="553"/>
      <c r="V28" s="143"/>
      <c r="W28" s="553"/>
      <c r="X28" s="553"/>
      <c r="Y28" s="553"/>
      <c r="Z28" s="553"/>
      <c r="AA28" s="143"/>
      <c r="AB28" s="553"/>
      <c r="AC28" s="553"/>
      <c r="AD28" s="553"/>
      <c r="AE28" s="553"/>
      <c r="AF28" s="143"/>
      <c r="AG28" s="553"/>
      <c r="AH28" s="553"/>
      <c r="AI28" s="553"/>
      <c r="AJ28" s="553"/>
      <c r="AK28" s="144"/>
      <c r="AL28" s="553"/>
      <c r="AM28" s="553"/>
      <c r="AN28" s="553"/>
      <c r="AO28" s="553"/>
      <c r="AP28" s="144"/>
      <c r="AQ28" s="553"/>
      <c r="AR28" s="553"/>
      <c r="AS28" s="553"/>
      <c r="AT28" s="553"/>
      <c r="AU28" s="549"/>
      <c r="AV28" s="574">
        <f t="shared" ref="AV28:BJ28" si="9">AV27-AV42*10000</f>
        <v>-23.73373166821801</v>
      </c>
      <c r="AW28" s="574">
        <f t="shared" si="9"/>
        <v>-24.159384784993243</v>
      </c>
      <c r="AX28" s="574">
        <f t="shared" si="9"/>
        <v>-29.223821333658499</v>
      </c>
      <c r="AY28" s="574">
        <f t="shared" si="9"/>
        <v>-25.950605181715265</v>
      </c>
      <c r="AZ28" s="575">
        <f t="shared" si="9"/>
        <v>-25.260439154914337</v>
      </c>
      <c r="BA28" s="574">
        <f t="shared" si="9"/>
        <v>-27.30837117771912</v>
      </c>
      <c r="BB28" s="574">
        <f t="shared" si="9"/>
        <v>-19.126564326056428</v>
      </c>
      <c r="BC28" s="574">
        <f t="shared" si="9"/>
        <v>-16.979571643750774</v>
      </c>
      <c r="BD28" s="574">
        <f t="shared" si="9"/>
        <v>-13.543184744032198</v>
      </c>
      <c r="BE28" s="575">
        <f t="shared" si="9"/>
        <v>-17.221248844996001</v>
      </c>
      <c r="BF28" s="574">
        <f>BF27-BF42*10000</f>
        <v>-13.804635915833353</v>
      </c>
      <c r="BG28" s="574">
        <f>BG27-BG42*10000</f>
        <v>-11.395084378980926</v>
      </c>
      <c r="BH28" s="574">
        <f>BH27-BH42*10000</f>
        <v>-11.297536471309911</v>
      </c>
      <c r="BI28" s="574">
        <f t="shared" si="9"/>
        <v>-11.471441109965909</v>
      </c>
      <c r="BJ28" s="575">
        <f t="shared" si="9"/>
        <v>-12.060399312916353</v>
      </c>
      <c r="BK28" s="559"/>
      <c r="BL28" s="559"/>
      <c r="BM28" s="559"/>
      <c r="BN28" s="559"/>
      <c r="BO28" s="575">
        <f>BO27-BO42*10000</f>
        <v>-11.818562243197297</v>
      </c>
      <c r="BP28" s="559"/>
      <c r="BQ28" s="559"/>
      <c r="BR28" s="559"/>
      <c r="BS28" s="559"/>
      <c r="BT28" s="575">
        <f>BT27-BT42*10000</f>
        <v>-8.4602418986917272</v>
      </c>
      <c r="BU28" s="559"/>
      <c r="BV28" s="559"/>
      <c r="BW28" s="559"/>
      <c r="BX28" s="559"/>
      <c r="BY28" s="575">
        <f>BY27-BY42*10000</f>
        <v>-5.1271275730579298</v>
      </c>
      <c r="BZ28" s="559"/>
      <c r="CA28" s="559"/>
      <c r="CB28" s="559"/>
      <c r="CC28" s="559"/>
      <c r="CD28" s="575">
        <f>CD27-CD42*10000</f>
        <v>-2.7657736591426079</v>
      </c>
      <c r="CE28" s="157"/>
    </row>
    <row r="29" spans="1:84">
      <c r="A29" s="533"/>
      <c r="B29" s="576" t="s">
        <v>273</v>
      </c>
      <c r="C29" s="553"/>
      <c r="D29" s="553"/>
      <c r="E29" s="553"/>
      <c r="F29" s="554"/>
      <c r="G29" s="182"/>
      <c r="H29" s="553"/>
      <c r="I29" s="553"/>
      <c r="J29" s="553"/>
      <c r="K29" s="554"/>
      <c r="L29" s="182"/>
      <c r="M29" s="553"/>
      <c r="N29" s="553"/>
      <c r="O29" s="553"/>
      <c r="P29" s="554"/>
      <c r="Q29" s="182"/>
      <c r="R29" s="553"/>
      <c r="S29" s="553"/>
      <c r="T29" s="553"/>
      <c r="U29" s="554"/>
      <c r="V29" s="182"/>
      <c r="W29" s="553"/>
      <c r="X29" s="553"/>
      <c r="Y29" s="553"/>
      <c r="Z29" s="554"/>
      <c r="AA29" s="182"/>
      <c r="AB29" s="553"/>
      <c r="AC29" s="553"/>
      <c r="AD29" s="553"/>
      <c r="AE29" s="554"/>
      <c r="AF29" s="182"/>
      <c r="AG29" s="553"/>
      <c r="AH29" s="553"/>
      <c r="AI29" s="553"/>
      <c r="AJ29" s="554"/>
      <c r="AK29" s="182"/>
      <c r="AL29" s="553"/>
      <c r="AM29" s="553"/>
      <c r="AN29" s="553"/>
      <c r="AO29" s="554"/>
      <c r="AP29" s="182"/>
      <c r="AQ29" s="553"/>
      <c r="AR29" s="553"/>
      <c r="AS29" s="553"/>
      <c r="AT29" s="554"/>
      <c r="AU29" s="577"/>
      <c r="AV29" s="555"/>
      <c r="AW29" s="555"/>
      <c r="AX29" s="555"/>
      <c r="AY29" s="555"/>
      <c r="AZ29" s="144"/>
      <c r="BA29" s="555"/>
      <c r="BB29" s="555"/>
      <c r="BC29" s="555"/>
      <c r="BD29" s="555"/>
      <c r="BE29" s="182"/>
      <c r="BF29" s="555"/>
      <c r="BG29" s="555"/>
      <c r="BH29" s="555"/>
      <c r="BI29" s="555"/>
      <c r="BJ29" s="182"/>
      <c r="BK29" s="555"/>
      <c r="BL29" s="555"/>
      <c r="BM29" s="555"/>
      <c r="BN29" s="555"/>
      <c r="BO29" s="182"/>
      <c r="BP29" s="555"/>
      <c r="BQ29" s="555"/>
      <c r="BR29" s="555"/>
      <c r="BS29" s="555"/>
      <c r="BT29" s="182"/>
      <c r="BU29" s="555"/>
      <c r="BV29" s="555"/>
      <c r="BW29" s="555"/>
      <c r="BX29" s="555"/>
      <c r="BY29" s="182"/>
      <c r="BZ29" s="555"/>
      <c r="CA29" s="555"/>
      <c r="CB29" s="578"/>
      <c r="CC29" s="555"/>
      <c r="CD29" s="182"/>
      <c r="CE29" s="160"/>
    </row>
    <row r="30" spans="1:84">
      <c r="A30" s="533"/>
      <c r="B30" s="561" t="s">
        <v>274</v>
      </c>
      <c r="C30" s="553"/>
      <c r="D30" s="553"/>
      <c r="E30" s="553"/>
      <c r="F30" s="554"/>
      <c r="G30" s="182"/>
      <c r="H30" s="553"/>
      <c r="I30" s="553"/>
      <c r="J30" s="553"/>
      <c r="K30" s="554"/>
      <c r="L30" s="182"/>
      <c r="M30" s="553"/>
      <c r="N30" s="553"/>
      <c r="O30" s="553"/>
      <c r="P30" s="554"/>
      <c r="Q30" s="182"/>
      <c r="R30" s="553"/>
      <c r="S30" s="553"/>
      <c r="T30" s="553"/>
      <c r="U30" s="554"/>
      <c r="V30" s="182"/>
      <c r="W30" s="553"/>
      <c r="X30" s="553"/>
      <c r="Y30" s="553"/>
      <c r="Z30" s="554"/>
      <c r="AA30" s="182"/>
      <c r="AB30" s="553"/>
      <c r="AC30" s="553"/>
      <c r="AD30" s="553"/>
      <c r="AE30" s="554"/>
      <c r="AF30" s="182"/>
      <c r="AG30" s="553"/>
      <c r="AH30" s="553"/>
      <c r="AI30" s="553"/>
      <c r="AJ30" s="554"/>
      <c r="AK30" s="182"/>
      <c r="AL30" s="553"/>
      <c r="AM30" s="553"/>
      <c r="AN30" s="553"/>
      <c r="AO30" s="554"/>
      <c r="AP30" s="182"/>
      <c r="AQ30" s="579">
        <v>3.7499999999999999E-2</v>
      </c>
      <c r="AR30" s="579">
        <v>3.6999999999999998E-2</v>
      </c>
      <c r="AS30" s="579">
        <v>3.6999999999999998E-2</v>
      </c>
      <c r="AT30" s="579">
        <v>3.5060000000000001E-2</v>
      </c>
      <c r="AU30" s="184">
        <f>SUMPRODUCT(AQ30:AT30,AQ6:AT6)/SUM(AQ6:AT6)</f>
        <v>3.6568360815735085E-2</v>
      </c>
      <c r="AV30" s="580">
        <v>3.4500000000000003E-2</v>
      </c>
      <c r="AW30" s="580">
        <v>3.3500000000000002E-2</v>
      </c>
      <c r="AX30" s="580">
        <v>3.3300000000000003E-2</v>
      </c>
      <c r="AY30" s="580">
        <v>3.27E-2</v>
      </c>
      <c r="AZ30" s="184">
        <f>SUMPRODUCT(AV30:AY30,AV6:AY6)/SUM(AV6:AY6)</f>
        <v>3.3437793501379327E-2</v>
      </c>
      <c r="BA30" s="580">
        <v>3.2500000000000001E-2</v>
      </c>
      <c r="BB30" s="580">
        <v>3.2399999999999998E-2</v>
      </c>
      <c r="BC30" s="580">
        <v>3.2000000000000001E-2</v>
      </c>
      <c r="BD30" s="580">
        <v>3.1600000000000003E-2</v>
      </c>
      <c r="BE30" s="184">
        <f>SUMPRODUCT(BA30:BD30,BA6:BD6)/SUM(BA6:BD6)</f>
        <v>3.2100298670845281E-2</v>
      </c>
      <c r="BF30" s="580">
        <v>3.125E-2</v>
      </c>
      <c r="BG30" s="580">
        <v>3.1E-2</v>
      </c>
      <c r="BH30" s="580">
        <v>3.0700000000000002E-2</v>
      </c>
      <c r="BI30" s="580">
        <v>3.0200000000000001E-2</v>
      </c>
      <c r="BJ30" s="184">
        <f>SUMPRODUCT(BF30:BI30,BF6:BI6)/SUM(BF6:BI6)</f>
        <v>3.0746985935314726E-2</v>
      </c>
      <c r="BK30" s="580">
        <v>2.9950000000000001E-2</v>
      </c>
      <c r="BL30" s="186">
        <f>CHOOSE(_Switch,BL31,BL32,BL33)</f>
        <v>2.9600000000000001E-2</v>
      </c>
      <c r="BM30" s="186">
        <f>CHOOSE(_Switch,BM31,BM32,BM33)</f>
        <v>2.92E-2</v>
      </c>
      <c r="BN30" s="186">
        <f>CHOOSE(_Switch,BN31,BN32,BN33)</f>
        <v>2.895E-2</v>
      </c>
      <c r="BO30" s="184">
        <f>SUMPRODUCT(BK30:BN30,BK6:BN6)/SUM(BK6:BN6)</f>
        <v>2.9393338306279104E-2</v>
      </c>
      <c r="BP30" s="186">
        <f>CHOOSE(_Switch,BP31,BP32,BP33)</f>
        <v>2.8750000000000001E-2</v>
      </c>
      <c r="BQ30" s="186">
        <f>CHOOSE(_Switch,BQ31,BQ32,BQ33)</f>
        <v>2.8550000000000002E-2</v>
      </c>
      <c r="BR30" s="186">
        <f>CHOOSE(_Switch,BR31,BR32,BR33)</f>
        <v>2.8350000000000004E-2</v>
      </c>
      <c r="BS30" s="186">
        <f>CHOOSE(_Switch,BS31,BS32,BS33)</f>
        <v>2.8150000000000005E-2</v>
      </c>
      <c r="BT30" s="184">
        <f>SUMPRODUCT(BP30:BS30,BP6:BS6)/SUM(BP6:BS6)</f>
        <v>2.8430876061776047E-2</v>
      </c>
      <c r="BU30" s="186">
        <f>CHOOSE(_Switch,BU31,BU32,BU33)</f>
        <v>2.8075000000000006E-2</v>
      </c>
      <c r="BV30" s="186">
        <f>CHOOSE(_Switch,BV31,BV32,BV33)</f>
        <v>2.8000000000000008E-2</v>
      </c>
      <c r="BW30" s="186">
        <f>CHOOSE(_Switch,BW31,BW32,BW33)</f>
        <v>2.7925000000000009E-2</v>
      </c>
      <c r="BX30" s="186">
        <f>CHOOSE(_Switch,BX31,BX32,BX33)</f>
        <v>2.785000000000001E-2</v>
      </c>
      <c r="BY30" s="184">
        <f>SUMPRODUCT(BU30:BX30,BU6:BX6)/SUM(BU6:BX6)</f>
        <v>2.7955961448570068E-2</v>
      </c>
      <c r="BZ30" s="186">
        <f>CHOOSE(_Switch,BZ31,BZ32,BZ33)</f>
        <v>2.7830000000000011E-2</v>
      </c>
      <c r="CA30" s="186">
        <f>CHOOSE(_Switch,CA31,CA32,CA33)</f>
        <v>2.7810000000000012E-2</v>
      </c>
      <c r="CB30" s="186">
        <f>CHOOSE(_Switch,CB31,CB32,CB33)</f>
        <v>2.7790000000000013E-2</v>
      </c>
      <c r="CC30" s="186">
        <f>CHOOSE(_Switch,CC31,CC32,CC33)</f>
        <v>2.7770000000000013E-2</v>
      </c>
      <c r="CD30" s="184">
        <f>SUMPRODUCT(BZ30:CC30,BZ6:CC6)/SUM(BZ6:CC6)</f>
        <v>2.7798256386285355E-2</v>
      </c>
      <c r="CE30" s="160"/>
    </row>
    <row r="31" spans="1:84" outlineLevel="1">
      <c r="A31" s="533"/>
      <c r="B31" s="181" t="s">
        <v>121</v>
      </c>
      <c r="C31" s="553"/>
      <c r="D31" s="553"/>
      <c r="E31" s="553"/>
      <c r="F31" s="554"/>
      <c r="G31" s="182"/>
      <c r="H31" s="553"/>
      <c r="I31" s="553"/>
      <c r="J31" s="553"/>
      <c r="K31" s="554"/>
      <c r="L31" s="182"/>
      <c r="M31" s="553"/>
      <c r="N31" s="553"/>
      <c r="O31" s="553"/>
      <c r="P31" s="554"/>
      <c r="Q31" s="182"/>
      <c r="R31" s="553"/>
      <c r="S31" s="553"/>
      <c r="T31" s="553"/>
      <c r="U31" s="554"/>
      <c r="V31" s="182"/>
      <c r="W31" s="553"/>
      <c r="X31" s="553"/>
      <c r="Y31" s="553"/>
      <c r="Z31" s="554"/>
      <c r="AA31" s="182"/>
      <c r="AB31" s="553"/>
      <c r="AC31" s="553"/>
      <c r="AD31" s="553"/>
      <c r="AE31" s="554"/>
      <c r="AF31" s="182"/>
      <c r="AG31" s="553"/>
      <c r="AH31" s="553"/>
      <c r="AI31" s="553"/>
      <c r="AJ31" s="554"/>
      <c r="AK31" s="182"/>
      <c r="AL31" s="553"/>
      <c r="AM31" s="553"/>
      <c r="AN31" s="553"/>
      <c r="AO31" s="554"/>
      <c r="AP31" s="182"/>
      <c r="AQ31" s="581"/>
      <c r="AR31" s="581"/>
      <c r="AS31" s="581"/>
      <c r="AT31" s="581"/>
      <c r="AU31" s="182"/>
      <c r="AV31" s="581"/>
      <c r="AW31" s="557"/>
      <c r="AX31" s="557"/>
      <c r="AY31" s="557"/>
      <c r="AZ31" s="182"/>
      <c r="BA31" s="557"/>
      <c r="BB31" s="557"/>
      <c r="BC31" s="557"/>
      <c r="BD31" s="557"/>
      <c r="BE31" s="182"/>
      <c r="BF31" s="557"/>
      <c r="BG31" s="557"/>
      <c r="BH31" s="557"/>
      <c r="BI31" s="557"/>
      <c r="BJ31" s="182"/>
      <c r="BK31" s="557"/>
      <c r="BL31" s="183">
        <f>+BL32+0.06%</f>
        <v>3.0200000000000001E-2</v>
      </c>
      <c r="BM31" s="183">
        <f>+BM32+0.06%</f>
        <v>2.98E-2</v>
      </c>
      <c r="BN31" s="183">
        <f>+BN32+0.06%</f>
        <v>2.955E-2</v>
      </c>
      <c r="BO31" s="182"/>
      <c r="BP31" s="183">
        <f>+BP32+0.06%</f>
        <v>2.9350000000000001E-2</v>
      </c>
      <c r="BQ31" s="183">
        <f>+BQ32+0.06%</f>
        <v>2.9150000000000002E-2</v>
      </c>
      <c r="BR31" s="183">
        <f>+BR32+0.06%</f>
        <v>2.8950000000000004E-2</v>
      </c>
      <c r="BS31" s="183">
        <f>+BS32+0.06%</f>
        <v>2.8750000000000005E-2</v>
      </c>
      <c r="BT31" s="182"/>
      <c r="BU31" s="183">
        <f>+BU32+0.06%</f>
        <v>2.8675000000000006E-2</v>
      </c>
      <c r="BV31" s="183">
        <f>+BV32+0.06%</f>
        <v>2.8600000000000007E-2</v>
      </c>
      <c r="BW31" s="183">
        <f>+BW32+0.06%</f>
        <v>2.8525000000000009E-2</v>
      </c>
      <c r="BX31" s="183">
        <f>+BX32+0.06%</f>
        <v>2.845000000000001E-2</v>
      </c>
      <c r="BY31" s="182"/>
      <c r="BZ31" s="183">
        <f>+BZ32+0.06%</f>
        <v>2.8430000000000011E-2</v>
      </c>
      <c r="CA31" s="183">
        <f>+CA32+0.06%</f>
        <v>2.8410000000000012E-2</v>
      </c>
      <c r="CB31" s="183">
        <f>+CB32+0.06%+CB29/CB23*0.002</f>
        <v>2.8390000000000012E-2</v>
      </c>
      <c r="CC31" s="183">
        <f>+CB31-0.005%</f>
        <v>2.8340000000000011E-2</v>
      </c>
      <c r="CD31" s="182"/>
      <c r="CE31" s="160"/>
    </row>
    <row r="32" spans="1:84" outlineLevel="1">
      <c r="A32" s="533"/>
      <c r="B32" s="181" t="s">
        <v>122</v>
      </c>
      <c r="C32" s="553"/>
      <c r="D32" s="553"/>
      <c r="E32" s="553"/>
      <c r="F32" s="554"/>
      <c r="G32" s="182"/>
      <c r="H32" s="553"/>
      <c r="I32" s="553"/>
      <c r="J32" s="553"/>
      <c r="K32" s="554"/>
      <c r="L32" s="182"/>
      <c r="M32" s="553"/>
      <c r="N32" s="553"/>
      <c r="O32" s="553"/>
      <c r="P32" s="554"/>
      <c r="Q32" s="182"/>
      <c r="R32" s="553"/>
      <c r="S32" s="553"/>
      <c r="T32" s="553"/>
      <c r="U32" s="554"/>
      <c r="V32" s="182"/>
      <c r="W32" s="553"/>
      <c r="X32" s="553"/>
      <c r="Y32" s="553"/>
      <c r="Z32" s="554"/>
      <c r="AA32" s="182"/>
      <c r="AB32" s="553"/>
      <c r="AC32" s="553"/>
      <c r="AD32" s="553"/>
      <c r="AE32" s="554"/>
      <c r="AF32" s="182"/>
      <c r="AG32" s="553"/>
      <c r="AH32" s="553"/>
      <c r="AI32" s="553"/>
      <c r="AJ32" s="554"/>
      <c r="AK32" s="182"/>
      <c r="AL32" s="553"/>
      <c r="AM32" s="553"/>
      <c r="AN32" s="553"/>
      <c r="AO32" s="554"/>
      <c r="AP32" s="182"/>
      <c r="AQ32" s="581"/>
      <c r="AR32" s="581"/>
      <c r="AS32" s="581"/>
      <c r="AT32" s="581"/>
      <c r="AU32" s="182"/>
      <c r="AV32" s="581"/>
      <c r="AW32" s="557"/>
      <c r="AX32" s="557"/>
      <c r="AY32" s="557"/>
      <c r="AZ32" s="182"/>
      <c r="BA32" s="557"/>
      <c r="BB32" s="557"/>
      <c r="BC32" s="557"/>
      <c r="BD32" s="557"/>
      <c r="BE32" s="182"/>
      <c r="BF32" s="557"/>
      <c r="BG32" s="557"/>
      <c r="BH32" s="557"/>
      <c r="BI32" s="557"/>
      <c r="BJ32" s="182"/>
      <c r="BK32" s="557"/>
      <c r="BL32" s="183">
        <v>2.9600000000000001E-2</v>
      </c>
      <c r="BM32" s="183">
        <f>+BL32-0.04%</f>
        <v>2.92E-2</v>
      </c>
      <c r="BN32" s="183">
        <f t="shared" ref="BN32" si="10">+BM32-0.025%</f>
        <v>2.895E-2</v>
      </c>
      <c r="BO32" s="182"/>
      <c r="BP32" s="183">
        <f>+BN32-0.02%</f>
        <v>2.8750000000000001E-2</v>
      </c>
      <c r="BQ32" s="183">
        <f>+BP32-0.02%</f>
        <v>2.8550000000000002E-2</v>
      </c>
      <c r="BR32" s="183">
        <f>+BQ32-0.02%</f>
        <v>2.8350000000000004E-2</v>
      </c>
      <c r="BS32" s="183">
        <f>+BR32-0.02%</f>
        <v>2.8150000000000005E-2</v>
      </c>
      <c r="BT32" s="182"/>
      <c r="BU32" s="183">
        <f>+BS32-0.0075%</f>
        <v>2.8075000000000006E-2</v>
      </c>
      <c r="BV32" s="183">
        <f>+BU32-0.0075%</f>
        <v>2.8000000000000008E-2</v>
      </c>
      <c r="BW32" s="183">
        <f t="shared" ref="BW32:BX32" si="11">+BV32-0.0075%</f>
        <v>2.7925000000000009E-2</v>
      </c>
      <c r="BX32" s="183">
        <f t="shared" si="11"/>
        <v>2.785000000000001E-2</v>
      </c>
      <c r="BY32" s="182"/>
      <c r="BZ32" s="183">
        <f>+BX32-0.002%</f>
        <v>2.7830000000000011E-2</v>
      </c>
      <c r="CA32" s="183">
        <f>+BZ32-0.002%</f>
        <v>2.7810000000000012E-2</v>
      </c>
      <c r="CB32" s="183">
        <f>+CA32-0.002%</f>
        <v>2.7790000000000013E-2</v>
      </c>
      <c r="CC32" s="183">
        <f>+CB32-0.002%</f>
        <v>2.7770000000000013E-2</v>
      </c>
      <c r="CD32" s="182"/>
      <c r="CE32" s="160"/>
    </row>
    <row r="33" spans="1:86" outlineLevel="1">
      <c r="A33" s="533"/>
      <c r="B33" s="181" t="s">
        <v>123</v>
      </c>
      <c r="C33" s="553"/>
      <c r="D33" s="553"/>
      <c r="E33" s="553"/>
      <c r="F33" s="554"/>
      <c r="G33" s="182"/>
      <c r="H33" s="553"/>
      <c r="I33" s="553"/>
      <c r="J33" s="553"/>
      <c r="K33" s="554"/>
      <c r="L33" s="182"/>
      <c r="M33" s="553"/>
      <c r="N33" s="553"/>
      <c r="O33" s="553"/>
      <c r="P33" s="554"/>
      <c r="Q33" s="182"/>
      <c r="R33" s="553"/>
      <c r="S33" s="553"/>
      <c r="T33" s="553"/>
      <c r="U33" s="554"/>
      <c r="V33" s="182"/>
      <c r="W33" s="553"/>
      <c r="X33" s="553"/>
      <c r="Y33" s="553"/>
      <c r="Z33" s="554"/>
      <c r="AA33" s="182"/>
      <c r="AB33" s="553"/>
      <c r="AC33" s="553"/>
      <c r="AD33" s="553"/>
      <c r="AE33" s="554"/>
      <c r="AF33" s="182"/>
      <c r="AG33" s="553"/>
      <c r="AH33" s="553"/>
      <c r="AI33" s="553"/>
      <c r="AJ33" s="554"/>
      <c r="AK33" s="182"/>
      <c r="AL33" s="553"/>
      <c r="AM33" s="553"/>
      <c r="AN33" s="553"/>
      <c r="AO33" s="554"/>
      <c r="AP33" s="182"/>
      <c r="AQ33" s="581"/>
      <c r="AR33" s="581"/>
      <c r="AS33" s="581"/>
      <c r="AT33" s="581"/>
      <c r="AU33" s="182"/>
      <c r="AV33" s="581"/>
      <c r="AW33" s="557"/>
      <c r="AX33" s="557"/>
      <c r="AY33" s="557"/>
      <c r="AZ33" s="182"/>
      <c r="BA33" s="557"/>
      <c r="BB33" s="557"/>
      <c r="BC33" s="557"/>
      <c r="BD33" s="557"/>
      <c r="BE33" s="182"/>
      <c r="BF33" s="557"/>
      <c r="BG33" s="557"/>
      <c r="BH33" s="557"/>
      <c r="BI33" s="557"/>
      <c r="BJ33" s="182"/>
      <c r="BK33" s="557"/>
      <c r="BL33" s="183">
        <f t="shared" ref="BL33:BN33" si="12">+BL32-0.06%</f>
        <v>2.9000000000000001E-2</v>
      </c>
      <c r="BM33" s="183">
        <f t="shared" si="12"/>
        <v>2.86E-2</v>
      </c>
      <c r="BN33" s="183">
        <f t="shared" si="12"/>
        <v>2.835E-2</v>
      </c>
      <c r="BO33" s="182"/>
      <c r="BP33" s="183">
        <f>+BP32-0.06%</f>
        <v>2.8150000000000001E-2</v>
      </c>
      <c r="BQ33" s="183">
        <f>+BQ32-0.06%</f>
        <v>2.7950000000000003E-2</v>
      </c>
      <c r="BR33" s="183">
        <f>+BR32-0.06%</f>
        <v>2.7750000000000004E-2</v>
      </c>
      <c r="BS33" s="183">
        <f>+BS32-0.06%</f>
        <v>2.7550000000000005E-2</v>
      </c>
      <c r="BT33" s="182"/>
      <c r="BU33" s="183">
        <f>+BU32-0.0625%</f>
        <v>2.7450000000000006E-2</v>
      </c>
      <c r="BV33" s="183">
        <f>+BV32-0.0625%</f>
        <v>2.7375000000000007E-2</v>
      </c>
      <c r="BW33" s="183">
        <f>+BW32-0.0625%</f>
        <v>2.7300000000000008E-2</v>
      </c>
      <c r="BX33" s="183">
        <f>+BX32-0.0625%</f>
        <v>2.722500000000001E-2</v>
      </c>
      <c r="BY33" s="182"/>
      <c r="BZ33" s="183">
        <f>+BZ32-0.0625%</f>
        <v>2.720500000000001E-2</v>
      </c>
      <c r="CA33" s="183">
        <f>+CA32-0.0625%</f>
        <v>2.7185000000000011E-2</v>
      </c>
      <c r="CB33" s="183">
        <f>+CB32-0.0625%-CB29/CB23*0.002</f>
        <v>2.7165000000000012E-2</v>
      </c>
      <c r="CC33" s="183">
        <f>+CB33-0.005%</f>
        <v>2.7115000000000011E-2</v>
      </c>
      <c r="CD33" s="182"/>
      <c r="CE33" s="160"/>
    </row>
    <row r="34" spans="1:86">
      <c r="A34" s="533"/>
      <c r="B34" s="561"/>
      <c r="C34" s="553"/>
      <c r="D34" s="553"/>
      <c r="E34" s="553"/>
      <c r="F34" s="554"/>
      <c r="G34" s="182"/>
      <c r="H34" s="553"/>
      <c r="I34" s="553"/>
      <c r="J34" s="553"/>
      <c r="K34" s="554"/>
      <c r="L34" s="182"/>
      <c r="M34" s="553"/>
      <c r="N34" s="553"/>
      <c r="O34" s="553"/>
      <c r="P34" s="554"/>
      <c r="Q34" s="182"/>
      <c r="R34" s="553"/>
      <c r="S34" s="553"/>
      <c r="T34" s="553"/>
      <c r="U34" s="554"/>
      <c r="V34" s="182"/>
      <c r="W34" s="553"/>
      <c r="X34" s="553"/>
      <c r="Y34" s="553"/>
      <c r="Z34" s="554"/>
      <c r="AA34" s="182"/>
      <c r="AB34" s="553"/>
      <c r="AC34" s="553"/>
      <c r="AD34" s="553"/>
      <c r="AE34" s="554"/>
      <c r="AF34" s="182"/>
      <c r="AG34" s="553"/>
      <c r="AH34" s="553"/>
      <c r="AI34" s="553"/>
      <c r="AJ34" s="554"/>
      <c r="AK34" s="182"/>
      <c r="AL34" s="553"/>
      <c r="AM34" s="553"/>
      <c r="AN34" s="553"/>
      <c r="AO34" s="554"/>
      <c r="AP34" s="182"/>
      <c r="AQ34" s="581"/>
      <c r="AR34" s="581"/>
      <c r="AS34" s="581"/>
      <c r="AT34" s="581"/>
      <c r="AU34" s="182"/>
      <c r="AV34" s="581"/>
      <c r="AW34" s="536"/>
      <c r="AX34" s="536"/>
      <c r="AY34" s="536"/>
      <c r="AZ34" s="182"/>
      <c r="BA34" s="536"/>
      <c r="BB34" s="536"/>
      <c r="BC34" s="536"/>
      <c r="BD34" s="536"/>
      <c r="BE34" s="182"/>
      <c r="BF34" s="536"/>
      <c r="BG34" s="536"/>
      <c r="BH34" s="536"/>
      <c r="BI34" s="536"/>
      <c r="BJ34" s="182"/>
      <c r="BK34" s="536"/>
      <c r="BL34" s="536"/>
      <c r="BM34" s="536"/>
      <c r="BN34" s="536"/>
      <c r="BO34" s="182"/>
      <c r="BP34" s="536"/>
      <c r="BQ34" s="536"/>
      <c r="BR34" s="536"/>
      <c r="BS34" s="536"/>
      <c r="BT34" s="182"/>
      <c r="BU34" s="536"/>
      <c r="BV34" s="536"/>
      <c r="BW34" s="536"/>
      <c r="BX34" s="536"/>
      <c r="BY34" s="182"/>
      <c r="BZ34" s="536"/>
      <c r="CA34" s="536"/>
      <c r="CB34" s="536"/>
      <c r="CC34" s="536"/>
      <c r="CD34" s="182"/>
      <c r="CE34" s="160"/>
    </row>
    <row r="35" spans="1:86">
      <c r="A35" s="533"/>
      <c r="B35" s="561" t="s">
        <v>275</v>
      </c>
      <c r="C35" s="553"/>
      <c r="D35" s="553"/>
      <c r="E35" s="553"/>
      <c r="F35" s="554"/>
      <c r="G35" s="182"/>
      <c r="H35" s="553"/>
      <c r="I35" s="553"/>
      <c r="J35" s="553"/>
      <c r="K35" s="554"/>
      <c r="L35" s="182"/>
      <c r="M35" s="553"/>
      <c r="N35" s="553"/>
      <c r="O35" s="553"/>
      <c r="P35" s="554"/>
      <c r="Q35" s="182"/>
      <c r="R35" s="553"/>
      <c r="S35" s="553"/>
      <c r="T35" s="553"/>
      <c r="U35" s="554"/>
      <c r="V35" s="182"/>
      <c r="W35" s="553"/>
      <c r="X35" s="553"/>
      <c r="Y35" s="553"/>
      <c r="Z35" s="554"/>
      <c r="AA35" s="182"/>
      <c r="AB35" s="553"/>
      <c r="AC35" s="553"/>
      <c r="AD35" s="553"/>
      <c r="AE35" s="554"/>
      <c r="AF35" s="182"/>
      <c r="AG35" s="553"/>
      <c r="AH35" s="553"/>
      <c r="AI35" s="553"/>
      <c r="AJ35" s="554"/>
      <c r="AK35" s="182"/>
      <c r="AL35" s="553"/>
      <c r="AM35" s="553"/>
      <c r="AN35" s="553"/>
      <c r="AO35" s="554"/>
      <c r="AP35" s="182"/>
      <c r="AQ35" s="581">
        <f>+(AQ25-(AQ30*AQ23)-AQ43)/AQ16</f>
        <v>2.2369867352261721E-2</v>
      </c>
      <c r="AR35" s="581">
        <f>+(AR25-(AR30*AR23)-AR43)/AR16</f>
        <v>2.198832618476108E-2</v>
      </c>
      <c r="AS35" s="581">
        <f>+(AS25-(AS30*AS23)-AS43)/AS16</f>
        <v>2.153950418719763E-2</v>
      </c>
      <c r="AT35" s="581">
        <f>+(AT25-(AT30*AT23)-AT43)/AT16</f>
        <v>2.1948391179701082E-2</v>
      </c>
      <c r="AU35" s="184">
        <f>SUMPRODUCT(AQ35:AT35,AQ6:AT6)/SUM(AQ6:AT6)</f>
        <v>2.1953071754694704E-2</v>
      </c>
      <c r="AV35" s="186">
        <f>+(AV25-(AV30*AV23)-AV43)/AV16</f>
        <v>2.2666283952212457E-2</v>
      </c>
      <c r="AW35" s="186">
        <f>+(AW25-(AW30*AW23)-AW43)/AW16</f>
        <v>2.2010720411111236E-2</v>
      </c>
      <c r="AX35" s="186">
        <f>+(AX25-(AX30*AX23)-AX43)/AX16</f>
        <v>2.083708640722896E-2</v>
      </c>
      <c r="AY35" s="186">
        <f>+(AY25-(AY30*AY23)-AY43)/AY16</f>
        <v>2.0576726662781094E-2</v>
      </c>
      <c r="AZ35" s="184">
        <f>SUMPRODUCT(AV35:AY35,AV6:AY6)/SUM(AV6:AY6)</f>
        <v>2.1443710721424709E-2</v>
      </c>
      <c r="BA35" s="186">
        <f>+(BA25-(BA30*BA23)-BA43)/BA16</f>
        <v>2.0248357740121212E-2</v>
      </c>
      <c r="BB35" s="186">
        <f>+(BB25-(BB30*BB23)-BB43)/BB16</f>
        <v>2.0138730064681778E-2</v>
      </c>
      <c r="BC35" s="186">
        <f>+(BC25-(BC30*BC23)-BC43)/BC16</f>
        <v>1.944680053246339E-2</v>
      </c>
      <c r="BD35" s="186">
        <f>+(BD25-(BD30*BD23)-BD43)/BD16</f>
        <v>1.9592299748786127E-2</v>
      </c>
      <c r="BE35" s="184">
        <f>SUMPRODUCT(BA35:BD35,BA6:BD6)/SUM(BA6:BD6)</f>
        <v>1.9840087369325719E-2</v>
      </c>
      <c r="BF35" s="186">
        <f>+(BF25-(BF30*BF23)-BF43)/BF16</f>
        <v>1.9637355837862722E-2</v>
      </c>
      <c r="BG35" s="186">
        <f>+(BG25-(BG30*BG23)-BG43)/BG16</f>
        <v>1.9489566398255651E-2</v>
      </c>
      <c r="BH35" s="186">
        <f>+(BH25-(BH30*BH23)-BH43)/BH16</f>
        <v>1.889731433502374E-2</v>
      </c>
      <c r="BI35" s="186">
        <f>+(BI25-(BI30*BI23)-BI43)/BI16</f>
        <v>1.9254747756781491E-2</v>
      </c>
      <c r="BJ35" s="184">
        <f>SUMPRODUCT(BF35:BI35,BF6:BI6)/SUM(BF6:BI6)</f>
        <v>1.9304363993501002E-2</v>
      </c>
      <c r="BK35" s="186">
        <f>+(BK25-(BK30*BK23)-BK43)/BK16</f>
        <v>1.9089958318619645E-2</v>
      </c>
      <c r="BL35" s="186">
        <f>CHOOSE(_Switch,BL36,BL37,BL38)</f>
        <v>1.8839958318619645E-2</v>
      </c>
      <c r="BM35" s="186">
        <f>CHOOSE(_Switch,BM36,BM37,BM38)</f>
        <v>1.8589958318619645E-2</v>
      </c>
      <c r="BN35" s="186">
        <f>CHOOSE(_Switch,BN36,BN37,BN38)</f>
        <v>1.8389958318619646E-2</v>
      </c>
      <c r="BO35" s="184">
        <f>SUMPRODUCT(BK35:BN35,BK6:BN6)/SUM(BK6:BN6)</f>
        <v>1.8705356103207074E-2</v>
      </c>
      <c r="BP35" s="186">
        <f>CHOOSE(_Switch,BP36,BP37,BP38)</f>
        <v>1.8289958318619647E-2</v>
      </c>
      <c r="BQ35" s="186">
        <f>CHOOSE(_Switch,BQ36,BQ37,BQ38)</f>
        <v>1.8189958318619647E-2</v>
      </c>
      <c r="BR35" s="186">
        <f>CHOOSE(_Switch,BR36,BR37,BR38)</f>
        <v>1.8089958318619648E-2</v>
      </c>
      <c r="BS35" s="186">
        <f>CHOOSE(_Switch,BS36,BS37,BS38)</f>
        <v>1.7989958318619648E-2</v>
      </c>
      <c r="BT35" s="184">
        <f>SUMPRODUCT(BP35:BS35,BP6:BS6)/SUM(BP6:BS6)</f>
        <v>1.8130396349507669E-2</v>
      </c>
      <c r="BU35" s="186">
        <f>CHOOSE(_Switch,BU36,BU37,BU38)</f>
        <v>1.7939958318619647E-2</v>
      </c>
      <c r="BV35" s="186">
        <f>CHOOSE(_Switch,BV36,BV37,BV38)</f>
        <v>1.7889958318619645E-2</v>
      </c>
      <c r="BW35" s="186">
        <f>CHOOSE(_Switch,BW36,BW37,BW38)</f>
        <v>1.7614958318619645E-2</v>
      </c>
      <c r="BX35" s="186">
        <f>CHOOSE(_Switch,BX36,BX37,BX38)</f>
        <v>1.7564958318619643E-2</v>
      </c>
      <c r="BY35" s="184">
        <f>SUMPRODUCT(BU35:BX35,BU6:BX6)/SUM(BU6:BX6)</f>
        <v>1.7741039372828508E-2</v>
      </c>
      <c r="BZ35" s="186">
        <f>CHOOSE(_Switch,BZ36,BZ37,BZ38)</f>
        <v>1.7544958318619644E-2</v>
      </c>
      <c r="CA35" s="186">
        <f>CHOOSE(_Switch,CA36,CA37,CA38)</f>
        <v>1.7524958318619645E-2</v>
      </c>
      <c r="CB35" s="186">
        <f>CHOOSE(_Switch,CB36,CB37,CB38)</f>
        <v>1.7504958318619646E-2</v>
      </c>
      <c r="CC35" s="186">
        <f>CHOOSE(_Switch,CC36,CC37,CC38)</f>
        <v>1.7484958318619646E-2</v>
      </c>
      <c r="CD35" s="184">
        <f>SUMPRODUCT(BZ35:CC35,BZ6:CC6)/SUM(BZ6:CC6)</f>
        <v>1.7513214704904991E-2</v>
      </c>
      <c r="CE35" s="160"/>
      <c r="CH35" s="714"/>
    </row>
    <row r="36" spans="1:86" outlineLevel="1">
      <c r="A36" s="533"/>
      <c r="B36" s="181" t="s">
        <v>121</v>
      </c>
      <c r="C36" s="553"/>
      <c r="D36" s="553"/>
      <c r="E36" s="553"/>
      <c r="F36" s="554"/>
      <c r="G36" s="182"/>
      <c r="H36" s="553"/>
      <c r="I36" s="553"/>
      <c r="J36" s="553"/>
      <c r="K36" s="554"/>
      <c r="L36" s="182"/>
      <c r="M36" s="553"/>
      <c r="N36" s="553"/>
      <c r="O36" s="553"/>
      <c r="P36" s="554"/>
      <c r="Q36" s="182"/>
      <c r="R36" s="553"/>
      <c r="S36" s="553"/>
      <c r="T36" s="553"/>
      <c r="U36" s="554"/>
      <c r="V36" s="182"/>
      <c r="W36" s="553"/>
      <c r="X36" s="553"/>
      <c r="Y36" s="553"/>
      <c r="Z36" s="554"/>
      <c r="AA36" s="182"/>
      <c r="AB36" s="553"/>
      <c r="AC36" s="553"/>
      <c r="AD36" s="553"/>
      <c r="AE36" s="554"/>
      <c r="AF36" s="182"/>
      <c r="AG36" s="553"/>
      <c r="AH36" s="553"/>
      <c r="AI36" s="553"/>
      <c r="AJ36" s="554"/>
      <c r="AK36" s="182"/>
      <c r="AL36" s="553"/>
      <c r="AM36" s="553"/>
      <c r="AN36" s="553"/>
      <c r="AO36" s="554"/>
      <c r="AP36" s="182"/>
      <c r="AQ36" s="581"/>
      <c r="AR36" s="581"/>
      <c r="AS36" s="581"/>
      <c r="AT36" s="581"/>
      <c r="AU36" s="549"/>
      <c r="AV36" s="581"/>
      <c r="AW36" s="557"/>
      <c r="AX36" s="557"/>
      <c r="AY36" s="557"/>
      <c r="AZ36" s="188"/>
      <c r="BA36" s="557"/>
      <c r="BB36" s="557"/>
      <c r="BC36" s="557"/>
      <c r="BD36" s="557"/>
      <c r="BE36" s="184"/>
      <c r="BF36" s="557"/>
      <c r="BG36" s="557"/>
      <c r="BH36" s="557"/>
      <c r="BI36" s="557"/>
      <c r="BJ36" s="182"/>
      <c r="BK36" s="183"/>
      <c r="BL36" s="183">
        <f>+BL37+0.045%</f>
        <v>1.9289958318619644E-2</v>
      </c>
      <c r="BM36" s="183">
        <f>+BM37+0.045%</f>
        <v>1.9039958318619644E-2</v>
      </c>
      <c r="BN36" s="183">
        <f>+BN37+0.045%</f>
        <v>1.8839958318619645E-2</v>
      </c>
      <c r="BO36" s="182"/>
      <c r="BP36" s="183">
        <f>+BP37+0.05%</f>
        <v>1.8789958318619647E-2</v>
      </c>
      <c r="BQ36" s="183">
        <f>+BQ37+0.05%</f>
        <v>1.8689958318619648E-2</v>
      </c>
      <c r="BR36" s="183">
        <f>+BR37+0.05%</f>
        <v>1.8589958318619648E-2</v>
      </c>
      <c r="BS36" s="183">
        <f>+BS37+0.05%</f>
        <v>1.8489958318619649E-2</v>
      </c>
      <c r="BT36" s="182"/>
      <c r="BU36" s="183">
        <f>+BU37+0.05%</f>
        <v>1.8439958318619647E-2</v>
      </c>
      <c r="BV36" s="183">
        <f>+BV37+0.05%</f>
        <v>1.8389958318619646E-2</v>
      </c>
      <c r="BW36" s="183">
        <f>+BW37+0.05%</f>
        <v>1.8114958318619645E-2</v>
      </c>
      <c r="BX36" s="183">
        <f>+BX37+0.05%</f>
        <v>1.8064958318619644E-2</v>
      </c>
      <c r="BY36" s="182"/>
      <c r="BZ36" s="183">
        <f>+BZ37+0.05%</f>
        <v>1.8044958318619644E-2</v>
      </c>
      <c r="CA36" s="183">
        <f>+CA37+0.05%</f>
        <v>1.8024958318619645E-2</v>
      </c>
      <c r="CB36" s="183">
        <f>+CB37+0.05%</f>
        <v>1.8004958318619646E-2</v>
      </c>
      <c r="CC36" s="183">
        <f>+CC37+0.05%</f>
        <v>1.7984958318619647E-2</v>
      </c>
      <c r="CD36" s="182"/>
      <c r="CE36" s="160"/>
    </row>
    <row r="37" spans="1:86" outlineLevel="1">
      <c r="A37" s="533"/>
      <c r="B37" s="181" t="s">
        <v>122</v>
      </c>
      <c r="C37" s="553"/>
      <c r="D37" s="553"/>
      <c r="E37" s="553"/>
      <c r="F37" s="554"/>
      <c r="G37" s="182"/>
      <c r="H37" s="553"/>
      <c r="I37" s="553"/>
      <c r="J37" s="553"/>
      <c r="K37" s="554"/>
      <c r="L37" s="182"/>
      <c r="M37" s="553"/>
      <c r="N37" s="553"/>
      <c r="O37" s="553"/>
      <c r="P37" s="554"/>
      <c r="Q37" s="182"/>
      <c r="R37" s="553"/>
      <c r="S37" s="553"/>
      <c r="T37" s="553"/>
      <c r="U37" s="554"/>
      <c r="V37" s="182"/>
      <c r="W37" s="553"/>
      <c r="X37" s="553"/>
      <c r="Y37" s="553"/>
      <c r="Z37" s="554"/>
      <c r="AA37" s="182"/>
      <c r="AB37" s="553"/>
      <c r="AC37" s="553"/>
      <c r="AD37" s="553"/>
      <c r="AE37" s="554"/>
      <c r="AF37" s="182"/>
      <c r="AG37" s="553"/>
      <c r="AH37" s="553"/>
      <c r="AI37" s="553"/>
      <c r="AJ37" s="554"/>
      <c r="AK37" s="182"/>
      <c r="AL37" s="553"/>
      <c r="AM37" s="553"/>
      <c r="AN37" s="553"/>
      <c r="AO37" s="554"/>
      <c r="AP37" s="182"/>
      <c r="AQ37" s="581"/>
      <c r="AR37" s="581"/>
      <c r="AS37" s="581"/>
      <c r="AT37" s="581"/>
      <c r="AU37" s="549"/>
      <c r="AV37" s="581"/>
      <c r="AW37" s="557"/>
      <c r="AX37" s="557"/>
      <c r="AY37" s="557"/>
      <c r="AZ37" s="188"/>
      <c r="BA37" s="557"/>
      <c r="BB37" s="557"/>
      <c r="BC37" s="557"/>
      <c r="BD37" s="557"/>
      <c r="BE37" s="184"/>
      <c r="BF37" s="557"/>
      <c r="BG37" s="557"/>
      <c r="BH37" s="557"/>
      <c r="BI37" s="557"/>
      <c r="BJ37" s="182"/>
      <c r="BK37" s="183"/>
      <c r="BL37" s="183">
        <f>+BK35-0.025%</f>
        <v>1.8839958318619645E-2</v>
      </c>
      <c r="BM37" s="183">
        <f>+BL37-0.025%</f>
        <v>1.8589958318619645E-2</v>
      </c>
      <c r="BN37" s="183">
        <f>+BM37-0.02%</f>
        <v>1.8389958318619646E-2</v>
      </c>
      <c r="BO37" s="182"/>
      <c r="BP37" s="183">
        <f>+BN37-0.01%</f>
        <v>1.8289958318619647E-2</v>
      </c>
      <c r="BQ37" s="183">
        <f>+BP37-0.01%</f>
        <v>1.8189958318619647E-2</v>
      </c>
      <c r="BR37" s="183">
        <f t="shared" ref="BR37:BS37" si="13">+BQ37-0.01%</f>
        <v>1.8089958318619648E-2</v>
      </c>
      <c r="BS37" s="183">
        <f t="shared" si="13"/>
        <v>1.7989958318619648E-2</v>
      </c>
      <c r="BT37" s="182"/>
      <c r="BU37" s="183">
        <f>+BS37-0.005%</f>
        <v>1.7939958318619647E-2</v>
      </c>
      <c r="BV37" s="183">
        <f>+BU37-0.005%</f>
        <v>1.7889958318619645E-2</v>
      </c>
      <c r="BW37" s="183">
        <f>+BV37-0.005%-0.003*0.075</f>
        <v>1.7614958318619645E-2</v>
      </c>
      <c r="BX37" s="183">
        <f t="shared" ref="BX37" si="14">+BW37-0.005%</f>
        <v>1.7564958318619643E-2</v>
      </c>
      <c r="BY37" s="182"/>
      <c r="BZ37" s="183">
        <f>+BX37-0.002%</f>
        <v>1.7544958318619644E-2</v>
      </c>
      <c r="CA37" s="183">
        <f>+BZ37-0.002%</f>
        <v>1.7524958318619645E-2</v>
      </c>
      <c r="CB37" s="183">
        <f t="shared" ref="CB37:CC37" si="15">+CA37-0.002%</f>
        <v>1.7504958318619646E-2</v>
      </c>
      <c r="CC37" s="183">
        <f t="shared" si="15"/>
        <v>1.7484958318619646E-2</v>
      </c>
      <c r="CD37" s="182"/>
      <c r="CE37" s="160"/>
    </row>
    <row r="38" spans="1:86" outlineLevel="1">
      <c r="A38" s="533"/>
      <c r="B38" s="181" t="s">
        <v>123</v>
      </c>
      <c r="C38" s="553"/>
      <c r="D38" s="553"/>
      <c r="E38" s="553"/>
      <c r="F38" s="554"/>
      <c r="G38" s="182"/>
      <c r="H38" s="553"/>
      <c r="I38" s="553"/>
      <c r="J38" s="553"/>
      <c r="K38" s="554"/>
      <c r="L38" s="182"/>
      <c r="M38" s="553"/>
      <c r="N38" s="553"/>
      <c r="O38" s="553"/>
      <c r="P38" s="554"/>
      <c r="Q38" s="182"/>
      <c r="R38" s="553"/>
      <c r="S38" s="553"/>
      <c r="T38" s="553"/>
      <c r="U38" s="554"/>
      <c r="V38" s="182"/>
      <c r="W38" s="553"/>
      <c r="X38" s="553"/>
      <c r="Y38" s="553"/>
      <c r="Z38" s="554"/>
      <c r="AA38" s="182"/>
      <c r="AB38" s="553"/>
      <c r="AC38" s="553"/>
      <c r="AD38" s="553"/>
      <c r="AE38" s="554"/>
      <c r="AF38" s="182"/>
      <c r="AG38" s="553"/>
      <c r="AH38" s="553"/>
      <c r="AI38" s="553"/>
      <c r="AJ38" s="554"/>
      <c r="AK38" s="182"/>
      <c r="AL38" s="553"/>
      <c r="AM38" s="553"/>
      <c r="AN38" s="553"/>
      <c r="AO38" s="554"/>
      <c r="AP38" s="182"/>
      <c r="AQ38" s="581"/>
      <c r="AR38" s="581"/>
      <c r="AS38" s="581"/>
      <c r="AT38" s="581"/>
      <c r="AU38" s="549"/>
      <c r="AV38" s="581"/>
      <c r="AW38" s="557"/>
      <c r="AX38" s="557"/>
      <c r="AY38" s="557"/>
      <c r="AZ38" s="188"/>
      <c r="BA38" s="557"/>
      <c r="BB38" s="557"/>
      <c r="BC38" s="557"/>
      <c r="BD38" s="557"/>
      <c r="BE38" s="184"/>
      <c r="BF38" s="557"/>
      <c r="BG38" s="557"/>
      <c r="BH38" s="557"/>
      <c r="BI38" s="557"/>
      <c r="BJ38" s="182"/>
      <c r="BK38" s="183"/>
      <c r="BL38" s="183">
        <f t="shared" ref="BL38:BN38" si="16">+BL37-0.04%</f>
        <v>1.8439958318619644E-2</v>
      </c>
      <c r="BM38" s="183">
        <f t="shared" si="16"/>
        <v>1.8189958318619644E-2</v>
      </c>
      <c r="BN38" s="183">
        <f t="shared" si="16"/>
        <v>1.7989958318619645E-2</v>
      </c>
      <c r="BO38" s="182"/>
      <c r="BP38" s="183">
        <f>+BP37-0.035%</f>
        <v>1.7939958318619647E-2</v>
      </c>
      <c r="BQ38" s="183">
        <f>+BQ37-0.035%</f>
        <v>1.7839958318619648E-2</v>
      </c>
      <c r="BR38" s="183">
        <f>+BR37-0.035%</f>
        <v>1.7739958318619648E-2</v>
      </c>
      <c r="BS38" s="183">
        <f>+BS37-0.035%</f>
        <v>1.7639958318619649E-2</v>
      </c>
      <c r="BT38" s="182"/>
      <c r="BU38" s="183">
        <f>+BU37-0.0375%</f>
        <v>1.7564958318619647E-2</v>
      </c>
      <c r="BV38" s="183">
        <f>+BV37-0.0375%</f>
        <v>1.7514958318619645E-2</v>
      </c>
      <c r="BW38" s="183">
        <f>+BW37-0.0375%</f>
        <v>1.7239958318619644E-2</v>
      </c>
      <c r="BX38" s="183">
        <f>+BX37-0.0375%</f>
        <v>1.7189958318619643E-2</v>
      </c>
      <c r="BY38" s="182"/>
      <c r="BZ38" s="183">
        <f>+BZ37-0.0375%</f>
        <v>1.7169958318619644E-2</v>
      </c>
      <c r="CA38" s="183">
        <f>+CA37-0.0375%</f>
        <v>1.7149958318619644E-2</v>
      </c>
      <c r="CB38" s="183">
        <f>+CB37-0.0375%</f>
        <v>1.7129958318619645E-2</v>
      </c>
      <c r="CC38" s="183">
        <f>+CC37-0.0375%</f>
        <v>1.7109958318619646E-2</v>
      </c>
      <c r="CD38" s="182"/>
      <c r="CE38" s="160"/>
    </row>
    <row r="39" spans="1:86">
      <c r="A39" s="533"/>
      <c r="B39" s="561"/>
      <c r="C39" s="553"/>
      <c r="D39" s="553"/>
      <c r="E39" s="553"/>
      <c r="F39" s="554"/>
      <c r="G39" s="182"/>
      <c r="H39" s="553"/>
      <c r="I39" s="553"/>
      <c r="J39" s="553"/>
      <c r="K39" s="554"/>
      <c r="L39" s="182"/>
      <c r="M39" s="553"/>
      <c r="N39" s="553"/>
      <c r="O39" s="553"/>
      <c r="P39" s="554"/>
      <c r="Q39" s="182"/>
      <c r="R39" s="553"/>
      <c r="S39" s="553"/>
      <c r="T39" s="553"/>
      <c r="U39" s="554"/>
      <c r="V39" s="182"/>
      <c r="W39" s="553"/>
      <c r="X39" s="553"/>
      <c r="Y39" s="553"/>
      <c r="Z39" s="554"/>
      <c r="AA39" s="182"/>
      <c r="AB39" s="553"/>
      <c r="AC39" s="553"/>
      <c r="AD39" s="553"/>
      <c r="AE39" s="554"/>
      <c r="AF39" s="182"/>
      <c r="AG39" s="553"/>
      <c r="AH39" s="553"/>
      <c r="AI39" s="553"/>
      <c r="AJ39" s="554"/>
      <c r="AK39" s="182"/>
      <c r="AL39" s="553"/>
      <c r="AM39" s="553"/>
      <c r="AN39" s="553"/>
      <c r="AO39" s="554"/>
      <c r="AP39" s="182"/>
      <c r="AQ39" s="581"/>
      <c r="AR39" s="581"/>
      <c r="AS39" s="581"/>
      <c r="AT39" s="581"/>
      <c r="AU39" s="549"/>
      <c r="AV39" s="581"/>
      <c r="AW39" s="581"/>
      <c r="AX39" s="581"/>
      <c r="AY39" s="581"/>
      <c r="AZ39" s="188"/>
      <c r="BA39" s="581"/>
      <c r="BB39" s="581"/>
      <c r="BC39" s="581"/>
      <c r="BD39" s="581"/>
      <c r="BE39" s="184"/>
      <c r="BF39" s="581"/>
      <c r="BG39" s="581"/>
      <c r="BH39" s="581"/>
      <c r="BI39" s="581"/>
      <c r="BJ39" s="182"/>
      <c r="BK39" s="536"/>
      <c r="BL39" s="536"/>
      <c r="BM39" s="536"/>
      <c r="BN39" s="536"/>
      <c r="BO39" s="182"/>
      <c r="BP39" s="536"/>
      <c r="BQ39" s="536"/>
      <c r="BR39" s="536"/>
      <c r="BS39" s="536"/>
      <c r="BT39" s="182"/>
      <c r="BU39" s="536"/>
      <c r="BV39" s="536"/>
      <c r="BW39" s="536"/>
      <c r="BX39" s="536"/>
      <c r="BY39" s="182"/>
      <c r="BZ39" s="536"/>
      <c r="CA39" s="536"/>
      <c r="CB39" s="536"/>
      <c r="CC39" s="536"/>
      <c r="CD39" s="182"/>
      <c r="CE39" s="160"/>
    </row>
    <row r="40" spans="1:86">
      <c r="A40" s="533"/>
      <c r="B40" s="561" t="s">
        <v>276</v>
      </c>
      <c r="C40" s="553"/>
      <c r="D40" s="553"/>
      <c r="E40" s="553"/>
      <c r="F40" s="554"/>
      <c r="G40" s="182"/>
      <c r="H40" s="553"/>
      <c r="I40" s="553"/>
      <c r="J40" s="553"/>
      <c r="K40" s="554"/>
      <c r="L40" s="182"/>
      <c r="M40" s="553"/>
      <c r="N40" s="553"/>
      <c r="O40" s="553"/>
      <c r="P40" s="554"/>
      <c r="Q40" s="182"/>
      <c r="R40" s="553"/>
      <c r="S40" s="553"/>
      <c r="T40" s="553"/>
      <c r="U40" s="554"/>
      <c r="V40" s="182"/>
      <c r="W40" s="553"/>
      <c r="X40" s="553"/>
      <c r="Y40" s="553"/>
      <c r="Z40" s="554"/>
      <c r="AA40" s="182"/>
      <c r="AB40" s="553"/>
      <c r="AC40" s="553"/>
      <c r="AD40" s="553"/>
      <c r="AE40" s="554"/>
      <c r="AF40" s="182"/>
      <c r="AG40" s="553"/>
      <c r="AH40" s="553"/>
      <c r="AI40" s="553"/>
      <c r="AJ40" s="554"/>
      <c r="AK40" s="182"/>
      <c r="AL40" s="553"/>
      <c r="AM40" s="553"/>
      <c r="AN40" s="553"/>
      <c r="AO40" s="554"/>
      <c r="AP40" s="182"/>
      <c r="AQ40" s="582">
        <f>-40+23</f>
        <v>-17</v>
      </c>
      <c r="AR40" s="582">
        <v>-23</v>
      </c>
      <c r="AS40" s="582">
        <v>-16</v>
      </c>
      <c r="AT40" s="582">
        <v>20</v>
      </c>
      <c r="AU40" s="583">
        <f>SUM(AQ40:AT40)</f>
        <v>-36</v>
      </c>
      <c r="AV40" s="582">
        <f>112-62</f>
        <v>50</v>
      </c>
      <c r="AW40" s="582">
        <v>62</v>
      </c>
      <c r="AX40" s="582">
        <v>38</v>
      </c>
      <c r="AY40" s="582">
        <f>182-AX40-AW40-AV40</f>
        <v>32</v>
      </c>
      <c r="AZ40" s="583">
        <f>SUM(AV40:AY40)</f>
        <v>182</v>
      </c>
      <c r="BA40" s="584">
        <v>32</v>
      </c>
      <c r="BB40" s="582">
        <v>20</v>
      </c>
      <c r="BC40" s="582">
        <v>28</v>
      </c>
      <c r="BD40" s="582">
        <f>119-BC40-BB40-BA40</f>
        <v>39</v>
      </c>
      <c r="BE40" s="583">
        <f>SUM(BA40:BD40)</f>
        <v>119</v>
      </c>
      <c r="BF40" s="584">
        <v>40</v>
      </c>
      <c r="BG40" s="584">
        <v>35</v>
      </c>
      <c r="BH40" s="584">
        <v>-13</v>
      </c>
      <c r="BI40" s="582">
        <v>-40</v>
      </c>
      <c r="BJ40" s="583">
        <f>SUM(BF40:BI40)</f>
        <v>22</v>
      </c>
      <c r="BK40" s="1306">
        <v>-50</v>
      </c>
      <c r="BL40" s="584">
        <v>-32</v>
      </c>
      <c r="BM40" s="584">
        <v>-15</v>
      </c>
      <c r="BN40" s="584">
        <v>-5</v>
      </c>
      <c r="BO40" s="583">
        <f>SUM(BK40:BN40)</f>
        <v>-102</v>
      </c>
      <c r="BP40" s="584">
        <v>0</v>
      </c>
      <c r="BQ40" s="584">
        <v>0</v>
      </c>
      <c r="BR40" s="584">
        <v>0</v>
      </c>
      <c r="BS40" s="584">
        <v>0</v>
      </c>
      <c r="BT40" s="583">
        <f>SUM(BP40:BS40)</f>
        <v>0</v>
      </c>
      <c r="BU40" s="584">
        <v>0</v>
      </c>
      <c r="BV40" s="584">
        <v>0</v>
      </c>
      <c r="BW40" s="584">
        <v>0</v>
      </c>
      <c r="BX40" s="584">
        <v>0</v>
      </c>
      <c r="BY40" s="583">
        <f>SUM(BU40:BX40)</f>
        <v>0</v>
      </c>
      <c r="BZ40" s="584">
        <v>0</v>
      </c>
      <c r="CA40" s="584">
        <v>0</v>
      </c>
      <c r="CB40" s="584">
        <v>0</v>
      </c>
      <c r="CC40" s="584">
        <v>0</v>
      </c>
      <c r="CD40" s="583">
        <f>SUM(BZ40:CC40)</f>
        <v>0</v>
      </c>
      <c r="CE40" s="160"/>
      <c r="CG40" s="1263"/>
    </row>
    <row r="41" spans="1:86">
      <c r="A41" s="533"/>
      <c r="B41" s="561" t="s">
        <v>277</v>
      </c>
      <c r="C41" s="553"/>
      <c r="D41" s="553"/>
      <c r="E41" s="553"/>
      <c r="F41" s="554"/>
      <c r="G41" s="182"/>
      <c r="H41" s="553"/>
      <c r="I41" s="553"/>
      <c r="J41" s="553"/>
      <c r="K41" s="554"/>
      <c r="L41" s="182"/>
      <c r="M41" s="553"/>
      <c r="N41" s="553"/>
      <c r="O41" s="553"/>
      <c r="P41" s="554"/>
      <c r="Q41" s="182"/>
      <c r="R41" s="553"/>
      <c r="S41" s="553"/>
      <c r="T41" s="553"/>
      <c r="U41" s="554"/>
      <c r="V41" s="182"/>
      <c r="W41" s="553"/>
      <c r="X41" s="553"/>
      <c r="Y41" s="553"/>
      <c r="Z41" s="554"/>
      <c r="AA41" s="182"/>
      <c r="AB41" s="553"/>
      <c r="AC41" s="553"/>
      <c r="AD41" s="553"/>
      <c r="AE41" s="554"/>
      <c r="AF41" s="182"/>
      <c r="AG41" s="553"/>
      <c r="AH41" s="553"/>
      <c r="AI41" s="553"/>
      <c r="AJ41" s="554"/>
      <c r="AK41" s="182"/>
      <c r="AL41" s="553"/>
      <c r="AM41" s="553"/>
      <c r="AN41" s="553"/>
      <c r="AO41" s="554"/>
      <c r="AP41" s="182"/>
      <c r="AQ41" s="581"/>
      <c r="AR41" s="581"/>
      <c r="AS41" s="581"/>
      <c r="AT41" s="581"/>
      <c r="AU41" s="585"/>
      <c r="AV41" s="586">
        <f>AV40-AQ40</f>
        <v>67</v>
      </c>
      <c r="AW41" s="586">
        <f>AW40-AR40</f>
        <v>85</v>
      </c>
      <c r="AX41" s="586">
        <f>AX40-AS40</f>
        <v>54</v>
      </c>
      <c r="AY41" s="586">
        <v>30</v>
      </c>
      <c r="AZ41" s="583">
        <f>SUM(AV41:AY41)</f>
        <v>236</v>
      </c>
      <c r="BA41" s="586">
        <f>BA40-AV40</f>
        <v>-18</v>
      </c>
      <c r="BB41" s="586">
        <f>BB40-AW40</f>
        <v>-42</v>
      </c>
      <c r="BC41" s="586">
        <f>BC40-AX40</f>
        <v>-10</v>
      </c>
      <c r="BD41" s="586">
        <f>BD40-AY40</f>
        <v>7</v>
      </c>
      <c r="BE41" s="583">
        <f>SUM(BA41:BD41)</f>
        <v>-63</v>
      </c>
      <c r="BF41" s="586">
        <f>BF40-BA40</f>
        <v>8</v>
      </c>
      <c r="BG41" s="586">
        <f>BG40-BB40</f>
        <v>15</v>
      </c>
      <c r="BH41" s="586">
        <f>BH40-BC40</f>
        <v>-41</v>
      </c>
      <c r="BI41" s="586">
        <f>BI40-BD40</f>
        <v>-79</v>
      </c>
      <c r="BJ41" s="583">
        <f>SUM(BF41:BI41)</f>
        <v>-97</v>
      </c>
      <c r="BK41" s="586">
        <f>BK40-BF40</f>
        <v>-90</v>
      </c>
      <c r="BL41" s="586">
        <f>BL40-BG40</f>
        <v>-67</v>
      </c>
      <c r="BM41" s="586">
        <f>BM40-BH40</f>
        <v>-2</v>
      </c>
      <c r="BN41" s="586">
        <f>BN40-BI40</f>
        <v>35</v>
      </c>
      <c r="BO41" s="583">
        <f>SUM(BK41:BN41)</f>
        <v>-124</v>
      </c>
      <c r="BP41" s="586">
        <f>BP40-BK40</f>
        <v>50</v>
      </c>
      <c r="BQ41" s="586">
        <f>BQ40-BL40</f>
        <v>32</v>
      </c>
      <c r="BR41" s="586">
        <f>BR40-BM40</f>
        <v>15</v>
      </c>
      <c r="BS41" s="586">
        <f>BS40-BN40</f>
        <v>5</v>
      </c>
      <c r="BT41" s="583">
        <f>SUM(BP41:BS41)</f>
        <v>102</v>
      </c>
      <c r="BU41" s="586">
        <f>BU40-BP40</f>
        <v>0</v>
      </c>
      <c r="BV41" s="586">
        <f>BV40-BQ40</f>
        <v>0</v>
      </c>
      <c r="BW41" s="586">
        <f>BW40-BR40</f>
        <v>0</v>
      </c>
      <c r="BX41" s="586">
        <f>BX40-BS40</f>
        <v>0</v>
      </c>
      <c r="BY41" s="583">
        <f>SUM(BU41:BX41)</f>
        <v>0</v>
      </c>
      <c r="BZ41" s="586">
        <f>BZ40-BU40</f>
        <v>0</v>
      </c>
      <c r="CA41" s="586">
        <f>CA40-BV40</f>
        <v>0</v>
      </c>
      <c r="CB41" s="586">
        <f>CB40-BW40</f>
        <v>0</v>
      </c>
      <c r="CC41" s="586">
        <f>CC40-BX40</f>
        <v>0</v>
      </c>
      <c r="CD41" s="583">
        <f>SUM(BZ41:CC41)</f>
        <v>0</v>
      </c>
      <c r="CE41" s="160"/>
    </row>
    <row r="42" spans="1:86">
      <c r="A42" s="533"/>
      <c r="B42" s="561" t="s">
        <v>278</v>
      </c>
      <c r="C42" s="553"/>
      <c r="D42" s="553"/>
      <c r="E42" s="553"/>
      <c r="F42" s="554"/>
      <c r="G42" s="182"/>
      <c r="H42" s="553"/>
      <c r="I42" s="553"/>
      <c r="J42" s="553"/>
      <c r="K42" s="554"/>
      <c r="L42" s="182"/>
      <c r="M42" s="553"/>
      <c r="N42" s="553"/>
      <c r="O42" s="553"/>
      <c r="P42" s="554"/>
      <c r="Q42" s="182"/>
      <c r="R42" s="553"/>
      <c r="S42" s="553"/>
      <c r="T42" s="553"/>
      <c r="U42" s="554"/>
      <c r="V42" s="182"/>
      <c r="W42" s="553"/>
      <c r="X42" s="553"/>
      <c r="Y42" s="553"/>
      <c r="Z42" s="554"/>
      <c r="AA42" s="182"/>
      <c r="AB42" s="553"/>
      <c r="AC42" s="553"/>
      <c r="AD42" s="553"/>
      <c r="AE42" s="554"/>
      <c r="AF42" s="182"/>
      <c r="AG42" s="553"/>
      <c r="AH42" s="553"/>
      <c r="AI42" s="553"/>
      <c r="AJ42" s="554"/>
      <c r="AK42" s="182"/>
      <c r="AL42" s="553"/>
      <c r="AM42" s="553"/>
      <c r="AN42" s="553"/>
      <c r="AO42" s="554"/>
      <c r="AP42" s="182"/>
      <c r="AQ42" s="587">
        <f>0.03*(1+AQ187)-0.03</f>
        <v>-4.5697644037675025E-4</v>
      </c>
      <c r="AR42" s="587">
        <f>0.03*(1+AR187)-0.03</f>
        <v>-8.0299147566895504E-4</v>
      </c>
      <c r="AS42" s="587">
        <f>0.03*(1+AS187)-0.03</f>
        <v>-5.0155078282027726E-4</v>
      </c>
      <c r="AT42" s="587">
        <f>0.03*(1+AT187)-0.03</f>
        <v>9.6165556510566241E-4</v>
      </c>
      <c r="AU42" s="588"/>
      <c r="AV42" s="589">
        <f>+AQ25*(1+AV187)-AQ25</f>
        <v>1.5653669228341237E-3</v>
      </c>
      <c r="AW42" s="529">
        <f>80/AR6</f>
        <v>1.4100394811054709E-3</v>
      </c>
      <c r="AX42" s="529">
        <f>55/AS6</f>
        <v>9.4527705211054581E-4</v>
      </c>
      <c r="AY42" s="529">
        <f>25/AT6</f>
        <v>3.7856418177137753E-4</v>
      </c>
      <c r="AZ42" s="188">
        <f t="shared" ref="AZ42:CD42" si="17">AZ41/AZ6</f>
        <v>8.1933633756657109E-4</v>
      </c>
      <c r="BA42" s="589">
        <f t="shared" si="17"/>
        <v>-2.180258966314999E-4</v>
      </c>
      <c r="BB42" s="589">
        <f t="shared" si="17"/>
        <v>-4.7856158062053485E-4</v>
      </c>
      <c r="BC42" s="589">
        <f t="shared" si="17"/>
        <v>-1.1249226615670173E-4</v>
      </c>
      <c r="BD42" s="589">
        <f t="shared" si="17"/>
        <v>6.950581366484296E-5</v>
      </c>
      <c r="BE42" s="188">
        <f t="shared" si="17"/>
        <v>-1.7503500700140028E-4</v>
      </c>
      <c r="BF42" s="589">
        <f t="shared" si="17"/>
        <v>7.9492045827164414E-5</v>
      </c>
      <c r="BG42" s="589">
        <f t="shared" si="17"/>
        <v>1.391465677179963E-4</v>
      </c>
      <c r="BH42" s="589">
        <f t="shared" si="17"/>
        <v>-3.5582864680969243E-4</v>
      </c>
      <c r="BI42" s="589">
        <f t="shared" si="17"/>
        <v>-5.9615892540467114E-4</v>
      </c>
      <c r="BJ42" s="188">
        <f t="shared" si="17"/>
        <v>-2.126362954811499E-4</v>
      </c>
      <c r="BK42" s="589">
        <f t="shared" si="17"/>
        <v>-6.7994318696926659E-4</v>
      </c>
      <c r="BL42" s="589">
        <f t="shared" si="17"/>
        <v>-4.7666023256806697E-4</v>
      </c>
      <c r="BM42" s="589">
        <f t="shared" si="17"/>
        <v>-1.3599895405460707E-5</v>
      </c>
      <c r="BN42" s="589">
        <f t="shared" si="17"/>
        <v>2.0884519292103682E-4</v>
      </c>
      <c r="BO42" s="188">
        <f t="shared" si="17"/>
        <v>-2.110374131193744E-4</v>
      </c>
      <c r="BP42" s="589">
        <f t="shared" si="17"/>
        <v>3.0775360827273477E-4</v>
      </c>
      <c r="BQ42" s="589">
        <f t="shared" si="17"/>
        <v>1.8538975451137807E-4</v>
      </c>
      <c r="BR42" s="589">
        <f t="shared" si="17"/>
        <v>8.3061250440517347E-5</v>
      </c>
      <c r="BS42" s="589">
        <f t="shared" si="17"/>
        <v>2.4295625048980551E-5</v>
      </c>
      <c r="BT42" s="188">
        <f t="shared" si="17"/>
        <v>1.4137900990593367E-4</v>
      </c>
      <c r="BU42" s="589">
        <f t="shared" si="17"/>
        <v>0</v>
      </c>
      <c r="BV42" s="589">
        <f t="shared" si="17"/>
        <v>0</v>
      </c>
      <c r="BW42" s="589">
        <f t="shared" si="17"/>
        <v>0</v>
      </c>
      <c r="BX42" s="589">
        <f t="shared" si="17"/>
        <v>0</v>
      </c>
      <c r="BY42" s="188">
        <f t="shared" si="17"/>
        <v>0</v>
      </c>
      <c r="BZ42" s="589">
        <f t="shared" si="17"/>
        <v>0</v>
      </c>
      <c r="CA42" s="589">
        <f t="shared" si="17"/>
        <v>0</v>
      </c>
      <c r="CB42" s="589">
        <f t="shared" si="17"/>
        <v>0</v>
      </c>
      <c r="CC42" s="589">
        <f t="shared" si="17"/>
        <v>0</v>
      </c>
      <c r="CD42" s="188">
        <f t="shared" si="17"/>
        <v>0</v>
      </c>
      <c r="CE42" s="160"/>
    </row>
    <row r="43" spans="1:86">
      <c r="A43" s="533"/>
      <c r="B43" s="561" t="s">
        <v>279</v>
      </c>
      <c r="C43" s="553"/>
      <c r="D43" s="553"/>
      <c r="E43" s="553"/>
      <c r="F43" s="554"/>
      <c r="G43" s="182"/>
      <c r="H43" s="553"/>
      <c r="I43" s="553"/>
      <c r="J43" s="553"/>
      <c r="K43" s="554"/>
      <c r="L43" s="182"/>
      <c r="M43" s="553"/>
      <c r="N43" s="553"/>
      <c r="O43" s="553"/>
      <c r="P43" s="554"/>
      <c r="Q43" s="182"/>
      <c r="R43" s="553"/>
      <c r="S43" s="553"/>
      <c r="T43" s="553"/>
      <c r="U43" s="554"/>
      <c r="V43" s="182"/>
      <c r="W43" s="553"/>
      <c r="X43" s="553"/>
      <c r="Y43" s="553"/>
      <c r="Z43" s="554"/>
      <c r="AA43" s="182"/>
      <c r="AB43" s="553"/>
      <c r="AC43" s="553"/>
      <c r="AD43" s="553"/>
      <c r="AE43" s="554"/>
      <c r="AF43" s="182"/>
      <c r="AG43" s="553"/>
      <c r="AH43" s="553"/>
      <c r="AI43" s="553"/>
      <c r="AJ43" s="554"/>
      <c r="AK43" s="182"/>
      <c r="AL43" s="553"/>
      <c r="AM43" s="553"/>
      <c r="AN43" s="553"/>
      <c r="AO43" s="554"/>
      <c r="AP43" s="182"/>
      <c r="AQ43" s="590">
        <f t="shared" ref="AQ43:CD43" si="18">AQ40/AQ6</f>
        <v>-3.1671510544749982E-4</v>
      </c>
      <c r="AR43" s="590">
        <f t="shared" si="18"/>
        <v>-4.0538635081782291E-4</v>
      </c>
      <c r="AS43" s="590">
        <f t="shared" si="18"/>
        <v>-2.7498968788670426E-4</v>
      </c>
      <c r="AT43" s="590">
        <f t="shared" si="18"/>
        <v>3.0285134541710202E-4</v>
      </c>
      <c r="AU43" s="188">
        <f t="shared" si="18"/>
        <v>-1.5342979521384278E-4</v>
      </c>
      <c r="AV43" s="590">
        <f t="shared" si="18"/>
        <v>7.9338633154028024E-4</v>
      </c>
      <c r="AW43" s="590">
        <f t="shared" si="18"/>
        <v>9.1876352212441831E-4</v>
      </c>
      <c r="AX43" s="590">
        <f t="shared" si="18"/>
        <v>5.3283228402765124E-4</v>
      </c>
      <c r="AY43" s="590">
        <f t="shared" si="18"/>
        <v>3.8506895140911167E-4</v>
      </c>
      <c r="AZ43" s="188">
        <f t="shared" si="18"/>
        <v>6.3186107388608448E-4</v>
      </c>
      <c r="BA43" s="590">
        <f t="shared" si="18"/>
        <v>3.8760159401155539E-4</v>
      </c>
      <c r="BB43" s="590">
        <f t="shared" si="18"/>
        <v>2.2788646696215946E-4</v>
      </c>
      <c r="BC43" s="590">
        <f t="shared" si="18"/>
        <v>3.1497834523876481E-4</v>
      </c>
      <c r="BD43" s="590">
        <f t="shared" si="18"/>
        <v>3.8724667613269654E-4</v>
      </c>
      <c r="BE43" s="188">
        <f t="shared" si="18"/>
        <v>3.3062167989153388E-4</v>
      </c>
      <c r="BF43" s="590">
        <f t="shared" si="18"/>
        <v>3.9746022913582211E-4</v>
      </c>
      <c r="BG43" s="590">
        <f t="shared" si="18"/>
        <v>3.2467532467532468E-4</v>
      </c>
      <c r="BH43" s="590">
        <f t="shared" si="18"/>
        <v>-1.1282371728112199E-4</v>
      </c>
      <c r="BI43" s="590">
        <f t="shared" si="18"/>
        <v>-3.0185262045806136E-4</v>
      </c>
      <c r="BJ43" s="188">
        <f t="shared" si="18"/>
        <v>4.822678866582781E-5</v>
      </c>
      <c r="BK43" s="590">
        <f t="shared" si="18"/>
        <v>-3.7774621498292587E-4</v>
      </c>
      <c r="BL43" s="590">
        <f t="shared" si="18"/>
        <v>-2.2765861853997227E-4</v>
      </c>
      <c r="BM43" s="590">
        <f t="shared" si="18"/>
        <v>-1.0199921554095531E-4</v>
      </c>
      <c r="BN43" s="590">
        <f t="shared" si="18"/>
        <v>-2.9835027560148115E-5</v>
      </c>
      <c r="BO43" s="188">
        <f t="shared" si="18"/>
        <v>-1.7359529143690474E-4</v>
      </c>
      <c r="BP43" s="590">
        <f t="shared" si="18"/>
        <v>0</v>
      </c>
      <c r="BQ43" s="590">
        <f t="shared" si="18"/>
        <v>0</v>
      </c>
      <c r="BR43" s="590">
        <f t="shared" si="18"/>
        <v>0</v>
      </c>
      <c r="BS43" s="590">
        <f t="shared" si="18"/>
        <v>0</v>
      </c>
      <c r="BT43" s="188">
        <f t="shared" si="18"/>
        <v>0</v>
      </c>
      <c r="BU43" s="590">
        <f t="shared" si="18"/>
        <v>0</v>
      </c>
      <c r="BV43" s="590">
        <f t="shared" si="18"/>
        <v>0</v>
      </c>
      <c r="BW43" s="590">
        <f t="shared" si="18"/>
        <v>0</v>
      </c>
      <c r="BX43" s="590">
        <f t="shared" si="18"/>
        <v>0</v>
      </c>
      <c r="BY43" s="188">
        <f t="shared" si="18"/>
        <v>0</v>
      </c>
      <c r="BZ43" s="590">
        <f t="shared" si="18"/>
        <v>0</v>
      </c>
      <c r="CA43" s="590">
        <f t="shared" si="18"/>
        <v>0</v>
      </c>
      <c r="CB43" s="590">
        <f t="shared" si="18"/>
        <v>0</v>
      </c>
      <c r="CC43" s="590">
        <f t="shared" si="18"/>
        <v>0</v>
      </c>
      <c r="CD43" s="188">
        <f t="shared" si="18"/>
        <v>0</v>
      </c>
      <c r="CE43" s="160"/>
    </row>
    <row r="44" spans="1:86">
      <c r="A44" s="570"/>
      <c r="B44" s="571"/>
      <c r="C44" s="553"/>
      <c r="D44" s="553"/>
      <c r="E44" s="553"/>
      <c r="F44" s="553"/>
      <c r="G44" s="143"/>
      <c r="H44" s="553"/>
      <c r="I44" s="553"/>
      <c r="J44" s="553"/>
      <c r="K44" s="553"/>
      <c r="L44" s="143"/>
      <c r="M44" s="553"/>
      <c r="N44" s="553"/>
      <c r="O44" s="553"/>
      <c r="P44" s="553"/>
      <c r="Q44" s="143"/>
      <c r="R44" s="553"/>
      <c r="S44" s="553"/>
      <c r="T44" s="553"/>
      <c r="U44" s="553"/>
      <c r="V44" s="143"/>
      <c r="W44" s="553"/>
      <c r="X44" s="553"/>
      <c r="Y44" s="553"/>
      <c r="Z44" s="553"/>
      <c r="AA44" s="143"/>
      <c r="AB44" s="553"/>
      <c r="AC44" s="553"/>
      <c r="AD44" s="553"/>
      <c r="AE44" s="553"/>
      <c r="AF44" s="143"/>
      <c r="AG44" s="553"/>
      <c r="AH44" s="553"/>
      <c r="AI44" s="553"/>
      <c r="AJ44" s="553"/>
      <c r="AK44" s="144"/>
      <c r="AL44" s="553"/>
      <c r="AM44" s="553"/>
      <c r="AN44" s="553"/>
      <c r="AO44" s="553"/>
      <c r="AP44" s="144"/>
      <c r="AQ44" s="553"/>
      <c r="AR44" s="553"/>
      <c r="AS44" s="553"/>
      <c r="AT44" s="553"/>
      <c r="AU44" s="549"/>
      <c r="AV44" s="591"/>
      <c r="AW44" s="591"/>
      <c r="AX44" s="591"/>
      <c r="AY44" s="591"/>
      <c r="AZ44" s="144"/>
      <c r="BA44" s="591"/>
      <c r="BB44" s="591"/>
      <c r="BC44" s="591"/>
      <c r="BD44" s="591"/>
      <c r="BE44" s="144"/>
      <c r="BF44" s="591"/>
      <c r="BG44" s="591"/>
      <c r="BH44" s="591"/>
      <c r="BI44" s="591"/>
      <c r="BJ44" s="144"/>
      <c r="BK44" s="591"/>
      <c r="BL44" s="591"/>
      <c r="BM44" s="591"/>
      <c r="BN44" s="591"/>
      <c r="BO44" s="144"/>
      <c r="BP44" s="591"/>
      <c r="BQ44" s="591"/>
      <c r="BR44" s="591"/>
      <c r="BS44" s="591"/>
      <c r="BT44" s="144"/>
      <c r="BU44" s="591"/>
      <c r="BV44" s="591"/>
      <c r="BW44" s="591"/>
      <c r="BX44" s="591"/>
      <c r="BY44" s="144"/>
      <c r="BZ44" s="591"/>
      <c r="CA44" s="591"/>
      <c r="CB44" s="591"/>
      <c r="CC44" s="591"/>
      <c r="CD44" s="144"/>
      <c r="CE44" s="157"/>
    </row>
    <row r="45" spans="1:86" ht="13.5" thickBot="1">
      <c r="A45" s="538"/>
      <c r="B45" s="592" t="s">
        <v>116</v>
      </c>
      <c r="C45" s="593"/>
      <c r="D45" s="593"/>
      <c r="E45" s="593"/>
      <c r="F45" s="593"/>
      <c r="G45" s="594"/>
      <c r="H45" s="593"/>
      <c r="I45" s="593"/>
      <c r="J45" s="593"/>
      <c r="K45" s="593"/>
      <c r="L45" s="594"/>
      <c r="M45" s="593"/>
      <c r="N45" s="593"/>
      <c r="O45" s="593"/>
      <c r="P45" s="593"/>
      <c r="Q45" s="594"/>
      <c r="R45" s="593"/>
      <c r="S45" s="593"/>
      <c r="T45" s="593"/>
      <c r="U45" s="593"/>
      <c r="V45" s="594"/>
      <c r="W45" s="593"/>
      <c r="X45" s="593"/>
      <c r="Y45" s="593"/>
      <c r="Z45" s="593"/>
      <c r="AA45" s="594"/>
      <c r="AB45" s="593"/>
      <c r="AC45" s="593"/>
      <c r="AD45" s="593"/>
      <c r="AE45" s="593"/>
      <c r="AF45" s="594"/>
      <c r="AG45" s="593"/>
      <c r="AH45" s="593"/>
      <c r="AI45" s="593"/>
      <c r="AJ45" s="593"/>
      <c r="AK45" s="595">
        <v>5028</v>
      </c>
      <c r="AL45" s="596"/>
      <c r="AM45" s="596"/>
      <c r="AN45" s="596"/>
      <c r="AO45" s="596"/>
      <c r="AP45" s="595">
        <v>5992</v>
      </c>
      <c r="AQ45" s="596">
        <f>1674-3</f>
        <v>1671</v>
      </c>
      <c r="AR45" s="596">
        <f>1712-2</f>
        <v>1710</v>
      </c>
      <c r="AS45" s="596">
        <f>1754-4</f>
        <v>1750</v>
      </c>
      <c r="AT45" s="596">
        <f>1967-4</f>
        <v>1963</v>
      </c>
      <c r="AU45" s="595">
        <f>7107-13</f>
        <v>7094</v>
      </c>
      <c r="AV45" s="597">
        <f>1914-3</f>
        <v>1911</v>
      </c>
      <c r="AW45" s="598">
        <f>1970-4</f>
        <v>1966</v>
      </c>
      <c r="AX45" s="598">
        <v>2004</v>
      </c>
      <c r="AY45" s="598">
        <v>2286</v>
      </c>
      <c r="AZ45" s="599">
        <v>8217</v>
      </c>
      <c r="BA45" s="598">
        <v>2260</v>
      </c>
      <c r="BB45" s="598">
        <v>2347</v>
      </c>
      <c r="BC45" s="598">
        <v>2337</v>
      </c>
      <c r="BD45" s="598">
        <v>2641</v>
      </c>
      <c r="BE45" s="599">
        <f>SUM(BA45:BD45)</f>
        <v>9585</v>
      </c>
      <c r="BF45" s="598">
        <v>2624</v>
      </c>
      <c r="BG45" s="598">
        <v>2775</v>
      </c>
      <c r="BH45" s="598">
        <v>2858</v>
      </c>
      <c r="BI45" s="598">
        <v>3244</v>
      </c>
      <c r="BJ45" s="599">
        <f>SUM(BF45:BI45)</f>
        <v>11501</v>
      </c>
      <c r="BK45" s="598">
        <v>3197</v>
      </c>
      <c r="BL45" s="600">
        <f>BL6*BL25</f>
        <v>3367.8553362942498</v>
      </c>
      <c r="BM45" s="600">
        <f>BM6*BM25</f>
        <v>3488.0723630382531</v>
      </c>
      <c r="BN45" s="600">
        <f>BN6*BN25</f>
        <v>3942.3432114868319</v>
      </c>
      <c r="BO45" s="599">
        <f>SUM(BK45:BN45)</f>
        <v>13995.270910819334</v>
      </c>
      <c r="BP45" s="600">
        <f>BP6*BP25</f>
        <v>3799.1428839282221</v>
      </c>
      <c r="BQ45" s="600">
        <f>BQ6*BQ25</f>
        <v>4007.0526823274868</v>
      </c>
      <c r="BR45" s="600">
        <f>BR6*BR25</f>
        <v>4161.7887393646888</v>
      </c>
      <c r="BS45" s="600">
        <f>BS6*BS25</f>
        <v>4708.0365953218234</v>
      </c>
      <c r="BT45" s="599">
        <f>SUM(BP45:BS45)</f>
        <v>16676.020900942221</v>
      </c>
      <c r="BU45" s="600">
        <f>BU6*BU25</f>
        <v>4444.0700621387932</v>
      </c>
      <c r="BV45" s="600">
        <f>BV6*BV25</f>
        <v>4704.4563665516616</v>
      </c>
      <c r="BW45" s="600">
        <f>BW6*BW25</f>
        <v>4797.2602815692844</v>
      </c>
      <c r="BX45" s="600">
        <f>BX6*BX25</f>
        <v>5446.8950534630067</v>
      </c>
      <c r="BY45" s="599">
        <f>SUM(BU45:BX45)</f>
        <v>19392.681763722747</v>
      </c>
      <c r="BZ45" s="600">
        <f>BZ6*BZ25</f>
        <v>5107.0814667287887</v>
      </c>
      <c r="CA45" s="600">
        <f>CA6*CA25</f>
        <v>5416.0480949089069</v>
      </c>
      <c r="CB45" s="600">
        <f>CB6*CB25</f>
        <v>5561.8941062180738</v>
      </c>
      <c r="CC45" s="600">
        <f>CC6*CC25</f>
        <v>6326.7592758530673</v>
      </c>
      <c r="CD45" s="599">
        <f>SUM(BZ45:CC45)</f>
        <v>22411.782943708837</v>
      </c>
      <c r="CE45" s="601"/>
    </row>
    <row r="46" spans="1:86">
      <c r="A46" s="570"/>
      <c r="B46" s="138" t="s">
        <v>21</v>
      </c>
      <c r="C46" s="173"/>
      <c r="D46" s="173"/>
      <c r="E46" s="173"/>
      <c r="F46" s="173"/>
      <c r="G46" s="549"/>
      <c r="H46" s="173"/>
      <c r="I46" s="173"/>
      <c r="J46" s="173"/>
      <c r="K46" s="173"/>
      <c r="L46" s="549"/>
      <c r="M46" s="173"/>
      <c r="N46" s="173"/>
      <c r="O46" s="173"/>
      <c r="P46" s="173"/>
      <c r="Q46" s="549"/>
      <c r="R46" s="173"/>
      <c r="S46" s="173"/>
      <c r="T46" s="173"/>
      <c r="U46" s="173"/>
      <c r="V46" s="549"/>
      <c r="W46" s="173"/>
      <c r="X46" s="173"/>
      <c r="Y46" s="173"/>
      <c r="Z46" s="173"/>
      <c r="AA46" s="549"/>
      <c r="AB46" s="173"/>
      <c r="AC46" s="173"/>
      <c r="AD46" s="173"/>
      <c r="AE46" s="173"/>
      <c r="AF46" s="549"/>
      <c r="AG46" s="173"/>
      <c r="AH46" s="173"/>
      <c r="AI46" s="173"/>
      <c r="AJ46" s="173"/>
      <c r="AK46" s="549"/>
      <c r="AL46" s="173"/>
      <c r="AM46" s="173"/>
      <c r="AN46" s="173"/>
      <c r="AO46" s="173"/>
      <c r="AP46" s="549">
        <f>IF(ISERROR(AP45/AK45-1), "NM", (AP45/AK45-1))</f>
        <v>0.19172633253778848</v>
      </c>
      <c r="AQ46" s="173"/>
      <c r="AR46" s="173"/>
      <c r="AS46" s="173"/>
      <c r="AT46" s="173"/>
      <c r="AU46" s="549">
        <f t="shared" ref="AU46:CD46" si="19">IF(ISERROR(AU45/AP45-1), "NM", (AU45/AP45-1))</f>
        <v>0.18391188251001345</v>
      </c>
      <c r="AV46" s="559">
        <f t="shared" si="19"/>
        <v>0.14362657091561948</v>
      </c>
      <c r="AW46" s="559">
        <f t="shared" si="19"/>
        <v>0.14970760233918123</v>
      </c>
      <c r="AX46" s="559">
        <f t="shared" si="19"/>
        <v>0.14514285714285724</v>
      </c>
      <c r="AY46" s="559">
        <f t="shared" si="19"/>
        <v>0.16454406520631681</v>
      </c>
      <c r="AZ46" s="549">
        <f t="shared" si="19"/>
        <v>0.15830279109106282</v>
      </c>
      <c r="BA46" s="559">
        <f t="shared" si="19"/>
        <v>0.18262689691261125</v>
      </c>
      <c r="BB46" s="559">
        <f t="shared" si="19"/>
        <v>0.19379450661241093</v>
      </c>
      <c r="BC46" s="559">
        <f t="shared" si="19"/>
        <v>0.16616766467065869</v>
      </c>
      <c r="BD46" s="559">
        <f t="shared" si="19"/>
        <v>0.1552930883639545</v>
      </c>
      <c r="BE46" s="549">
        <f t="shared" si="19"/>
        <v>0.16648411829134724</v>
      </c>
      <c r="BF46" s="559">
        <f>IF(ISERROR(BF45/BA45-1), "NM", (BF45/BA45-1))</f>
        <v>0.16106194690265485</v>
      </c>
      <c r="BG46" s="559">
        <f>IF(ISERROR(BG45/BB45-1), "NM", (BG45/BB45-1))</f>
        <v>0.18236046016190888</v>
      </c>
      <c r="BH46" s="559">
        <f>IF(ISERROR(BH45/BC45-1), "NM", (BH45/BC45-1))</f>
        <v>0.22293538724860928</v>
      </c>
      <c r="BI46" s="559">
        <f>IF(ISERROR(BI45/BD45-1), "NM", (BI45/BD45-1))</f>
        <v>0.22832260507383562</v>
      </c>
      <c r="BJ46" s="549">
        <f t="shared" si="19"/>
        <v>0.19989567031820554</v>
      </c>
      <c r="BK46" s="559">
        <f t="shared" si="19"/>
        <v>0.21836890243902429</v>
      </c>
      <c r="BL46" s="559">
        <f t="shared" si="19"/>
        <v>0.21364156262855838</v>
      </c>
      <c r="BM46" s="559">
        <f t="shared" si="19"/>
        <v>0.22045918930659658</v>
      </c>
      <c r="BN46" s="559">
        <f t="shared" si="19"/>
        <v>0.21527226001443656</v>
      </c>
      <c r="BO46" s="549">
        <f t="shared" si="19"/>
        <v>0.21687426404828569</v>
      </c>
      <c r="BP46" s="559">
        <f t="shared" si="19"/>
        <v>0.1883462258142703</v>
      </c>
      <c r="BQ46" s="559">
        <f t="shared" si="19"/>
        <v>0.18979358737438079</v>
      </c>
      <c r="BR46" s="559">
        <f t="shared" si="19"/>
        <v>0.19314862371135022</v>
      </c>
      <c r="BS46" s="559">
        <f t="shared" si="19"/>
        <v>0.19422291331814678</v>
      </c>
      <c r="BT46" s="549">
        <f t="shared" si="19"/>
        <v>0.19154684515970888</v>
      </c>
      <c r="BU46" s="559">
        <f t="shared" si="19"/>
        <v>0.16975596809976579</v>
      </c>
      <c r="BV46" s="559">
        <f t="shared" si="19"/>
        <v>0.17404405170412929</v>
      </c>
      <c r="BW46" s="559">
        <f t="shared" si="19"/>
        <v>0.1526919269577347</v>
      </c>
      <c r="BX46" s="559">
        <f t="shared" si="19"/>
        <v>0.15693558093311255</v>
      </c>
      <c r="BY46" s="549">
        <f t="shared" si="19"/>
        <v>0.16290821886814921</v>
      </c>
      <c r="BZ46" s="559">
        <f t="shared" si="19"/>
        <v>0.14919013321561114</v>
      </c>
      <c r="CA46" s="559">
        <f t="shared" si="19"/>
        <v>0.1512590771202833</v>
      </c>
      <c r="CB46" s="559">
        <f t="shared" si="19"/>
        <v>0.15938968906616457</v>
      </c>
      <c r="CC46" s="559">
        <f t="shared" si="19"/>
        <v>0.16153500549467426</v>
      </c>
      <c r="CD46" s="549">
        <f t="shared" si="19"/>
        <v>0.1556825000673101</v>
      </c>
      <c r="CE46" s="157"/>
    </row>
    <row r="47" spans="1:86">
      <c r="A47" s="570"/>
      <c r="B47" s="138" t="s">
        <v>265</v>
      </c>
      <c r="C47" s="173"/>
      <c r="D47" s="173"/>
      <c r="E47" s="173"/>
      <c r="F47" s="173"/>
      <c r="G47" s="549"/>
      <c r="H47" s="173"/>
      <c r="I47" s="173"/>
      <c r="J47" s="173"/>
      <c r="K47" s="173"/>
      <c r="L47" s="549"/>
      <c r="M47" s="173"/>
      <c r="N47" s="173"/>
      <c r="O47" s="173"/>
      <c r="P47" s="173"/>
      <c r="Q47" s="549"/>
      <c r="R47" s="173"/>
      <c r="S47" s="173"/>
      <c r="T47" s="173"/>
      <c r="U47" s="173"/>
      <c r="V47" s="549"/>
      <c r="W47" s="173"/>
      <c r="X47" s="173"/>
      <c r="Y47" s="173"/>
      <c r="Z47" s="173"/>
      <c r="AA47" s="549"/>
      <c r="AB47" s="173"/>
      <c r="AC47" s="173"/>
      <c r="AD47" s="173"/>
      <c r="AE47" s="173"/>
      <c r="AF47" s="549"/>
      <c r="AG47" s="173"/>
      <c r="AH47" s="173"/>
      <c r="AI47" s="173"/>
      <c r="AJ47" s="173"/>
      <c r="AK47" s="549"/>
      <c r="AL47" s="173"/>
      <c r="AM47" s="173"/>
      <c r="AN47" s="173"/>
      <c r="AO47" s="173"/>
      <c r="AP47" s="549"/>
      <c r="AQ47" s="173"/>
      <c r="AR47" s="173"/>
      <c r="AS47" s="173"/>
      <c r="AT47" s="173"/>
      <c r="AU47" s="549"/>
      <c r="AV47" s="559">
        <f>+AV46-AV183</f>
        <v>0.17306002895944625</v>
      </c>
      <c r="AW47" s="559">
        <f>+AW46-AW183</f>
        <v>0.18221138830586475</v>
      </c>
      <c r="AX47" s="602">
        <v>0.18</v>
      </c>
      <c r="AY47" s="602">
        <v>0.1502630927276743</v>
      </c>
      <c r="AZ47" s="549">
        <f>+AZ46-AZ183</f>
        <v>0.1957016927385915</v>
      </c>
      <c r="BA47" s="559">
        <f>+BA46-BA183</f>
        <v>0.22049943674391395</v>
      </c>
      <c r="BB47" s="559">
        <f>+BB46-BB183</f>
        <v>0.22810327242139478</v>
      </c>
      <c r="BC47" s="602">
        <v>0.2</v>
      </c>
      <c r="BD47" s="602"/>
      <c r="BE47" s="549">
        <f t="shared" ref="BE47:CD47" si="20">+BE46-BE183</f>
        <v>0.1973351131010358</v>
      </c>
      <c r="BF47" s="559">
        <f t="shared" si="20"/>
        <v>0.18164370790894419</v>
      </c>
      <c r="BG47" s="559">
        <f t="shared" si="20"/>
        <v>0.20854106875520506</v>
      </c>
      <c r="BH47" s="559">
        <f t="shared" si="20"/>
        <v>0.22015024180968881</v>
      </c>
      <c r="BI47" s="602">
        <f t="shared" si="20"/>
        <v>0.20204001556056655</v>
      </c>
      <c r="BJ47" s="549">
        <f t="shared" si="20"/>
        <v>0.20321260728071974</v>
      </c>
      <c r="BK47" s="559">
        <f t="shared" si="20"/>
        <v>0.1761913380249005</v>
      </c>
      <c r="BL47" s="559">
        <f t="shared" si="20"/>
        <v>0.17883517669377158</v>
      </c>
      <c r="BM47" s="559">
        <f t="shared" si="20"/>
        <v>0.19886203158928556</v>
      </c>
      <c r="BN47" s="559">
        <f t="shared" si="20"/>
        <v>0.19676691303956143</v>
      </c>
      <c r="BO47" s="549">
        <f t="shared" si="20"/>
        <v>0.18832162212497636</v>
      </c>
      <c r="BP47" s="559">
        <f t="shared" si="20"/>
        <v>0.1883462258142703</v>
      </c>
      <c r="BQ47" s="559">
        <f t="shared" si="20"/>
        <v>0.18979358737438079</v>
      </c>
      <c r="BR47" s="559">
        <f t="shared" si="20"/>
        <v>0.19314862371135022</v>
      </c>
      <c r="BS47" s="559">
        <f t="shared" si="20"/>
        <v>0.19422291331814678</v>
      </c>
      <c r="BT47" s="549">
        <f t="shared" si="20"/>
        <v>0.19154684515970888</v>
      </c>
      <c r="BU47" s="559">
        <f t="shared" si="20"/>
        <v>0.16975596809976579</v>
      </c>
      <c r="BV47" s="559">
        <f t="shared" si="20"/>
        <v>0.17404405170412929</v>
      </c>
      <c r="BW47" s="559">
        <f t="shared" si="20"/>
        <v>0.1526919269577347</v>
      </c>
      <c r="BX47" s="559">
        <f t="shared" si="20"/>
        <v>0.15693558093311255</v>
      </c>
      <c r="BY47" s="549">
        <f t="shared" si="20"/>
        <v>0.16290821886814921</v>
      </c>
      <c r="BZ47" s="559">
        <f t="shared" si="20"/>
        <v>0.14919013321561114</v>
      </c>
      <c r="CA47" s="559">
        <f t="shared" si="20"/>
        <v>0.1512590771202833</v>
      </c>
      <c r="CB47" s="559">
        <f t="shared" si="20"/>
        <v>0.15938968906616457</v>
      </c>
      <c r="CC47" s="559">
        <f t="shared" si="20"/>
        <v>0.16153500549467426</v>
      </c>
      <c r="CD47" s="549">
        <f t="shared" si="20"/>
        <v>0.1556825000673101</v>
      </c>
      <c r="CE47" s="157"/>
    </row>
    <row r="48" spans="1:86">
      <c r="A48" s="570"/>
      <c r="B48" s="603"/>
      <c r="C48" s="173"/>
      <c r="D48" s="173"/>
      <c r="E48" s="173"/>
      <c r="F48" s="173"/>
      <c r="G48" s="549"/>
      <c r="H48" s="173"/>
      <c r="I48" s="173"/>
      <c r="J48" s="173"/>
      <c r="K48" s="173"/>
      <c r="L48" s="549"/>
      <c r="M48" s="173"/>
      <c r="N48" s="173"/>
      <c r="O48" s="173"/>
      <c r="P48" s="173"/>
      <c r="Q48" s="549"/>
      <c r="R48" s="173"/>
      <c r="S48" s="173"/>
      <c r="T48" s="173"/>
      <c r="U48" s="173"/>
      <c r="V48" s="549"/>
      <c r="W48" s="173"/>
      <c r="X48" s="173"/>
      <c r="Y48" s="173"/>
      <c r="Z48" s="173"/>
      <c r="AA48" s="549"/>
      <c r="AB48" s="173"/>
      <c r="AC48" s="173"/>
      <c r="AD48" s="173"/>
      <c r="AE48" s="173"/>
      <c r="AF48" s="549"/>
      <c r="AG48" s="173"/>
      <c r="AH48" s="173"/>
      <c r="AI48" s="173"/>
      <c r="AJ48" s="173"/>
      <c r="AK48" s="549"/>
      <c r="AL48" s="173"/>
      <c r="AM48" s="173"/>
      <c r="AN48" s="173"/>
      <c r="AO48" s="173"/>
      <c r="AP48" s="549"/>
      <c r="AQ48" s="173"/>
      <c r="AR48" s="173"/>
      <c r="AS48" s="173"/>
      <c r="AT48" s="173"/>
      <c r="AU48" s="549"/>
      <c r="AV48" s="559"/>
      <c r="AW48" s="559"/>
      <c r="AX48" s="559"/>
      <c r="AY48" s="559"/>
      <c r="AZ48" s="549"/>
      <c r="BA48" s="559"/>
      <c r="BB48" s="559"/>
      <c r="BC48" s="559"/>
      <c r="BD48" s="559"/>
      <c r="BE48" s="549"/>
      <c r="BF48" s="559"/>
      <c r="BG48" s="559"/>
      <c r="BH48" s="559"/>
      <c r="BI48" s="559"/>
      <c r="BJ48" s="549"/>
      <c r="BK48" s="559"/>
      <c r="BL48" s="559"/>
      <c r="BM48" s="559"/>
      <c r="BN48" s="559"/>
      <c r="BO48" s="549"/>
      <c r="BP48" s="559"/>
      <c r="BQ48" s="559"/>
      <c r="BR48" s="559"/>
      <c r="BS48" s="559"/>
      <c r="BT48" s="549"/>
      <c r="BU48" s="559"/>
      <c r="BV48" s="559"/>
      <c r="BW48" s="559"/>
      <c r="BX48" s="559"/>
      <c r="BY48" s="549"/>
      <c r="BZ48" s="559"/>
      <c r="CA48" s="559"/>
      <c r="CB48" s="559"/>
      <c r="CC48" s="559"/>
      <c r="CD48" s="549"/>
      <c r="CE48" s="157"/>
    </row>
    <row r="49" spans="1:88" ht="13.5" thickBot="1">
      <c r="A49" s="538"/>
      <c r="B49" s="592" t="s">
        <v>280</v>
      </c>
      <c r="C49" s="604"/>
      <c r="D49" s="604"/>
      <c r="E49" s="604"/>
      <c r="F49" s="604"/>
      <c r="G49" s="594"/>
      <c r="H49" s="604"/>
      <c r="I49" s="604"/>
      <c r="J49" s="604"/>
      <c r="K49" s="604"/>
      <c r="L49" s="594"/>
      <c r="M49" s="604"/>
      <c r="N49" s="604"/>
      <c r="O49" s="604"/>
      <c r="P49" s="604"/>
      <c r="Q49" s="594"/>
      <c r="R49" s="604"/>
      <c r="S49" s="604"/>
      <c r="T49" s="604"/>
      <c r="U49" s="604"/>
      <c r="V49" s="594"/>
      <c r="W49" s="604"/>
      <c r="X49" s="604"/>
      <c r="Y49" s="604"/>
      <c r="Z49" s="604"/>
      <c r="AA49" s="594"/>
      <c r="AB49" s="604"/>
      <c r="AC49" s="604"/>
      <c r="AD49" s="604"/>
      <c r="AE49" s="604"/>
      <c r="AF49" s="594"/>
      <c r="AG49" s="604"/>
      <c r="AH49" s="604"/>
      <c r="AI49" s="604"/>
      <c r="AJ49" s="604"/>
      <c r="AK49" s="595">
        <v>634</v>
      </c>
      <c r="AL49" s="604"/>
      <c r="AM49" s="604"/>
      <c r="AN49" s="604"/>
      <c r="AO49" s="604"/>
      <c r="AP49" s="595">
        <v>735</v>
      </c>
      <c r="AQ49" s="596">
        <v>200</v>
      </c>
      <c r="AR49" s="596">
        <v>271</v>
      </c>
      <c r="AS49" s="605">
        <v>221</v>
      </c>
      <c r="AT49" s="605">
        <v>226</v>
      </c>
      <c r="AU49" s="595">
        <f>SUM(AQ49:AT49)</f>
        <v>918</v>
      </c>
      <c r="AV49" s="597">
        <v>223</v>
      </c>
      <c r="AW49" s="598">
        <v>327</v>
      </c>
      <c r="AX49" s="598">
        <v>254</v>
      </c>
      <c r="AY49" s="598">
        <v>270</v>
      </c>
      <c r="AZ49" s="606">
        <v>1031</v>
      </c>
      <c r="BA49" s="598">
        <v>284</v>
      </c>
      <c r="BB49" s="598">
        <v>303</v>
      </c>
      <c r="BC49" s="598">
        <v>330</v>
      </c>
      <c r="BD49" s="598">
        <v>340</v>
      </c>
      <c r="BE49" s="599">
        <f>SUM(BA49:BD49)</f>
        <v>1257</v>
      </c>
      <c r="BF49" s="598">
        <v>351</v>
      </c>
      <c r="BG49" s="598">
        <v>361</v>
      </c>
      <c r="BH49" s="598">
        <v>381</v>
      </c>
      <c r="BI49" s="598">
        <v>500</v>
      </c>
      <c r="BJ49" s="599">
        <f>SUM(BF49:BI49)</f>
        <v>1593</v>
      </c>
      <c r="BK49" s="598">
        <v>488</v>
      </c>
      <c r="BL49" s="607">
        <f>BG49*(1+BL50)</f>
        <v>452.98510532245808</v>
      </c>
      <c r="BM49" s="1278">
        <f>BH49*(1+BM50)</f>
        <v>173.6985170902955</v>
      </c>
      <c r="BN49" s="607">
        <f>BI49*(1+BN50)</f>
        <v>299.25267348743756</v>
      </c>
      <c r="BO49" s="599">
        <f>SUM(BK49:BN49)</f>
        <v>1413.9362959001912</v>
      </c>
      <c r="BP49" s="607">
        <f>BK49*(1+BP50)</f>
        <v>283.39999999999992</v>
      </c>
      <c r="BQ49" s="607">
        <f>BL49*(1+BQ50)</f>
        <v>237.25749875388826</v>
      </c>
      <c r="BR49" s="607">
        <f>BM49*(1+BR50)</f>
        <v>204.96425016654868</v>
      </c>
      <c r="BS49" s="607">
        <f>BN49*(1+BS50)</f>
        <v>353.11815471517633</v>
      </c>
      <c r="BT49" s="599">
        <f>SUM(BP49:BS49)</f>
        <v>1078.7399036356132</v>
      </c>
      <c r="BU49" s="607">
        <f>BP49*(1+BU50)</f>
        <v>328.74399999999986</v>
      </c>
      <c r="BV49" s="607">
        <f>BQ49*(1+BV50)</f>
        <v>275.21869855451035</v>
      </c>
      <c r="BW49" s="607">
        <f>BR49*(1+BW50)</f>
        <v>237.75853019319646</v>
      </c>
      <c r="BX49" s="607">
        <f>BS49*(1+BX50)</f>
        <v>409.6170594696045</v>
      </c>
      <c r="BY49" s="599">
        <f>SUM(BU49:BX49)</f>
        <v>1251.3382882173112</v>
      </c>
      <c r="BZ49" s="607">
        <f>BU49*(1+BZ50)</f>
        <v>378.0555999999998</v>
      </c>
      <c r="CA49" s="607">
        <f>BV49*(1+CA50)</f>
        <v>316.50150333768687</v>
      </c>
      <c r="CB49" s="607">
        <f>BW49*(1+CB50)</f>
        <v>273.4223097221759</v>
      </c>
      <c r="CC49" s="607">
        <f>BX49*(1+CC50)</f>
        <v>471.05961839004516</v>
      </c>
      <c r="CD49" s="599">
        <f>SUM(BZ49:CC49)</f>
        <v>1439.0390314499077</v>
      </c>
      <c r="CE49" s="601"/>
    </row>
    <row r="50" spans="1:88">
      <c r="A50" s="548"/>
      <c r="B50" s="138" t="s">
        <v>21</v>
      </c>
      <c r="C50" s="173"/>
      <c r="D50" s="173"/>
      <c r="E50" s="173"/>
      <c r="F50" s="173"/>
      <c r="G50" s="549"/>
      <c r="H50" s="173"/>
      <c r="I50" s="173"/>
      <c r="J50" s="173"/>
      <c r="K50" s="173"/>
      <c r="L50" s="549"/>
      <c r="M50" s="173"/>
      <c r="N50" s="173"/>
      <c r="O50" s="173"/>
      <c r="P50" s="173"/>
      <c r="Q50" s="549"/>
      <c r="R50" s="173"/>
      <c r="S50" s="173"/>
      <c r="T50" s="173"/>
      <c r="U50" s="173"/>
      <c r="V50" s="549"/>
      <c r="W50" s="173"/>
      <c r="X50" s="173"/>
      <c r="Y50" s="173"/>
      <c r="Z50" s="173"/>
      <c r="AA50" s="549"/>
      <c r="AB50" s="173"/>
      <c r="AC50" s="173"/>
      <c r="AD50" s="173"/>
      <c r="AE50" s="173"/>
      <c r="AF50" s="549"/>
      <c r="AG50" s="173"/>
      <c r="AH50" s="173"/>
      <c r="AI50" s="173"/>
      <c r="AJ50" s="173"/>
      <c r="AK50" s="549"/>
      <c r="AL50" s="173"/>
      <c r="AM50" s="173"/>
      <c r="AN50" s="173"/>
      <c r="AO50" s="173"/>
      <c r="AP50" s="549">
        <f>IF(ISERROR(AP49/AK49-1), "NM", (AP49/AK49-1))</f>
        <v>0.15930599369085163</v>
      </c>
      <c r="AQ50" s="173"/>
      <c r="AR50" s="173"/>
      <c r="AS50" s="173"/>
      <c r="AT50" s="173"/>
      <c r="AU50" s="549">
        <f>IF(ISERROR(AU49/AP49-1), "NM", (AU49/AP49-1))</f>
        <v>0.24897959183673479</v>
      </c>
      <c r="AV50" s="173">
        <f>AV49/AQ49-1</f>
        <v>0.11499999999999999</v>
      </c>
      <c r="AW50" s="173">
        <f>AW49/AR49-1</f>
        <v>0.20664206642066429</v>
      </c>
      <c r="AX50" s="173">
        <f>AX49/AS49-1</f>
        <v>0.14932126696832571</v>
      </c>
      <c r="AY50" s="173">
        <f>AY49/AT49-1</f>
        <v>0.19469026548672574</v>
      </c>
      <c r="AZ50" s="549">
        <f>IF(ISERROR(AZ49/AU49-1), "NM", (AZ49/AU49-1))</f>
        <v>0.12309368191721126</v>
      </c>
      <c r="BA50" s="173">
        <f>BA49/AV49-1</f>
        <v>0.27354260089686089</v>
      </c>
      <c r="BB50" s="173">
        <f>BB49/AW49-1</f>
        <v>-7.3394495412844041E-2</v>
      </c>
      <c r="BC50" s="173">
        <f>BC49/AX49-1</f>
        <v>0.29921259842519676</v>
      </c>
      <c r="BD50" s="173">
        <f>BD49/AY49-1</f>
        <v>0.2592592592592593</v>
      </c>
      <c r="BE50" s="549">
        <f>IF(ISERROR(BE49/AZ49-1), "NM", (BE49/AZ49-1))</f>
        <v>0.21920465567410274</v>
      </c>
      <c r="BF50" s="173">
        <f>BF49/BA49-1</f>
        <v>0.2359154929577465</v>
      </c>
      <c r="BG50" s="173">
        <f>BG49/BB49-1</f>
        <v>0.19141914191419152</v>
      </c>
      <c r="BH50" s="173">
        <f>BH49/BC49-1</f>
        <v>0.15454545454545454</v>
      </c>
      <c r="BI50" s="173">
        <f>BI49/BD49-1</f>
        <v>0.47058823529411775</v>
      </c>
      <c r="BJ50" s="549">
        <f>IF(ISERROR(BJ49/BE49-1), "NM", (BJ49/BE49-1))</f>
        <v>0.26730310262529833</v>
      </c>
      <c r="BK50" s="173">
        <f>BK49/BF49-1</f>
        <v>0.39031339031339041</v>
      </c>
      <c r="BL50" s="173">
        <f>BL51+BL55</f>
        <v>0.25480638593478683</v>
      </c>
      <c r="BM50" s="173">
        <f>BM51+BM55</f>
        <v>-0.54409838034043179</v>
      </c>
      <c r="BN50" s="173">
        <f>BN51+BN55</f>
        <v>-0.40149465302512483</v>
      </c>
      <c r="BO50" s="549">
        <f>IF(ISERROR(BO49/BJ49-1), "NM", (BO49/BJ49-1))</f>
        <v>-0.11240659391073993</v>
      </c>
      <c r="BP50" s="173">
        <f>BP51+BP55</f>
        <v>-0.41926229508196727</v>
      </c>
      <c r="BQ50" s="173">
        <f>BQ51+BQ55</f>
        <v>-0.4762355407138692</v>
      </c>
      <c r="BR50" s="173">
        <f>BR51+BR55</f>
        <v>0.18</v>
      </c>
      <c r="BS50" s="173">
        <f>BS51+BS55</f>
        <v>0.18</v>
      </c>
      <c r="BT50" s="549">
        <f>IF(ISERROR(BT49/BO49-1), "NM", (BT49/BO49-1))</f>
        <v>-0.23706612047268594</v>
      </c>
      <c r="BU50" s="173">
        <f>BU51+BU55</f>
        <v>0.16</v>
      </c>
      <c r="BV50" s="173">
        <f>BV51+BV55</f>
        <v>0.16</v>
      </c>
      <c r="BW50" s="173">
        <f>BW51+BW55</f>
        <v>0.16</v>
      </c>
      <c r="BX50" s="173">
        <f>BX51+BX55</f>
        <v>0.16</v>
      </c>
      <c r="BY50" s="549">
        <f>IF(ISERROR(BY49/BT49-1), "NM", (BY49/BT49-1))</f>
        <v>0.15999999999999992</v>
      </c>
      <c r="BZ50" s="173">
        <f>BZ51+BZ55</f>
        <v>0.15</v>
      </c>
      <c r="CA50" s="173">
        <f>CA51+CA55</f>
        <v>0.15</v>
      </c>
      <c r="CB50" s="173">
        <f>CB51+CB55</f>
        <v>0.15</v>
      </c>
      <c r="CC50" s="173">
        <f>CC51+CC55</f>
        <v>0.15</v>
      </c>
      <c r="CD50" s="549">
        <f>IF(ISERROR(CD49/BY49-1), "NM", (CD49/BY49-1))</f>
        <v>0.14999999999999991</v>
      </c>
    </row>
    <row r="51" spans="1:88">
      <c r="A51" s="548"/>
      <c r="B51" s="138" t="s">
        <v>265</v>
      </c>
      <c r="C51" s="173"/>
      <c r="D51" s="173"/>
      <c r="E51" s="173"/>
      <c r="F51" s="173"/>
      <c r="G51" s="549"/>
      <c r="H51" s="173"/>
      <c r="I51" s="173"/>
      <c r="J51" s="173"/>
      <c r="K51" s="173"/>
      <c r="L51" s="549"/>
      <c r="M51" s="173"/>
      <c r="N51" s="173"/>
      <c r="O51" s="173"/>
      <c r="P51" s="173"/>
      <c r="Q51" s="549"/>
      <c r="R51" s="173"/>
      <c r="S51" s="173"/>
      <c r="T51" s="173"/>
      <c r="U51" s="173"/>
      <c r="V51" s="549"/>
      <c r="W51" s="173"/>
      <c r="X51" s="173"/>
      <c r="Y51" s="173"/>
      <c r="Z51" s="173"/>
      <c r="AA51" s="549"/>
      <c r="AB51" s="173"/>
      <c r="AC51" s="173"/>
      <c r="AD51" s="173"/>
      <c r="AE51" s="173"/>
      <c r="AF51" s="549"/>
      <c r="AG51" s="173"/>
      <c r="AH51" s="173"/>
      <c r="AI51" s="173"/>
      <c r="AJ51" s="173"/>
      <c r="AK51" s="549"/>
      <c r="AL51" s="173"/>
      <c r="AM51" s="173"/>
      <c r="AN51" s="173"/>
      <c r="AO51" s="173"/>
      <c r="AP51" s="549"/>
      <c r="AQ51" s="173"/>
      <c r="AR51" s="173"/>
      <c r="AS51" s="173"/>
      <c r="AT51" s="173"/>
      <c r="AU51" s="549">
        <f>+AU50-AU183</f>
        <v>0.24897959183673479</v>
      </c>
      <c r="AV51" s="173">
        <f>AV50-AV55</f>
        <v>0.14443345804382676</v>
      </c>
      <c r="AW51" s="173">
        <f>AW50-AW55</f>
        <v>0.23914585238734781</v>
      </c>
      <c r="AX51" s="173">
        <f>AX50-AX55</f>
        <v>0.19370990217887868</v>
      </c>
      <c r="AY51" s="173">
        <f>AY50-AY55</f>
        <v>0.23703380134784949</v>
      </c>
      <c r="AZ51" s="549">
        <f>+AZ50-AZ183</f>
        <v>0.16049258356473994</v>
      </c>
      <c r="BA51" s="173">
        <f>BA50-BA55</f>
        <v>0.31141514072816356</v>
      </c>
      <c r="BB51" s="173">
        <f>BB50-BB55</f>
        <v>-3.9085729603860198E-2</v>
      </c>
      <c r="BC51" s="550">
        <v>0.28000000000000003</v>
      </c>
      <c r="BD51" s="550"/>
      <c r="BE51" s="549">
        <f>+BE50-BE183</f>
        <v>0.2500556504837913</v>
      </c>
      <c r="BF51" s="173">
        <f>BF50-BF55</f>
        <v>0.25649725396403583</v>
      </c>
      <c r="BG51" s="173">
        <f>BG50-BG55</f>
        <v>0.2175997505074877</v>
      </c>
      <c r="BH51" s="173">
        <f>BH50-BH55</f>
        <v>0.15176030910653407</v>
      </c>
      <c r="BI51" s="173">
        <f>BI50-BI55</f>
        <v>0.44430564578084869</v>
      </c>
      <c r="BJ51" s="549">
        <f>+BJ50-BJ183</f>
        <v>0.27062003958781256</v>
      </c>
      <c r="BK51" s="173">
        <f>BK50-BK55</f>
        <v>0.34813582589926662</v>
      </c>
      <c r="BL51" s="173">
        <f>CHOOSE(_Switch,BL52,BL53,BL54)</f>
        <v>0.22</v>
      </c>
      <c r="BM51" s="173">
        <f>CHOOSE(_Switch,BM52,BM53,BM54)</f>
        <v>-0.56569553805774286</v>
      </c>
      <c r="BN51" s="173">
        <f>CHOOSE(_Switch,BN52,BN53,BN54)</f>
        <v>-0.42</v>
      </c>
      <c r="BO51" s="549">
        <f>+BO50-BO183</f>
        <v>-0.14095923583404926</v>
      </c>
      <c r="BP51" s="173">
        <f>CHOOSE(_Switch,BP52,BP53,BP54)</f>
        <v>-0.41926229508196727</v>
      </c>
      <c r="BQ51" s="173">
        <f>CHOOSE(_Switch,BQ52,BQ53,BQ54)</f>
        <v>-0.4762355407138692</v>
      </c>
      <c r="BR51" s="173">
        <f>CHOOSE(_Switch,BR52,BR53,BR54)</f>
        <v>0.18</v>
      </c>
      <c r="BS51" s="173">
        <f>CHOOSE(_Switch,BS52,BS53,BS54)</f>
        <v>0.18</v>
      </c>
      <c r="BT51" s="549">
        <f>+BT50-BT183</f>
        <v>-0.23706612047268594</v>
      </c>
      <c r="BU51" s="173">
        <f>CHOOSE(_Switch,BU52,BU53,BU54)</f>
        <v>0.16</v>
      </c>
      <c r="BV51" s="173">
        <f>CHOOSE(_Switch,BV52,BV53,BV54)</f>
        <v>0.16</v>
      </c>
      <c r="BW51" s="173">
        <f>CHOOSE(_Switch,BW52,BW53,BW54)</f>
        <v>0.16</v>
      </c>
      <c r="BX51" s="173">
        <f>CHOOSE(_Switch,BX52,BX53,BX54)</f>
        <v>0.16</v>
      </c>
      <c r="BY51" s="549">
        <f>+BY50-BY183</f>
        <v>0.15999999999999992</v>
      </c>
      <c r="BZ51" s="173">
        <f>CHOOSE(_Switch,BZ52,BZ53,BZ54)</f>
        <v>0.15</v>
      </c>
      <c r="CA51" s="173">
        <f>CHOOSE(_Switch,CA52,CA53,CA54)</f>
        <v>0.15</v>
      </c>
      <c r="CB51" s="173">
        <f>CHOOSE(_Switch,CB52,CB53,CB54)</f>
        <v>0.15</v>
      </c>
      <c r="CC51" s="173">
        <f>CHOOSE(_Switch,CC52,CC53,CC54)</f>
        <v>0.15</v>
      </c>
      <c r="CD51" s="549">
        <f>+CD50-CD183</f>
        <v>0.14999999999999991</v>
      </c>
    </row>
    <row r="52" spans="1:88" outlineLevel="1">
      <c r="A52" s="548"/>
      <c r="B52" s="181" t="s">
        <v>121</v>
      </c>
      <c r="C52" s="608"/>
      <c r="D52" s="608"/>
      <c r="E52" s="608"/>
      <c r="F52" s="608"/>
      <c r="G52" s="609"/>
      <c r="H52" s="608"/>
      <c r="I52" s="608"/>
      <c r="J52" s="608"/>
      <c r="K52" s="608"/>
      <c r="L52" s="609"/>
      <c r="M52" s="608"/>
      <c r="N52" s="608"/>
      <c r="O52" s="608"/>
      <c r="P52" s="608"/>
      <c r="Q52" s="609"/>
      <c r="R52" s="608"/>
      <c r="S52" s="608"/>
      <c r="T52" s="608"/>
      <c r="U52" s="608"/>
      <c r="V52" s="609"/>
      <c r="W52" s="608"/>
      <c r="X52" s="608"/>
      <c r="Y52" s="608"/>
      <c r="Z52" s="608"/>
      <c r="AA52" s="609"/>
      <c r="AB52" s="608"/>
      <c r="AC52" s="608"/>
      <c r="AD52" s="608"/>
      <c r="AE52" s="608"/>
      <c r="AF52" s="609"/>
      <c r="AG52" s="608"/>
      <c r="AH52" s="608"/>
      <c r="AI52" s="608"/>
      <c r="AJ52" s="608"/>
      <c r="AK52" s="610"/>
      <c r="AL52" s="608"/>
      <c r="AM52" s="608"/>
      <c r="AN52" s="608"/>
      <c r="AO52" s="608"/>
      <c r="AP52" s="182"/>
      <c r="AQ52" s="608"/>
      <c r="AR52" s="608"/>
      <c r="AS52" s="608"/>
      <c r="AT52" s="608"/>
      <c r="AU52" s="182"/>
      <c r="AV52" s="608"/>
      <c r="AW52" s="556"/>
      <c r="AX52" s="556"/>
      <c r="AY52" s="556"/>
      <c r="AZ52" s="182"/>
      <c r="BA52" s="556"/>
      <c r="BB52" s="556"/>
      <c r="BC52" s="556"/>
      <c r="BD52" s="556">
        <f>BD53+3.5%</f>
        <v>0.26</v>
      </c>
      <c r="BE52" s="182"/>
      <c r="BF52" s="556"/>
      <c r="BG52" s="556"/>
      <c r="BH52" s="556"/>
      <c r="BI52" s="556"/>
      <c r="BJ52" s="182"/>
      <c r="BK52" s="200"/>
      <c r="BL52" s="200">
        <f>BL53+3.5%</f>
        <v>0.255</v>
      </c>
      <c r="BM52" s="200">
        <f>BM53+3.5%</f>
        <v>-0.53069553805774283</v>
      </c>
      <c r="BN52" s="200">
        <f>BN53+3.5%</f>
        <v>-0.38500000000000001</v>
      </c>
      <c r="BO52" s="182"/>
      <c r="BP52" s="200">
        <f>BP53+3.5%</f>
        <v>-0.3842622950819673</v>
      </c>
      <c r="BQ52" s="200">
        <f>BQ53+3.5%</f>
        <v>-0.44123554071386917</v>
      </c>
      <c r="BR52" s="200">
        <f>BR53+3.5%</f>
        <v>0.215</v>
      </c>
      <c r="BS52" s="200">
        <f>BS53+3.5%</f>
        <v>0.215</v>
      </c>
      <c r="BT52" s="182"/>
      <c r="BU52" s="200">
        <f>BU53+3.5%</f>
        <v>0.19500000000000001</v>
      </c>
      <c r="BV52" s="200">
        <f>BV53+3.5%</f>
        <v>0.19500000000000001</v>
      </c>
      <c r="BW52" s="200">
        <f>BW53+3.5%</f>
        <v>0.19500000000000001</v>
      </c>
      <c r="BX52" s="200">
        <f>BX53+3.5%</f>
        <v>0.19500000000000001</v>
      </c>
      <c r="BY52" s="182"/>
      <c r="BZ52" s="200">
        <f>BZ53+3.5%</f>
        <v>0.185</v>
      </c>
      <c r="CA52" s="200">
        <f>CA53+3.5%</f>
        <v>0.185</v>
      </c>
      <c r="CB52" s="200">
        <f>CB53+3.5%</f>
        <v>0.185</v>
      </c>
      <c r="CC52" s="200">
        <f>CC53+3.5%</f>
        <v>0.185</v>
      </c>
      <c r="CD52" s="182"/>
    </row>
    <row r="53" spans="1:88" outlineLevel="1">
      <c r="A53" s="548"/>
      <c r="B53" s="181" t="s">
        <v>122</v>
      </c>
      <c r="C53" s="608"/>
      <c r="D53" s="608"/>
      <c r="E53" s="608"/>
      <c r="F53" s="608"/>
      <c r="G53" s="609"/>
      <c r="H53" s="608"/>
      <c r="I53" s="608"/>
      <c r="J53" s="608"/>
      <c r="K53" s="608"/>
      <c r="L53" s="609"/>
      <c r="M53" s="608"/>
      <c r="N53" s="608"/>
      <c r="O53" s="608"/>
      <c r="P53" s="608"/>
      <c r="Q53" s="609"/>
      <c r="R53" s="608"/>
      <c r="S53" s="608"/>
      <c r="T53" s="608"/>
      <c r="U53" s="608"/>
      <c r="V53" s="609"/>
      <c r="W53" s="608"/>
      <c r="X53" s="608"/>
      <c r="Y53" s="608"/>
      <c r="Z53" s="608"/>
      <c r="AA53" s="609"/>
      <c r="AB53" s="608"/>
      <c r="AC53" s="608"/>
      <c r="AD53" s="608"/>
      <c r="AE53" s="608"/>
      <c r="AF53" s="609"/>
      <c r="AG53" s="608"/>
      <c r="AH53" s="608"/>
      <c r="AI53" s="608"/>
      <c r="AJ53" s="608"/>
      <c r="AK53" s="610"/>
      <c r="AL53" s="608"/>
      <c r="AM53" s="608"/>
      <c r="AN53" s="608"/>
      <c r="AO53" s="608"/>
      <c r="AP53" s="182"/>
      <c r="AQ53" s="608"/>
      <c r="AR53" s="608"/>
      <c r="AS53" s="608"/>
      <c r="AT53" s="608"/>
      <c r="AU53" s="182"/>
      <c r="AV53" s="608"/>
      <c r="AW53" s="556"/>
      <c r="AX53" s="556"/>
      <c r="AY53" s="556"/>
      <c r="AZ53" s="182"/>
      <c r="BA53" s="556"/>
      <c r="BB53" s="556"/>
      <c r="BC53" s="556"/>
      <c r="BD53" s="556">
        <v>0.22500000000000001</v>
      </c>
      <c r="BE53" s="182"/>
      <c r="BF53" s="556"/>
      <c r="BG53" s="556"/>
      <c r="BH53" s="556"/>
      <c r="BI53" s="556"/>
      <c r="BJ53" s="182"/>
      <c r="BK53" s="200"/>
      <c r="BL53" s="200">
        <v>0.22</v>
      </c>
      <c r="BM53" s="200">
        <f>0.12-1200/4/BH49+155/4/BH49</f>
        <v>-0.56569553805774286</v>
      </c>
      <c r="BN53" s="200">
        <f>0.11-1200/4/BI49+140/4/BI49</f>
        <v>-0.42</v>
      </c>
      <c r="BO53" s="182"/>
      <c r="BP53" s="200">
        <f>0.175-1300/4/BK49+140/4/BK49</f>
        <v>-0.41926229508196727</v>
      </c>
      <c r="BQ53" s="200">
        <f>0.175-1300/4/BL49+120/4/BL49</f>
        <v>-0.4762355407138692</v>
      </c>
      <c r="BR53" s="200">
        <v>0.18</v>
      </c>
      <c r="BS53" s="200">
        <f>+BR53</f>
        <v>0.18</v>
      </c>
      <c r="BT53" s="182"/>
      <c r="BU53" s="200">
        <v>0.16</v>
      </c>
      <c r="BV53" s="200">
        <f>+BU53</f>
        <v>0.16</v>
      </c>
      <c r="BW53" s="200">
        <f>+BV53</f>
        <v>0.16</v>
      </c>
      <c r="BX53" s="200">
        <f>+BW53</f>
        <v>0.16</v>
      </c>
      <c r="BY53" s="182"/>
      <c r="BZ53" s="200">
        <v>0.15</v>
      </c>
      <c r="CA53" s="200">
        <f>+BZ53</f>
        <v>0.15</v>
      </c>
      <c r="CB53" s="200">
        <f>+CA53</f>
        <v>0.15</v>
      </c>
      <c r="CC53" s="200">
        <f>+CB53</f>
        <v>0.15</v>
      </c>
      <c r="CD53" s="182"/>
      <c r="CF53" s="1263"/>
    </row>
    <row r="54" spans="1:88" outlineLevel="1">
      <c r="A54" s="548"/>
      <c r="B54" s="181" t="s">
        <v>123</v>
      </c>
      <c r="C54" s="608"/>
      <c r="D54" s="608"/>
      <c r="E54" s="608"/>
      <c r="F54" s="608"/>
      <c r="G54" s="609"/>
      <c r="H54" s="608"/>
      <c r="I54" s="608"/>
      <c r="J54" s="608"/>
      <c r="K54" s="608"/>
      <c r="L54" s="609"/>
      <c r="M54" s="608"/>
      <c r="N54" s="608"/>
      <c r="O54" s="608"/>
      <c r="P54" s="608"/>
      <c r="Q54" s="609"/>
      <c r="R54" s="608"/>
      <c r="S54" s="608"/>
      <c r="T54" s="608"/>
      <c r="U54" s="608"/>
      <c r="V54" s="609"/>
      <c r="W54" s="608"/>
      <c r="X54" s="608"/>
      <c r="Y54" s="608"/>
      <c r="Z54" s="608"/>
      <c r="AA54" s="609"/>
      <c r="AB54" s="608"/>
      <c r="AC54" s="608"/>
      <c r="AD54" s="608"/>
      <c r="AE54" s="608"/>
      <c r="AF54" s="609"/>
      <c r="AG54" s="608"/>
      <c r="AH54" s="608"/>
      <c r="AI54" s="608"/>
      <c r="AJ54" s="608"/>
      <c r="AK54" s="610"/>
      <c r="AL54" s="608"/>
      <c r="AM54" s="608"/>
      <c r="AN54" s="608"/>
      <c r="AO54" s="608"/>
      <c r="AP54" s="182"/>
      <c r="AQ54" s="608"/>
      <c r="AR54" s="608"/>
      <c r="AS54" s="608"/>
      <c r="AT54" s="608"/>
      <c r="AU54" s="182"/>
      <c r="AV54" s="608"/>
      <c r="AW54" s="556"/>
      <c r="AX54" s="556"/>
      <c r="AY54" s="556"/>
      <c r="AZ54" s="182"/>
      <c r="BA54" s="556"/>
      <c r="BB54" s="556"/>
      <c r="BC54" s="556"/>
      <c r="BD54" s="556">
        <f>BD53-2%</f>
        <v>0.20500000000000002</v>
      </c>
      <c r="BE54" s="182"/>
      <c r="BF54" s="556"/>
      <c r="BG54" s="556"/>
      <c r="BH54" s="556"/>
      <c r="BI54" s="556"/>
      <c r="BJ54" s="182"/>
      <c r="BK54" s="200"/>
      <c r="BL54" s="200">
        <f>BL53-2%</f>
        <v>0.2</v>
      </c>
      <c r="BM54" s="200">
        <f>BM53-2%</f>
        <v>-0.58569553805774288</v>
      </c>
      <c r="BN54" s="200">
        <f>BN53-2%</f>
        <v>-0.44</v>
      </c>
      <c r="BO54" s="182"/>
      <c r="BP54" s="200">
        <f>BP53-2%</f>
        <v>-0.43926229508196729</v>
      </c>
      <c r="BQ54" s="200">
        <f>BQ53-2%</f>
        <v>-0.49623554071386922</v>
      </c>
      <c r="BR54" s="200">
        <f>BR53-2%</f>
        <v>0.16</v>
      </c>
      <c r="BS54" s="200">
        <f>BS53-2%</f>
        <v>0.16</v>
      </c>
      <c r="BT54" s="182"/>
      <c r="BU54" s="200">
        <f>BU53-2%</f>
        <v>0.14000000000000001</v>
      </c>
      <c r="BV54" s="200">
        <f>BV53-2%</f>
        <v>0.14000000000000001</v>
      </c>
      <c r="BW54" s="200">
        <f>BW53-2%</f>
        <v>0.14000000000000001</v>
      </c>
      <c r="BX54" s="200">
        <f>BX53-2%</f>
        <v>0.14000000000000001</v>
      </c>
      <c r="BY54" s="182"/>
      <c r="BZ54" s="200">
        <f>BZ53-2%</f>
        <v>0.13</v>
      </c>
      <c r="CA54" s="200">
        <f>CA53-2%</f>
        <v>0.13</v>
      </c>
      <c r="CB54" s="200">
        <f>CB53-2%</f>
        <v>0.13</v>
      </c>
      <c r="CC54" s="200">
        <f>CC53-2%</f>
        <v>0.13</v>
      </c>
      <c r="CD54" s="182"/>
    </row>
    <row r="55" spans="1:88">
      <c r="A55" s="548"/>
      <c r="B55" s="138" t="s">
        <v>281</v>
      </c>
      <c r="C55" s="608"/>
      <c r="D55" s="608"/>
      <c r="E55" s="608"/>
      <c r="F55" s="608"/>
      <c r="G55" s="609"/>
      <c r="H55" s="608"/>
      <c r="I55" s="608"/>
      <c r="J55" s="608"/>
      <c r="K55" s="608"/>
      <c r="L55" s="609"/>
      <c r="M55" s="608"/>
      <c r="N55" s="608"/>
      <c r="O55" s="608"/>
      <c r="P55" s="608"/>
      <c r="Q55" s="609"/>
      <c r="R55" s="608"/>
      <c r="S55" s="608"/>
      <c r="T55" s="608"/>
      <c r="U55" s="608"/>
      <c r="V55" s="609"/>
      <c r="W55" s="608"/>
      <c r="X55" s="608"/>
      <c r="Y55" s="608"/>
      <c r="Z55" s="608"/>
      <c r="AA55" s="609"/>
      <c r="AB55" s="608"/>
      <c r="AC55" s="608"/>
      <c r="AD55" s="608"/>
      <c r="AE55" s="608"/>
      <c r="AF55" s="609"/>
      <c r="AG55" s="608"/>
      <c r="AH55" s="608"/>
      <c r="AI55" s="608"/>
      <c r="AJ55" s="608"/>
      <c r="AK55" s="610"/>
      <c r="AL55" s="608"/>
      <c r="AM55" s="608"/>
      <c r="AN55" s="608"/>
      <c r="AO55" s="608"/>
      <c r="AP55" s="182"/>
      <c r="AQ55" s="608"/>
      <c r="AR55" s="608"/>
      <c r="AS55" s="608"/>
      <c r="AT55" s="608"/>
      <c r="AU55" s="182"/>
      <c r="AV55" s="559">
        <f>AV183</f>
        <v>-2.9433458043826771E-2</v>
      </c>
      <c r="AW55" s="559">
        <f>AW183</f>
        <v>-3.2503785966683518E-2</v>
      </c>
      <c r="AX55" s="559">
        <f>AX183</f>
        <v>-4.4388635210552974E-2</v>
      </c>
      <c r="AY55" s="559">
        <f>AY183</f>
        <v>-4.2343535861123743E-2</v>
      </c>
      <c r="AZ55" s="182"/>
      <c r="BA55" s="559">
        <f>BA183</f>
        <v>-3.7872539831302704E-2</v>
      </c>
      <c r="BB55" s="559">
        <f>BB183</f>
        <v>-3.4308765808983843E-2</v>
      </c>
      <c r="BC55" s="559">
        <f>BC183</f>
        <v>-2.88662533215234E-2</v>
      </c>
      <c r="BD55" s="559">
        <f>BD183</f>
        <v>-2.3724569640062587E-2</v>
      </c>
      <c r="BE55" s="182"/>
      <c r="BF55" s="559">
        <f>BF183</f>
        <v>-2.0581761006289334E-2</v>
      </c>
      <c r="BG55" s="559">
        <f>BG183</f>
        <v>-2.6180608593296184E-2</v>
      </c>
      <c r="BH55" s="559">
        <f>BH183</f>
        <v>2.7851454389204613E-3</v>
      </c>
      <c r="BI55" s="559">
        <f>BI183</f>
        <v>2.6282589513269051E-2</v>
      </c>
      <c r="BJ55" s="182"/>
      <c r="BK55" s="559">
        <f>BK183</f>
        <v>4.2177564414123778E-2</v>
      </c>
      <c r="BL55" s="559">
        <f>BL183</f>
        <v>3.4806385934786813E-2</v>
      </c>
      <c r="BM55" s="559">
        <f>BM183</f>
        <v>2.1597157717311036E-2</v>
      </c>
      <c r="BN55" s="559">
        <f>BN183</f>
        <v>1.8505346974875134E-2</v>
      </c>
      <c r="BO55" s="182"/>
      <c r="BP55" s="559">
        <f>BP183</f>
        <v>0</v>
      </c>
      <c r="BQ55" s="559">
        <f>BQ183</f>
        <v>0</v>
      </c>
      <c r="BR55" s="559">
        <f>BR183</f>
        <v>0</v>
      </c>
      <c r="BS55" s="559">
        <f>BS183</f>
        <v>0</v>
      </c>
      <c r="BT55" s="182"/>
      <c r="BU55" s="559">
        <f>BU183</f>
        <v>0</v>
      </c>
      <c r="BV55" s="559">
        <f>BV183</f>
        <v>0</v>
      </c>
      <c r="BW55" s="559">
        <f>BW183</f>
        <v>0</v>
      </c>
      <c r="BX55" s="559">
        <f>BX183</f>
        <v>0</v>
      </c>
      <c r="BY55" s="182"/>
      <c r="BZ55" s="559">
        <f>BZ183</f>
        <v>0</v>
      </c>
      <c r="CA55" s="559">
        <f>CA183</f>
        <v>0</v>
      </c>
      <c r="CB55" s="559">
        <f>CB183</f>
        <v>0</v>
      </c>
      <c r="CC55" s="559">
        <f>CC183</f>
        <v>0</v>
      </c>
      <c r="CD55" s="182"/>
      <c r="CF55" s="713"/>
    </row>
    <row r="56" spans="1:88">
      <c r="A56" s="533"/>
      <c r="B56" s="560"/>
      <c r="C56" s="553"/>
      <c r="D56" s="553"/>
      <c r="E56" s="553"/>
      <c r="F56" s="554"/>
      <c r="G56" s="182"/>
      <c r="H56" s="553"/>
      <c r="I56" s="553"/>
      <c r="J56" s="553"/>
      <c r="K56" s="554"/>
      <c r="L56" s="182"/>
      <c r="M56" s="553"/>
      <c r="N56" s="553"/>
      <c r="O56" s="553"/>
      <c r="P56" s="554"/>
      <c r="Q56" s="182"/>
      <c r="R56" s="553"/>
      <c r="S56" s="553"/>
      <c r="T56" s="553"/>
      <c r="U56" s="554"/>
      <c r="V56" s="182"/>
      <c r="W56" s="553"/>
      <c r="X56" s="553"/>
      <c r="Y56" s="553"/>
      <c r="Z56" s="554"/>
      <c r="AA56" s="182"/>
      <c r="AB56" s="553"/>
      <c r="AC56" s="553"/>
      <c r="AD56" s="553"/>
      <c r="AE56" s="554"/>
      <c r="AF56" s="182"/>
      <c r="AG56" s="553"/>
      <c r="AH56" s="553"/>
      <c r="AI56" s="553"/>
      <c r="AJ56" s="554"/>
      <c r="AK56" s="182"/>
      <c r="AL56" s="553"/>
      <c r="AM56" s="553"/>
      <c r="AN56" s="553"/>
      <c r="AO56" s="554"/>
      <c r="AP56" s="182"/>
      <c r="AQ56" s="553"/>
      <c r="AR56" s="553"/>
      <c r="AS56" s="553"/>
      <c r="AT56" s="554"/>
      <c r="AU56" s="549"/>
      <c r="AV56" s="555"/>
      <c r="AW56" s="555"/>
      <c r="AX56" s="555"/>
      <c r="AY56" s="555"/>
      <c r="AZ56" s="182"/>
      <c r="BA56" s="555"/>
      <c r="BB56" s="555"/>
      <c r="BC56" s="555"/>
      <c r="BD56" s="555"/>
      <c r="BE56" s="182"/>
      <c r="BF56" s="555"/>
      <c r="BG56" s="555"/>
      <c r="BH56" s="555"/>
      <c r="BI56" s="555"/>
      <c r="BJ56" s="182"/>
      <c r="BK56" s="555"/>
      <c r="BL56" s="555"/>
      <c r="BM56" s="555"/>
      <c r="BN56" s="555"/>
      <c r="BO56" s="182"/>
      <c r="BP56" s="555"/>
      <c r="BQ56" s="555"/>
      <c r="BR56" s="555"/>
      <c r="BS56" s="555"/>
      <c r="BT56" s="182"/>
      <c r="BU56" s="555"/>
      <c r="BV56" s="555"/>
      <c r="BW56" s="555"/>
      <c r="BX56" s="555"/>
      <c r="BY56" s="182"/>
      <c r="BZ56" s="555"/>
      <c r="CA56" s="555"/>
      <c r="CB56" s="555"/>
      <c r="CC56" s="555"/>
      <c r="CD56" s="182"/>
      <c r="CE56" s="160"/>
    </row>
    <row r="57" spans="1:88" ht="13.5" thickBot="1">
      <c r="A57" s="611"/>
      <c r="B57" s="265" t="s">
        <v>282</v>
      </c>
      <c r="C57" s="612"/>
      <c r="D57" s="612"/>
      <c r="E57" s="612"/>
      <c r="F57" s="612"/>
      <c r="G57" s="613"/>
      <c r="H57" s="612"/>
      <c r="I57" s="612"/>
      <c r="J57" s="612"/>
      <c r="K57" s="612"/>
      <c r="L57" s="613"/>
      <c r="M57" s="612"/>
      <c r="N57" s="612"/>
      <c r="O57" s="612"/>
      <c r="P57" s="612"/>
      <c r="Q57" s="613"/>
      <c r="R57" s="612"/>
      <c r="S57" s="612"/>
      <c r="T57" s="612"/>
      <c r="U57" s="612"/>
      <c r="V57" s="613"/>
      <c r="W57" s="612"/>
      <c r="X57" s="612"/>
      <c r="Y57" s="612"/>
      <c r="Z57" s="612"/>
      <c r="AA57" s="613"/>
      <c r="AB57" s="612"/>
      <c r="AC57" s="612"/>
      <c r="AD57" s="612"/>
      <c r="AE57" s="612"/>
      <c r="AF57" s="613"/>
      <c r="AG57" s="612"/>
      <c r="AH57" s="612"/>
      <c r="AI57" s="612"/>
      <c r="AJ57" s="612"/>
      <c r="AK57" s="614">
        <f t="shared" ref="AK57:CD57" si="21">IF(ISERROR(AK49+AK45),"NM",AK49+AK45)</f>
        <v>5662</v>
      </c>
      <c r="AL57" s="615">
        <f t="shared" si="21"/>
        <v>0</v>
      </c>
      <c r="AM57" s="615">
        <f t="shared" si="21"/>
        <v>0</v>
      </c>
      <c r="AN57" s="615">
        <f t="shared" si="21"/>
        <v>0</v>
      </c>
      <c r="AO57" s="615">
        <f t="shared" si="21"/>
        <v>0</v>
      </c>
      <c r="AP57" s="614">
        <f t="shared" si="21"/>
        <v>6727</v>
      </c>
      <c r="AQ57" s="616">
        <f t="shared" si="21"/>
        <v>1871</v>
      </c>
      <c r="AR57" s="616">
        <f t="shared" si="21"/>
        <v>1981</v>
      </c>
      <c r="AS57" s="616">
        <f t="shared" si="21"/>
        <v>1971</v>
      </c>
      <c r="AT57" s="616">
        <f t="shared" si="21"/>
        <v>2189</v>
      </c>
      <c r="AU57" s="614">
        <f t="shared" si="21"/>
        <v>8012</v>
      </c>
      <c r="AV57" s="615">
        <f t="shared" si="21"/>
        <v>2134</v>
      </c>
      <c r="AW57" s="615">
        <f t="shared" si="21"/>
        <v>2293</v>
      </c>
      <c r="AX57" s="615">
        <f t="shared" si="21"/>
        <v>2258</v>
      </c>
      <c r="AY57" s="615">
        <f t="shared" si="21"/>
        <v>2556</v>
      </c>
      <c r="AZ57" s="614">
        <f t="shared" si="21"/>
        <v>9248</v>
      </c>
      <c r="BA57" s="615">
        <f t="shared" si="21"/>
        <v>2544</v>
      </c>
      <c r="BB57" s="615">
        <f t="shared" si="21"/>
        <v>2650</v>
      </c>
      <c r="BC57" s="615">
        <f>IF(ISERROR(BC49+BC45),"NM",BC49+BC45)</f>
        <v>2667</v>
      </c>
      <c r="BD57" s="615">
        <f t="shared" si="21"/>
        <v>2981</v>
      </c>
      <c r="BE57" s="614">
        <f t="shared" si="21"/>
        <v>10842</v>
      </c>
      <c r="BF57" s="615">
        <f t="shared" si="21"/>
        <v>2975</v>
      </c>
      <c r="BG57" s="615">
        <f t="shared" si="21"/>
        <v>3136</v>
      </c>
      <c r="BH57" s="615">
        <f t="shared" si="21"/>
        <v>3239</v>
      </c>
      <c r="BI57" s="615">
        <f t="shared" si="21"/>
        <v>3744</v>
      </c>
      <c r="BJ57" s="614">
        <f t="shared" si="21"/>
        <v>13094</v>
      </c>
      <c r="BK57" s="615">
        <f t="shared" si="21"/>
        <v>3685</v>
      </c>
      <c r="BL57" s="615">
        <f t="shared" si="21"/>
        <v>3820.8404416167077</v>
      </c>
      <c r="BM57" s="615">
        <f t="shared" si="21"/>
        <v>3661.7708801285485</v>
      </c>
      <c r="BN57" s="615">
        <f t="shared" si="21"/>
        <v>4241.5958849742692</v>
      </c>
      <c r="BO57" s="614">
        <f t="shared" si="21"/>
        <v>15409.207206719526</v>
      </c>
      <c r="BP57" s="615">
        <f t="shared" si="21"/>
        <v>4082.5428839282222</v>
      </c>
      <c r="BQ57" s="615">
        <f t="shared" si="21"/>
        <v>4244.310181081375</v>
      </c>
      <c r="BR57" s="615">
        <f t="shared" si="21"/>
        <v>4366.7529895312373</v>
      </c>
      <c r="BS57" s="615">
        <f t="shared" si="21"/>
        <v>5061.1547500369998</v>
      </c>
      <c r="BT57" s="614">
        <f t="shared" si="21"/>
        <v>17754.760804577836</v>
      </c>
      <c r="BU57" s="615">
        <f t="shared" si="21"/>
        <v>4772.8140621387929</v>
      </c>
      <c r="BV57" s="615">
        <f t="shared" si="21"/>
        <v>4979.675065106172</v>
      </c>
      <c r="BW57" s="615">
        <f t="shared" si="21"/>
        <v>5035.0188117624812</v>
      </c>
      <c r="BX57" s="615">
        <f t="shared" si="21"/>
        <v>5856.5121129326108</v>
      </c>
      <c r="BY57" s="614">
        <f t="shared" si="21"/>
        <v>20644.020051940057</v>
      </c>
      <c r="BZ57" s="615">
        <f t="shared" si="21"/>
        <v>5485.1370667287883</v>
      </c>
      <c r="CA57" s="615">
        <f t="shared" si="21"/>
        <v>5732.5495982465936</v>
      </c>
      <c r="CB57" s="615">
        <f t="shared" si="21"/>
        <v>5835.3164159402495</v>
      </c>
      <c r="CC57" s="615">
        <f t="shared" si="21"/>
        <v>6797.8188942431125</v>
      </c>
      <c r="CD57" s="614">
        <f t="shared" si="21"/>
        <v>23850.821975158746</v>
      </c>
      <c r="CE57" s="617"/>
    </row>
    <row r="58" spans="1:88" ht="13.5" thickTop="1">
      <c r="A58" s="618"/>
      <c r="B58" s="138" t="s">
        <v>21</v>
      </c>
      <c r="C58" s="173"/>
      <c r="D58" s="173"/>
      <c r="E58" s="173"/>
      <c r="F58" s="173"/>
      <c r="G58" s="549"/>
      <c r="H58" s="173"/>
      <c r="I58" s="173"/>
      <c r="J58" s="173"/>
      <c r="K58" s="173"/>
      <c r="L58" s="549"/>
      <c r="M58" s="173"/>
      <c r="N58" s="173"/>
      <c r="O58" s="173"/>
      <c r="P58" s="173"/>
      <c r="Q58" s="549"/>
      <c r="R58" s="173"/>
      <c r="S58" s="173"/>
      <c r="T58" s="173"/>
      <c r="U58" s="173"/>
      <c r="V58" s="549"/>
      <c r="W58" s="173"/>
      <c r="X58" s="173"/>
      <c r="Y58" s="173"/>
      <c r="Z58" s="173"/>
      <c r="AA58" s="549"/>
      <c r="AB58" s="173"/>
      <c r="AC58" s="173"/>
      <c r="AD58" s="173"/>
      <c r="AE58" s="173"/>
      <c r="AF58" s="549"/>
      <c r="AG58" s="173"/>
      <c r="AH58" s="173"/>
      <c r="AI58" s="173"/>
      <c r="AJ58" s="173"/>
      <c r="AK58" s="549"/>
      <c r="AL58" s="173"/>
      <c r="AM58" s="173"/>
      <c r="AN58" s="173"/>
      <c r="AO58" s="173"/>
      <c r="AP58" s="549">
        <f>IF(ISERROR(AP57/AK57-1), "NM", (AP57/AK57-1))</f>
        <v>0.18809607912398452</v>
      </c>
      <c r="AQ58" s="173"/>
      <c r="AR58" s="173"/>
      <c r="AS58" s="173"/>
      <c r="AT58" s="173"/>
      <c r="AU58" s="549">
        <f>IF(ISERROR(AU57/AP57-1), "NM", (AU57/AP57-1))</f>
        <v>0.19102125761855215</v>
      </c>
      <c r="AV58" s="559">
        <f t="shared" ref="AV58:CD58" si="22">IF(ISERROR(AV57/AQ57-1), "NM", (AV57/AQ57-1))</f>
        <v>0.14056654195617324</v>
      </c>
      <c r="AW58" s="559">
        <f t="shared" si="22"/>
        <v>0.15749621403331648</v>
      </c>
      <c r="AX58" s="559">
        <f t="shared" si="22"/>
        <v>0.14561136478944703</v>
      </c>
      <c r="AY58" s="559">
        <f t="shared" si="22"/>
        <v>0.16765646413887625</v>
      </c>
      <c r="AZ58" s="549">
        <f t="shared" si="22"/>
        <v>0.15426859710434337</v>
      </c>
      <c r="BA58" s="559">
        <f t="shared" si="22"/>
        <v>0.19212746016869731</v>
      </c>
      <c r="BB58" s="559">
        <f t="shared" si="22"/>
        <v>0.15569123419101616</v>
      </c>
      <c r="BC58" s="559">
        <f t="shared" si="22"/>
        <v>0.18113374667847659</v>
      </c>
      <c r="BD58" s="559">
        <f t="shared" si="22"/>
        <v>0.16627543035993742</v>
      </c>
      <c r="BE58" s="549">
        <f>IF(ISERROR(BE57/AZ57-1), "NM", (BE57/AZ57-1))</f>
        <v>0.17236159169550169</v>
      </c>
      <c r="BF58" s="559">
        <f t="shared" si="22"/>
        <v>0.16941823899371067</v>
      </c>
      <c r="BG58" s="559">
        <f t="shared" si="22"/>
        <v>0.18339622641509434</v>
      </c>
      <c r="BH58" s="559">
        <f t="shared" si="22"/>
        <v>0.21447319085114369</v>
      </c>
      <c r="BI58" s="559">
        <f t="shared" si="22"/>
        <v>0.25595437772559548</v>
      </c>
      <c r="BJ58" s="549">
        <f t="shared" si="22"/>
        <v>0.20771075447334431</v>
      </c>
      <c r="BK58" s="559">
        <f t="shared" si="22"/>
        <v>0.23865546218487399</v>
      </c>
      <c r="BL58" s="559">
        <f t="shared" si="22"/>
        <v>0.2183802428624706</v>
      </c>
      <c r="BM58" s="559">
        <f t="shared" si="22"/>
        <v>0.13052512507827996</v>
      </c>
      <c r="BN58" s="559">
        <f t="shared" si="22"/>
        <v>0.13290488380722998</v>
      </c>
      <c r="BO58" s="549">
        <f t="shared" si="22"/>
        <v>0.17681435823426961</v>
      </c>
      <c r="BP58" s="559">
        <f t="shared" si="22"/>
        <v>0.10788137962774003</v>
      </c>
      <c r="BQ58" s="559">
        <f t="shared" si="22"/>
        <v>0.11083156858690635</v>
      </c>
      <c r="BR58" s="559">
        <f t="shared" si="22"/>
        <v>0.19252491007245665</v>
      </c>
      <c r="BS58" s="559">
        <f t="shared" si="22"/>
        <v>0.19321945967695653</v>
      </c>
      <c r="BT58" s="549">
        <f t="shared" si="22"/>
        <v>0.15221766872181974</v>
      </c>
      <c r="BU58" s="559">
        <f t="shared" si="22"/>
        <v>0.16907873299456733</v>
      </c>
      <c r="BV58" s="559">
        <f t="shared" si="22"/>
        <v>0.17325898736209688</v>
      </c>
      <c r="BW58" s="559">
        <f t="shared" si="22"/>
        <v>0.1530349492708496</v>
      </c>
      <c r="BX58" s="559">
        <f t="shared" si="22"/>
        <v>0.15714938629169484</v>
      </c>
      <c r="BY58" s="549">
        <f t="shared" si="22"/>
        <v>0.16273152193733087</v>
      </c>
      <c r="BZ58" s="559">
        <f t="shared" si="22"/>
        <v>0.14924591557853173</v>
      </c>
      <c r="CA58" s="559">
        <f t="shared" si="22"/>
        <v>0.15118948993600045</v>
      </c>
      <c r="CB58" s="559">
        <f t="shared" si="22"/>
        <v>0.15894629873242283</v>
      </c>
      <c r="CC58" s="559">
        <f t="shared" si="22"/>
        <v>0.16072822238886286</v>
      </c>
      <c r="CD58" s="549">
        <f t="shared" si="22"/>
        <v>0.15533805504695408</v>
      </c>
      <c r="CE58" s="279"/>
      <c r="CI58" s="1263"/>
      <c r="CJ58" s="1263"/>
    </row>
    <row r="59" spans="1:88">
      <c r="A59" s="533"/>
      <c r="B59" s="138" t="s">
        <v>283</v>
      </c>
      <c r="C59" s="173"/>
      <c r="D59" s="173"/>
      <c r="E59" s="173"/>
      <c r="F59" s="173"/>
      <c r="G59" s="549"/>
      <c r="H59" s="173"/>
      <c r="I59" s="173"/>
      <c r="J59" s="173"/>
      <c r="K59" s="173"/>
      <c r="L59" s="549"/>
      <c r="M59" s="173"/>
      <c r="N59" s="173"/>
      <c r="O59" s="173"/>
      <c r="P59" s="173"/>
      <c r="Q59" s="549"/>
      <c r="R59" s="173"/>
      <c r="S59" s="173"/>
      <c r="T59" s="173"/>
      <c r="U59" s="173"/>
      <c r="V59" s="549"/>
      <c r="W59" s="173"/>
      <c r="X59" s="173"/>
      <c r="Y59" s="173"/>
      <c r="Z59" s="173"/>
      <c r="AA59" s="549"/>
      <c r="AB59" s="173"/>
      <c r="AC59" s="173"/>
      <c r="AD59" s="173"/>
      <c r="AE59" s="173"/>
      <c r="AF59" s="549"/>
      <c r="AG59" s="173"/>
      <c r="AH59" s="173"/>
      <c r="AI59" s="173"/>
      <c r="AJ59" s="173"/>
      <c r="AK59" s="549"/>
      <c r="AL59" s="173"/>
      <c r="AM59" s="173"/>
      <c r="AN59" s="173"/>
      <c r="AO59" s="173"/>
      <c r="AP59" s="549"/>
      <c r="AQ59" s="173"/>
      <c r="AR59" s="173"/>
      <c r="AS59" s="173"/>
      <c r="AT59" s="173"/>
      <c r="AU59" s="549"/>
      <c r="AV59" s="559">
        <f t="shared" ref="AV59:CD59" si="23">+AV58-AV183</f>
        <v>0.17</v>
      </c>
      <c r="AW59" s="559">
        <f t="shared" si="23"/>
        <v>0.19</v>
      </c>
      <c r="AX59" s="559">
        <f t="shared" si="23"/>
        <v>0.19</v>
      </c>
      <c r="AY59" s="559">
        <f t="shared" si="23"/>
        <v>0.21</v>
      </c>
      <c r="AZ59" s="549">
        <f t="shared" si="23"/>
        <v>0.19166749875187206</v>
      </c>
      <c r="BA59" s="559">
        <f t="shared" si="23"/>
        <v>0.23</v>
      </c>
      <c r="BB59" s="559">
        <f t="shared" si="23"/>
        <v>0.19</v>
      </c>
      <c r="BC59" s="559">
        <f t="shared" si="23"/>
        <v>0.21</v>
      </c>
      <c r="BD59" s="559">
        <f t="shared" si="23"/>
        <v>0.19</v>
      </c>
      <c r="BE59" s="549">
        <f t="shared" si="23"/>
        <v>0.20321258650519025</v>
      </c>
      <c r="BF59" s="559">
        <f t="shared" si="23"/>
        <v>0.19</v>
      </c>
      <c r="BG59" s="559">
        <f t="shared" si="23"/>
        <v>0.20957683500839053</v>
      </c>
      <c r="BH59" s="559">
        <f t="shared" si="23"/>
        <v>0.21168804541222322</v>
      </c>
      <c r="BI59" s="559">
        <f t="shared" si="23"/>
        <v>0.22967178821232642</v>
      </c>
      <c r="BJ59" s="549">
        <f t="shared" si="23"/>
        <v>0.21102769143585851</v>
      </c>
      <c r="BK59" s="559">
        <f t="shared" si="23"/>
        <v>0.1964778977707502</v>
      </c>
      <c r="BL59" s="559">
        <f>+BL58-BL183</f>
        <v>0.1835738569276838</v>
      </c>
      <c r="BM59" s="559">
        <f t="shared" si="23"/>
        <v>0.10892796736096892</v>
      </c>
      <c r="BN59" s="559">
        <f t="shared" si="23"/>
        <v>0.11439953683235485</v>
      </c>
      <c r="BO59" s="549">
        <f t="shared" si="23"/>
        <v>0.14826171631096027</v>
      </c>
      <c r="BP59" s="559">
        <f t="shared" si="23"/>
        <v>0.10788137962774003</v>
      </c>
      <c r="BQ59" s="559">
        <f t="shared" si="23"/>
        <v>0.11083156858690635</v>
      </c>
      <c r="BR59" s="559">
        <f t="shared" si="23"/>
        <v>0.19252491007245665</v>
      </c>
      <c r="BS59" s="559">
        <f t="shared" si="23"/>
        <v>0.19321945967695653</v>
      </c>
      <c r="BT59" s="549">
        <f t="shared" si="23"/>
        <v>0.15221766872181974</v>
      </c>
      <c r="BU59" s="559">
        <f t="shared" si="23"/>
        <v>0.16907873299456733</v>
      </c>
      <c r="BV59" s="559">
        <f t="shared" si="23"/>
        <v>0.17325898736209688</v>
      </c>
      <c r="BW59" s="559">
        <f t="shared" si="23"/>
        <v>0.1530349492708496</v>
      </c>
      <c r="BX59" s="559">
        <f t="shared" si="23"/>
        <v>0.15714938629169484</v>
      </c>
      <c r="BY59" s="549">
        <f t="shared" si="23"/>
        <v>0.16273152193733087</v>
      </c>
      <c r="BZ59" s="559">
        <f t="shared" si="23"/>
        <v>0.14924591557853173</v>
      </c>
      <c r="CA59" s="559">
        <f t="shared" si="23"/>
        <v>0.15118948993600045</v>
      </c>
      <c r="CB59" s="559">
        <f t="shared" si="23"/>
        <v>0.15894629873242283</v>
      </c>
      <c r="CC59" s="559">
        <f t="shared" si="23"/>
        <v>0.16072822238886286</v>
      </c>
      <c r="CD59" s="549">
        <f t="shared" si="23"/>
        <v>0.15533805504695408</v>
      </c>
      <c r="CE59" s="160"/>
    </row>
    <row r="60" spans="1:88" hidden="1">
      <c r="A60" s="533"/>
      <c r="B60" s="619"/>
      <c r="C60" s="173"/>
      <c r="D60" s="173"/>
      <c r="E60" s="173"/>
      <c r="F60" s="173"/>
      <c r="G60" s="549"/>
      <c r="H60" s="173"/>
      <c r="I60" s="173"/>
      <c r="J60" s="173"/>
      <c r="K60" s="173"/>
      <c r="L60" s="549"/>
      <c r="M60" s="173"/>
      <c r="N60" s="173"/>
      <c r="O60" s="173"/>
      <c r="P60" s="173"/>
      <c r="Q60" s="549"/>
      <c r="R60" s="173"/>
      <c r="S60" s="173"/>
      <c r="T60" s="173"/>
      <c r="U60" s="173"/>
      <c r="V60" s="549"/>
      <c r="W60" s="173"/>
      <c r="X60" s="173"/>
      <c r="Y60" s="173"/>
      <c r="Z60" s="173"/>
      <c r="AA60" s="549"/>
      <c r="AB60" s="173"/>
      <c r="AC60" s="173"/>
      <c r="AD60" s="173"/>
      <c r="AE60" s="173"/>
      <c r="AF60" s="549"/>
      <c r="AG60" s="173"/>
      <c r="AH60" s="173"/>
      <c r="AI60" s="173"/>
      <c r="AJ60" s="173"/>
      <c r="AK60" s="549"/>
      <c r="AL60" s="173"/>
      <c r="AM60" s="173"/>
      <c r="AN60" s="173"/>
      <c r="AO60" s="173"/>
      <c r="AP60" s="549"/>
      <c r="AQ60" s="173"/>
      <c r="AR60" s="173"/>
      <c r="AS60" s="173"/>
      <c r="AT60" s="173"/>
      <c r="AU60" s="549"/>
      <c r="AV60" s="559"/>
      <c r="AW60" s="559"/>
      <c r="AX60" s="559"/>
      <c r="AY60" s="559"/>
      <c r="AZ60" s="549"/>
      <c r="BA60" s="559"/>
      <c r="BB60" s="559"/>
      <c r="BC60" s="559"/>
      <c r="BD60" s="559"/>
      <c r="BE60" s="549"/>
      <c r="BF60" s="559"/>
      <c r="BG60" s="559"/>
      <c r="BH60" s="559"/>
      <c r="BI60" s="559"/>
      <c r="BJ60" s="549"/>
      <c r="BK60" s="559"/>
      <c r="BL60" s="559"/>
      <c r="BM60" s="559"/>
      <c r="BN60" s="559"/>
      <c r="BO60" s="549"/>
      <c r="BP60" s="559"/>
      <c r="BQ60" s="559"/>
      <c r="BR60" s="559"/>
      <c r="BS60" s="559"/>
      <c r="BT60" s="549"/>
      <c r="BU60" s="559"/>
      <c r="BV60" s="559"/>
      <c r="BW60" s="559"/>
      <c r="BX60" s="559"/>
      <c r="BY60" s="549"/>
      <c r="BZ60" s="559"/>
      <c r="CA60" s="559"/>
      <c r="CB60" s="559"/>
      <c r="CC60" s="559"/>
      <c r="CD60" s="549"/>
      <c r="CE60" s="160"/>
    </row>
    <row r="61" spans="1:88" hidden="1">
      <c r="A61" s="620"/>
      <c r="B61" s="621" t="s">
        <v>213</v>
      </c>
      <c r="C61" s="622"/>
      <c r="D61" s="622"/>
      <c r="E61" s="622"/>
      <c r="F61" s="622"/>
      <c r="G61" s="623"/>
      <c r="H61" s="622"/>
      <c r="I61" s="622"/>
      <c r="J61" s="622"/>
      <c r="K61" s="622"/>
      <c r="L61" s="623"/>
      <c r="M61" s="622"/>
      <c r="N61" s="622"/>
      <c r="O61" s="622"/>
      <c r="P61" s="622"/>
      <c r="Q61" s="623"/>
      <c r="R61" s="622"/>
      <c r="S61" s="622"/>
      <c r="T61" s="622"/>
      <c r="U61" s="622"/>
      <c r="V61" s="623"/>
      <c r="W61" s="622"/>
      <c r="X61" s="622"/>
      <c r="Y61" s="622"/>
      <c r="Z61" s="622"/>
      <c r="AA61" s="623"/>
      <c r="AB61" s="622"/>
      <c r="AC61" s="622"/>
      <c r="AD61" s="622"/>
      <c r="AE61" s="622"/>
      <c r="AF61" s="623"/>
      <c r="AG61" s="622"/>
      <c r="AH61" s="622"/>
      <c r="AI61" s="622"/>
      <c r="AJ61" s="622"/>
      <c r="AK61" s="624">
        <f>IF(ISERROR(AK57-'Quarterly Model'!AK14),"NM",AK57-'Quarterly Model'!AK14)</f>
        <v>0</v>
      </c>
      <c r="AL61" s="625"/>
      <c r="AM61" s="625"/>
      <c r="AN61" s="625"/>
      <c r="AO61" s="625"/>
      <c r="AP61" s="624">
        <f>IF(ISERROR(AP57-'Quarterly Model'!AP14),"NM",AP57-'Quarterly Model'!AP14)</f>
        <v>0</v>
      </c>
      <c r="AQ61" s="625"/>
      <c r="AR61" s="625"/>
      <c r="AS61" s="625"/>
      <c r="AT61" s="625"/>
      <c r="AU61" s="624">
        <f>IF(ISERROR(AU57-'Quarterly Model'!AU14),"NM",AU57-'Quarterly Model'!AU14)</f>
        <v>0</v>
      </c>
      <c r="AV61" s="626">
        <f>IF(ISERROR(AV57-'Quarterly Model'!AV14),"NM",AV57-'Quarterly Model'!AV14)</f>
        <v>0</v>
      </c>
      <c r="AW61" s="626">
        <f>IF(ISERROR(AW57-'Quarterly Model'!AW14),"NM",AW57-'Quarterly Model'!AW14)</f>
        <v>0</v>
      </c>
      <c r="AX61" s="626">
        <f>IF(ISERROR(AX57-'Quarterly Model'!AX14),"NM",AX57-'Quarterly Model'!AX14)</f>
        <v>0</v>
      </c>
      <c r="AY61" s="626">
        <f>IF(ISERROR(AY57-'Quarterly Model'!AY14),"NM",AY57-'Quarterly Model'!AY14)</f>
        <v>0</v>
      </c>
      <c r="AZ61" s="624">
        <f>IF(ISERROR(AZ57-'Quarterly Model'!AZ14),"NM",AZ57-'Quarterly Model'!AZ14)</f>
        <v>0</v>
      </c>
      <c r="BA61" s="626">
        <f>IF(ISERROR(BA57-'Quarterly Model'!BA14),"NM",BA57-'Quarterly Model'!BA14)</f>
        <v>0</v>
      </c>
      <c r="BB61" s="626">
        <f>IF(ISERROR(BB57-'Quarterly Model'!BB14),"NM",BB57-'Quarterly Model'!BB14)</f>
        <v>0</v>
      </c>
      <c r="BC61" s="626">
        <f>IF(ISERROR(BC57-'Quarterly Model'!BC14),"NM",BC57-'Quarterly Model'!BC14)</f>
        <v>0</v>
      </c>
      <c r="BD61" s="626">
        <f>IF(ISERROR(BD57-'Quarterly Model'!BD14),"NM",BD57-'Quarterly Model'!BD14)</f>
        <v>0</v>
      </c>
      <c r="BE61" s="624">
        <f>IF(ISERROR(BE57-'Quarterly Model'!BE14),"NM",BE57-'Quarterly Model'!BE14)</f>
        <v>0</v>
      </c>
      <c r="BF61" s="626">
        <f>IF(ISERROR(BF57-'Quarterly Model'!BF14),"NM",BF57-'Quarterly Model'!BF14)</f>
        <v>0</v>
      </c>
      <c r="BG61" s="626">
        <f>IF(ISERROR(BG57-'Quarterly Model'!BG14),"NM",BG57-'Quarterly Model'!BG14)</f>
        <v>0</v>
      </c>
      <c r="BH61" s="626">
        <f>IF(ISERROR(BH57-'Quarterly Model'!BH14),"NM",BH57-'Quarterly Model'!BH14)</f>
        <v>0</v>
      </c>
      <c r="BI61" s="626">
        <f>IF(ISERROR(BI57-'Quarterly Model'!BI14),"NM",BI57-'Quarterly Model'!BI14)</f>
        <v>39</v>
      </c>
      <c r="BJ61" s="624">
        <f>IF(ISERROR(BJ57-'Quarterly Model'!BJ14),"NM",BJ57-'Quarterly Model'!BJ14)</f>
        <v>39</v>
      </c>
      <c r="BK61" s="626">
        <f>IF(ISERROR(BK57-'Quarterly Model'!CE14),"NM",BK57-'Quarterly Model'!CE14)</f>
        <v>3684.8253155566317</v>
      </c>
      <c r="BL61" s="626">
        <f>IF(ISERROR(BL57-'Quarterly Model'!CF14),"NM",BL57-'Quarterly Model'!CF14)</f>
        <v>3820.8404416167077</v>
      </c>
      <c r="BM61" s="626">
        <f>IF(ISERROR(BM57-'Quarterly Model'!CG14),"NM",BM57-'Quarterly Model'!CG14)</f>
        <v>3661.7708801285485</v>
      </c>
      <c r="BN61" s="626">
        <f>IF(ISERROR(BN57-'Quarterly Model'!CH14),"NM",BN57-'Quarterly Model'!CH14)</f>
        <v>4241.5958849742692</v>
      </c>
      <c r="BO61" s="624">
        <f>IF(ISERROR(BO57-'Quarterly Model'!CI14),"NM",BO57-'Quarterly Model'!CI14)</f>
        <v>15409.207206719526</v>
      </c>
      <c r="BP61" s="626">
        <f>IF(ISERROR(BP57-'Quarterly Model'!CJ14),"NM",BP57-'Quarterly Model'!CJ14)</f>
        <v>4082.5428839282222</v>
      </c>
      <c r="BQ61" s="626">
        <f>IF(ISERROR(BQ57-'Quarterly Model'!CK14),"NM",BQ57-'Quarterly Model'!CK14)</f>
        <v>4244.310181081375</v>
      </c>
      <c r="BR61" s="626">
        <f>IF(ISERROR(BR57-'Quarterly Model'!CL14),"NM",BR57-'Quarterly Model'!CL14)</f>
        <v>4366.7529895312373</v>
      </c>
      <c r="BS61" s="626">
        <f>IF(ISERROR(BS57-'Quarterly Model'!CM14),"NM",BS57-'Quarterly Model'!CM14)</f>
        <v>5061.1547500369998</v>
      </c>
      <c r="BT61" s="624">
        <f>IF(ISERROR(BT57-'Quarterly Model'!CN14),"NM",BT57-'Quarterly Model'!CN14)</f>
        <v>17754.760804577836</v>
      </c>
      <c r="BU61" s="626">
        <f>IF(ISERROR(BU57-'Quarterly Model'!CO14),"NM",BU57-'Quarterly Model'!CO14)</f>
        <v>4772.8140621387929</v>
      </c>
      <c r="BV61" s="626">
        <f>IF(ISERROR(BV57-'Quarterly Model'!CP14),"NM",BV57-'Quarterly Model'!CP14)</f>
        <v>4979.675065106172</v>
      </c>
      <c r="BW61" s="626">
        <f>IF(ISERROR(BW57-'Quarterly Model'!CQ14),"NM",BW57-'Quarterly Model'!CQ14)</f>
        <v>5035.0188117624812</v>
      </c>
      <c r="BX61" s="626">
        <f>IF(ISERROR(BX57-'Quarterly Model'!CR14),"NM",BX57-'Quarterly Model'!CR14)</f>
        <v>5856.5121129326108</v>
      </c>
      <c r="BY61" s="624">
        <f>IF(ISERROR(BY57-'Quarterly Model'!CS14),"NM",BY57-'Quarterly Model'!CS14)</f>
        <v>20644.020051940057</v>
      </c>
      <c r="BZ61" s="626">
        <f>IF(ISERROR(BZ57-'Quarterly Model'!CT14),"NM",BZ57-'Quarterly Model'!CT14)</f>
        <v>5485.1370667287883</v>
      </c>
      <c r="CA61" s="626">
        <f>IF(ISERROR(CA57-'Quarterly Model'!CU14),"NM",CA57-'Quarterly Model'!CU14)</f>
        <v>5732.5495982465936</v>
      </c>
      <c r="CB61" s="626">
        <f>IF(ISERROR(CB57-'Quarterly Model'!CV14),"NM",CB57-'Quarterly Model'!CV14)</f>
        <v>5835.3164159402495</v>
      </c>
      <c r="CC61" s="626">
        <f>IF(ISERROR(CC57-'Quarterly Model'!CW14),"NM",CC57-'Quarterly Model'!CW14)</f>
        <v>6797.8188942431125</v>
      </c>
      <c r="CD61" s="624">
        <f>IF(ISERROR(CD57-'Quarterly Model'!CX14),"NM",CD57-'Quarterly Model'!CX14)</f>
        <v>23850.821975158746</v>
      </c>
      <c r="CE61" s="627"/>
    </row>
    <row r="62" spans="1:88">
      <c r="A62" s="533"/>
      <c r="B62" s="138" t="s">
        <v>284</v>
      </c>
      <c r="C62" s="553"/>
      <c r="D62" s="553"/>
      <c r="E62" s="553"/>
      <c r="F62" s="554"/>
      <c r="G62" s="182"/>
      <c r="H62" s="553"/>
      <c r="I62" s="553"/>
      <c r="J62" s="553"/>
      <c r="K62" s="554"/>
      <c r="L62" s="182"/>
      <c r="M62" s="553"/>
      <c r="N62" s="553"/>
      <c r="O62" s="553"/>
      <c r="P62" s="554"/>
      <c r="Q62" s="182"/>
      <c r="R62" s="553"/>
      <c r="S62" s="553"/>
      <c r="T62" s="553"/>
      <c r="U62" s="554"/>
      <c r="V62" s="182"/>
      <c r="W62" s="553"/>
      <c r="X62" s="553"/>
      <c r="Y62" s="553"/>
      <c r="Z62" s="554"/>
      <c r="AA62" s="182"/>
      <c r="AB62" s="553"/>
      <c r="AC62" s="553"/>
      <c r="AD62" s="553"/>
      <c r="AE62" s="554"/>
      <c r="AF62" s="182"/>
      <c r="AG62" s="553"/>
      <c r="AH62" s="553"/>
      <c r="AI62" s="553"/>
      <c r="AJ62" s="554"/>
      <c r="AK62" s="184">
        <f t="shared" ref="AK62:CD62" si="24">AK57/AK6</f>
        <v>3.7730065437874001E-2</v>
      </c>
      <c r="AL62" s="186" t="e">
        <f t="shared" si="24"/>
        <v>#DIV/0!</v>
      </c>
      <c r="AM62" s="186" t="e">
        <f t="shared" si="24"/>
        <v>#DIV/0!</v>
      </c>
      <c r="AN62" s="186" t="e">
        <f t="shared" si="24"/>
        <v>#DIV/0!</v>
      </c>
      <c r="AO62" s="628" t="e">
        <f t="shared" si="24"/>
        <v>#DIV/0!</v>
      </c>
      <c r="AP62" s="184">
        <f t="shared" si="24"/>
        <v>3.6243440406021357E-2</v>
      </c>
      <c r="AQ62" s="186">
        <f t="shared" si="24"/>
        <v>3.4857291899545423E-2</v>
      </c>
      <c r="AR62" s="186">
        <f t="shared" si="24"/>
        <v>3.4916102650874227E-2</v>
      </c>
      <c r="AS62" s="186">
        <f t="shared" si="24"/>
        <v>3.3875292176543378E-2</v>
      </c>
      <c r="AT62" s="186">
        <f t="shared" si="24"/>
        <v>3.3147079755901816E-2</v>
      </c>
      <c r="AU62" s="629">
        <f t="shared" si="24"/>
        <v>3.4146653312591896E-2</v>
      </c>
      <c r="AV62" s="589">
        <f t="shared" si="24"/>
        <v>3.3861728630139157E-2</v>
      </c>
      <c r="AW62" s="589">
        <f t="shared" si="24"/>
        <v>3.3979431552117599E-2</v>
      </c>
      <c r="AX62" s="589">
        <f t="shared" si="24"/>
        <v>3.1661455193011487E-2</v>
      </c>
      <c r="AY62" s="589">
        <f t="shared" si="24"/>
        <v>3.0757382493802797E-2</v>
      </c>
      <c r="AZ62" s="184">
        <f t="shared" si="24"/>
        <v>3.2106874787354446E-2</v>
      </c>
      <c r="BA62" s="589">
        <f t="shared" si="24"/>
        <v>3.0814326723918654E-2</v>
      </c>
      <c r="BB62" s="589">
        <f t="shared" si="24"/>
        <v>3.0194956872486127E-2</v>
      </c>
      <c r="BC62" s="589">
        <f t="shared" si="24"/>
        <v>3.0001687383992351E-2</v>
      </c>
      <c r="BD62" s="589">
        <f t="shared" si="24"/>
        <v>2.9599547219270984E-2</v>
      </c>
      <c r="BE62" s="184">
        <f t="shared" si="24"/>
        <v>3.012269120490765E-2</v>
      </c>
      <c r="BF62" s="589">
        <f t="shared" si="24"/>
        <v>2.9561104541976767E-2</v>
      </c>
      <c r="BG62" s="589">
        <f t="shared" si="24"/>
        <v>2.9090909090909091E-2</v>
      </c>
      <c r="BH62" s="589">
        <f t="shared" si="24"/>
        <v>2.81104630979657E-2</v>
      </c>
      <c r="BI62" s="589">
        <f t="shared" si="24"/>
        <v>2.8253405274874542E-2</v>
      </c>
      <c r="BJ62" s="184">
        <f t="shared" si="24"/>
        <v>2.8703707763197698E-2</v>
      </c>
      <c r="BK62" s="589">
        <f t="shared" si="24"/>
        <v>2.7839896044241638E-2</v>
      </c>
      <c r="BL62" s="589">
        <f t="shared" si="24"/>
        <v>2.7182726768753666E-2</v>
      </c>
      <c r="BM62" s="589">
        <f t="shared" si="24"/>
        <v>2.489985048425503E-2</v>
      </c>
      <c r="BN62" s="589">
        <f t="shared" si="24"/>
        <v>2.5309626025443632E-2</v>
      </c>
      <c r="BO62" s="184">
        <f t="shared" si="24"/>
        <v>2.6225155057471854E-2</v>
      </c>
      <c r="BP62" s="589">
        <f t="shared" si="24"/>
        <v>2.512834606914174E-2</v>
      </c>
      <c r="BQ62" s="589">
        <f t="shared" si="24"/>
        <v>2.4589113204400586E-2</v>
      </c>
      <c r="BR62" s="589">
        <f t="shared" si="24"/>
        <v>2.4180530911688796E-2</v>
      </c>
      <c r="BS62" s="589">
        <f t="shared" si="24"/>
        <v>2.4592783624353166E-2</v>
      </c>
      <c r="BT62" s="184">
        <f t="shared" si="24"/>
        <v>2.4609318663410713E-2</v>
      </c>
      <c r="BU62" s="589">
        <f t="shared" si="24"/>
        <v>2.4480845820634371E-2</v>
      </c>
      <c r="BV62" s="589">
        <f t="shared" si="24"/>
        <v>2.4041165048605831E-2</v>
      </c>
      <c r="BW62" s="589">
        <f t="shared" si="24"/>
        <v>2.3627963756865513E-2</v>
      </c>
      <c r="BX62" s="589">
        <f t="shared" si="24"/>
        <v>2.4116546167902299E-2</v>
      </c>
      <c r="BY62" s="184">
        <f t="shared" si="24"/>
        <v>2.4059783202918943E-2</v>
      </c>
      <c r="BZ62" s="589">
        <f t="shared" si="24"/>
        <v>2.4046591512198141E-2</v>
      </c>
      <c r="CA62" s="589">
        <f t="shared" si="24"/>
        <v>2.3654646606642519E-2</v>
      </c>
      <c r="CB62" s="589">
        <f t="shared" si="24"/>
        <v>2.3404736019318906E-2</v>
      </c>
      <c r="CC62" s="589">
        <f t="shared" si="24"/>
        <v>2.3925432276605284E-2</v>
      </c>
      <c r="CD62" s="184">
        <f t="shared" si="24"/>
        <v>2.375827617992457E-2</v>
      </c>
      <c r="CE62" s="160"/>
    </row>
    <row r="63" spans="1:88">
      <c r="A63" s="620"/>
      <c r="B63" s="630"/>
      <c r="C63" s="631"/>
      <c r="D63" s="631"/>
      <c r="E63" s="631"/>
      <c r="F63" s="631"/>
      <c r="G63" s="632"/>
      <c r="H63" s="631"/>
      <c r="I63" s="631"/>
      <c r="J63" s="631"/>
      <c r="K63" s="631"/>
      <c r="L63" s="632"/>
      <c r="M63" s="631"/>
      <c r="N63" s="631"/>
      <c r="O63" s="631"/>
      <c r="P63" s="631"/>
      <c r="Q63" s="632"/>
      <c r="R63" s="631"/>
      <c r="S63" s="631"/>
      <c r="T63" s="631"/>
      <c r="U63" s="631"/>
      <c r="V63" s="632"/>
      <c r="W63" s="631"/>
      <c r="X63" s="631"/>
      <c r="Y63" s="631"/>
      <c r="Z63" s="631"/>
      <c r="AA63" s="632"/>
      <c r="AB63" s="631"/>
      <c r="AC63" s="631"/>
      <c r="AD63" s="631"/>
      <c r="AE63" s="631"/>
      <c r="AF63" s="632"/>
      <c r="AG63" s="631"/>
      <c r="AH63" s="631"/>
      <c r="AI63" s="631"/>
      <c r="AJ63" s="631"/>
      <c r="AK63" s="633"/>
      <c r="AL63" s="634"/>
      <c r="AM63" s="634"/>
      <c r="AN63" s="634"/>
      <c r="AO63" s="634"/>
      <c r="AP63" s="633"/>
      <c r="AQ63" s="634"/>
      <c r="AR63" s="634"/>
      <c r="AS63" s="634"/>
      <c r="AT63" s="634"/>
      <c r="AU63" s="633"/>
      <c r="AV63" s="635"/>
      <c r="AW63" s="635"/>
      <c r="AX63" s="635"/>
      <c r="AY63" s="635"/>
      <c r="AZ63" s="633"/>
      <c r="BA63" s="635"/>
      <c r="BB63" s="635"/>
      <c r="BC63" s="635"/>
      <c r="BD63" s="635"/>
      <c r="BE63" s="633"/>
      <c r="BF63" s="635"/>
      <c r="BG63" s="635"/>
      <c r="BH63" s="635"/>
      <c r="BI63" s="635"/>
      <c r="BJ63" s="633"/>
      <c r="BK63" s="635"/>
      <c r="BL63" s="635"/>
      <c r="BM63" s="635"/>
      <c r="BN63" s="635"/>
      <c r="BO63" s="633"/>
      <c r="BP63" s="635"/>
      <c r="BQ63" s="635"/>
      <c r="BR63" s="635"/>
      <c r="BS63" s="635"/>
      <c r="BT63" s="633"/>
      <c r="BU63" s="635"/>
      <c r="BV63" s="635"/>
      <c r="BW63" s="635"/>
      <c r="BX63" s="635"/>
      <c r="BY63" s="633"/>
      <c r="BZ63" s="635"/>
      <c r="CA63" s="635"/>
      <c r="CB63" s="635"/>
      <c r="CC63" s="635"/>
      <c r="CD63" s="633"/>
      <c r="CE63" s="627"/>
    </row>
    <row r="64" spans="1:88">
      <c r="A64" s="160"/>
      <c r="B64" s="160"/>
      <c r="C64" s="160"/>
      <c r="D64" s="160"/>
      <c r="E64" s="160"/>
      <c r="F64" s="160"/>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c r="AJ64" s="160"/>
      <c r="AK64" s="160"/>
      <c r="AL64" s="160"/>
      <c r="AM64" s="160"/>
      <c r="AN64" s="160"/>
      <c r="AO64" s="160"/>
      <c r="AP64" s="160"/>
      <c r="AQ64" s="160"/>
      <c r="AR64" s="160"/>
      <c r="AS64" s="160"/>
      <c r="AT64" s="160"/>
      <c r="AU64" s="160"/>
      <c r="AV64" s="160"/>
      <c r="AW64" s="160"/>
      <c r="AX64" s="160"/>
      <c r="AY64" s="160"/>
      <c r="AZ64" s="160"/>
      <c r="BA64" s="160"/>
      <c r="BB64" s="160"/>
      <c r="BC64" s="160"/>
      <c r="BD64" s="160"/>
      <c r="BE64" s="160"/>
      <c r="BF64" s="160"/>
      <c r="BG64" s="160"/>
      <c r="BH64" s="160"/>
      <c r="BI64" s="160"/>
      <c r="BJ64" s="160"/>
      <c r="BK64" s="160"/>
      <c r="BL64" s="160"/>
      <c r="BM64" s="160"/>
      <c r="BN64" s="160"/>
      <c r="BO64" s="160"/>
      <c r="BP64" s="160"/>
      <c r="BQ64" s="160"/>
      <c r="BR64" s="160"/>
      <c r="BS64" s="160"/>
      <c r="BT64" s="160"/>
      <c r="BU64" s="160"/>
      <c r="BV64" s="160"/>
      <c r="BW64" s="160"/>
      <c r="BX64" s="160"/>
      <c r="BY64" s="160"/>
      <c r="BZ64" s="160"/>
      <c r="CA64" s="160"/>
      <c r="CB64" s="160"/>
      <c r="CC64" s="160"/>
      <c r="CD64" s="160"/>
      <c r="CE64" s="160"/>
    </row>
    <row r="65" spans="1:83">
      <c r="A65" s="160"/>
      <c r="B65" s="160"/>
      <c r="C65" s="160"/>
      <c r="D65" s="160"/>
      <c r="E65" s="160"/>
      <c r="F65" s="160"/>
      <c r="G65" s="160"/>
      <c r="H65" s="160"/>
      <c r="I65" s="160"/>
      <c r="J65" s="160"/>
      <c r="K65" s="160"/>
      <c r="L65" s="160"/>
      <c r="M65" s="160"/>
      <c r="N65" s="160"/>
      <c r="O65" s="160"/>
      <c r="P65" s="160"/>
      <c r="Q65" s="160"/>
      <c r="R65" s="160"/>
      <c r="S65" s="160"/>
      <c r="T65" s="160"/>
      <c r="U65" s="160"/>
      <c r="V65" s="160"/>
      <c r="W65" s="160"/>
      <c r="X65" s="160"/>
      <c r="Y65" s="160"/>
      <c r="Z65" s="160"/>
      <c r="AA65" s="160"/>
      <c r="AB65" s="160"/>
      <c r="AC65" s="160"/>
      <c r="AD65" s="160"/>
      <c r="AE65" s="160"/>
      <c r="AF65" s="160"/>
      <c r="AG65" s="160"/>
      <c r="AH65" s="160"/>
      <c r="AI65" s="160"/>
      <c r="AJ65" s="160"/>
      <c r="AK65" s="160"/>
      <c r="AL65" s="160"/>
      <c r="AM65" s="160"/>
      <c r="AN65" s="160"/>
      <c r="AO65" s="160"/>
      <c r="AP65" s="160"/>
      <c r="AQ65" s="160"/>
      <c r="AR65" s="160"/>
      <c r="AS65" s="160"/>
      <c r="AT65" s="160"/>
      <c r="AU65" s="160"/>
      <c r="AV65" s="160"/>
      <c r="AW65" s="160"/>
      <c r="AX65" s="160"/>
      <c r="AY65" s="160"/>
      <c r="AZ65" s="160"/>
      <c r="BA65" s="160"/>
      <c r="BB65" s="160"/>
      <c r="BC65" s="160"/>
      <c r="BD65" s="160"/>
      <c r="BE65" s="160"/>
      <c r="BF65" s="160"/>
      <c r="BG65" s="160"/>
      <c r="BH65" s="636"/>
      <c r="BI65" s="160"/>
      <c r="BJ65" s="636"/>
      <c r="BK65" s="636"/>
      <c r="BL65" s="636"/>
      <c r="BM65" s="636"/>
      <c r="BN65" s="636"/>
      <c r="BO65" s="1275"/>
      <c r="BP65" s="636"/>
      <c r="BQ65" s="636"/>
      <c r="BR65" s="636"/>
      <c r="BS65" s="636"/>
      <c r="BT65" s="160"/>
      <c r="BU65" s="160"/>
      <c r="BV65" s="160"/>
      <c r="BW65" s="160"/>
      <c r="BX65" s="160"/>
      <c r="BY65" s="160"/>
      <c r="BZ65" s="160"/>
      <c r="CA65" s="160"/>
      <c r="CB65" s="160"/>
      <c r="CC65" s="160"/>
      <c r="CD65" s="160"/>
      <c r="CE65" s="160"/>
    </row>
    <row r="66" spans="1:83" ht="15.75">
      <c r="A66" s="620"/>
      <c r="B66" s="637" t="s">
        <v>285</v>
      </c>
      <c r="C66" s="638"/>
      <c r="D66" s="638"/>
      <c r="E66" s="638"/>
      <c r="F66" s="638"/>
      <c r="G66" s="627"/>
      <c r="H66" s="627"/>
      <c r="I66" s="627"/>
      <c r="J66" s="627"/>
      <c r="K66" s="627"/>
      <c r="L66" s="627"/>
      <c r="M66" s="627"/>
      <c r="N66" s="627"/>
      <c r="O66" s="627"/>
      <c r="P66" s="627"/>
      <c r="Q66" s="627"/>
      <c r="R66" s="627"/>
      <c r="S66" s="627"/>
      <c r="T66" s="627"/>
      <c r="U66" s="627"/>
      <c r="V66" s="627"/>
      <c r="W66" s="627"/>
      <c r="X66" s="627"/>
      <c r="Y66" s="627"/>
      <c r="Z66" s="627"/>
      <c r="AA66" s="627"/>
      <c r="AB66" s="627"/>
      <c r="AC66" s="627"/>
      <c r="AD66" s="627"/>
      <c r="AE66" s="627"/>
      <c r="AF66" s="627"/>
      <c r="AG66" s="627"/>
      <c r="AH66" s="627"/>
      <c r="AI66" s="627"/>
      <c r="AJ66" s="627"/>
      <c r="AK66" s="627"/>
      <c r="AL66" s="627"/>
      <c r="AM66" s="627"/>
      <c r="AN66" s="627"/>
      <c r="AO66" s="627"/>
      <c r="AP66" s="627"/>
      <c r="AQ66" s="627"/>
      <c r="AR66" s="627"/>
      <c r="AS66" s="627"/>
      <c r="AT66" s="627"/>
      <c r="AU66" s="627"/>
      <c r="AV66" s="627"/>
      <c r="AW66" s="627"/>
      <c r="AX66" s="627"/>
      <c r="AY66" s="627"/>
      <c r="AZ66" s="627"/>
      <c r="BA66" s="627"/>
      <c r="BB66" s="627"/>
      <c r="BC66" s="627"/>
      <c r="BD66" s="627"/>
      <c r="BE66" s="639"/>
      <c r="BF66" s="627"/>
      <c r="BG66" s="627"/>
      <c r="BH66" s="627"/>
      <c r="BI66" s="627"/>
      <c r="BJ66" s="627"/>
      <c r="BK66" s="627"/>
      <c r="BL66" s="627"/>
      <c r="BM66" s="627"/>
      <c r="BN66" s="627"/>
      <c r="BO66" s="627"/>
      <c r="BP66" s="627"/>
      <c r="BQ66" s="627"/>
      <c r="BR66" s="627"/>
      <c r="BS66" s="627"/>
      <c r="BT66" s="627"/>
      <c r="BU66" s="627"/>
      <c r="BV66" s="627"/>
      <c r="BW66" s="627"/>
      <c r="BX66" s="627"/>
      <c r="BY66" s="627"/>
      <c r="BZ66" s="627"/>
      <c r="CA66" s="627"/>
      <c r="CB66" s="627"/>
      <c r="CC66" s="627"/>
      <c r="CD66" s="627"/>
      <c r="CE66" s="627"/>
    </row>
    <row r="67" spans="1:83">
      <c r="A67" s="620"/>
      <c r="B67" s="640"/>
      <c r="C67" s="641"/>
      <c r="D67" s="641"/>
      <c r="E67" s="641"/>
      <c r="F67" s="641"/>
      <c r="G67" s="642"/>
      <c r="H67" s="641"/>
      <c r="I67" s="641"/>
      <c r="J67" s="641"/>
      <c r="K67" s="641"/>
      <c r="L67" s="642"/>
      <c r="M67" s="641"/>
      <c r="N67" s="641"/>
      <c r="O67" s="641"/>
      <c r="P67" s="641"/>
      <c r="Q67" s="642"/>
      <c r="R67" s="641"/>
      <c r="S67" s="641"/>
      <c r="T67" s="641"/>
      <c r="U67" s="641"/>
      <c r="V67" s="642"/>
      <c r="W67" s="641"/>
      <c r="X67" s="641"/>
      <c r="Y67" s="641"/>
      <c r="Z67" s="641"/>
      <c r="AA67" s="642"/>
      <c r="AB67" s="641"/>
      <c r="AC67" s="641"/>
      <c r="AD67" s="641"/>
      <c r="AE67" s="641"/>
      <c r="AF67" s="642"/>
      <c r="AG67" s="641"/>
      <c r="AH67" s="641"/>
      <c r="AI67" s="641"/>
      <c r="AJ67" s="641"/>
      <c r="AK67" s="642"/>
      <c r="AL67" s="641"/>
      <c r="AM67" s="641"/>
      <c r="AN67" s="641"/>
      <c r="AO67" s="641"/>
      <c r="AP67" s="642"/>
      <c r="AQ67" s="641"/>
      <c r="AR67" s="641"/>
      <c r="AS67" s="641"/>
      <c r="AT67" s="641"/>
      <c r="AU67" s="642"/>
      <c r="AV67" s="643"/>
      <c r="AW67" s="643"/>
      <c r="AX67" s="643"/>
      <c r="AY67" s="643"/>
      <c r="AZ67" s="642"/>
      <c r="BA67" s="643"/>
      <c r="BB67" s="643"/>
      <c r="BC67" s="643"/>
      <c r="BD67" s="643"/>
      <c r="BE67" s="642"/>
      <c r="BF67" s="643"/>
      <c r="BG67" s="643"/>
      <c r="BH67" s="643"/>
      <c r="BI67" s="643"/>
      <c r="BJ67" s="642"/>
      <c r="BK67" s="643"/>
      <c r="BL67" s="643"/>
      <c r="BM67" s="643"/>
      <c r="BN67" s="643"/>
      <c r="BO67" s="642"/>
      <c r="BP67" s="643"/>
      <c r="BQ67" s="643"/>
      <c r="BR67" s="643"/>
      <c r="BS67" s="643"/>
      <c r="BT67" s="642"/>
      <c r="BU67" s="643"/>
      <c r="BV67" s="643"/>
      <c r="BW67" s="643"/>
      <c r="BX67" s="643"/>
      <c r="BY67" s="642"/>
      <c r="BZ67" s="643"/>
      <c r="CA67" s="643"/>
      <c r="CB67" s="643"/>
      <c r="CC67" s="643"/>
      <c r="CD67" s="642"/>
      <c r="CE67" s="627"/>
    </row>
    <row r="68" spans="1:83">
      <c r="A68" s="538"/>
      <c r="B68" s="644" t="s">
        <v>286</v>
      </c>
      <c r="C68" s="645"/>
      <c r="D68" s="645"/>
      <c r="E68" s="645"/>
      <c r="F68" s="645"/>
      <c r="G68" s="646"/>
      <c r="H68" s="645"/>
      <c r="I68" s="645"/>
      <c r="J68" s="645"/>
      <c r="K68" s="645"/>
      <c r="L68" s="646"/>
      <c r="M68" s="645"/>
      <c r="N68" s="645"/>
      <c r="O68" s="645"/>
      <c r="P68" s="645"/>
      <c r="Q68" s="646"/>
      <c r="R68" s="645"/>
      <c r="S68" s="645"/>
      <c r="T68" s="645"/>
      <c r="U68" s="645"/>
      <c r="V68" s="646"/>
      <c r="W68" s="645"/>
      <c r="X68" s="645"/>
      <c r="Y68" s="645"/>
      <c r="Z68" s="645"/>
      <c r="AA68" s="646"/>
      <c r="AB68" s="645"/>
      <c r="AC68" s="645"/>
      <c r="AD68" s="645"/>
      <c r="AE68" s="645"/>
      <c r="AF68" s="646"/>
      <c r="AG68" s="645"/>
      <c r="AH68" s="645"/>
      <c r="AI68" s="645"/>
      <c r="AJ68" s="645"/>
      <c r="AK68" s="647">
        <v>123</v>
      </c>
      <c r="AL68" s="645"/>
      <c r="AM68" s="645"/>
      <c r="AN68" s="645"/>
      <c r="AO68" s="645"/>
      <c r="AP68" s="647">
        <v>143</v>
      </c>
      <c r="AQ68" s="648">
        <v>148</v>
      </c>
      <c r="AR68" s="648">
        <v>152</v>
      </c>
      <c r="AS68" s="648">
        <v>157</v>
      </c>
      <c r="AT68" s="648">
        <v>162</v>
      </c>
      <c r="AU68" s="647">
        <v>162</v>
      </c>
      <c r="AV68" s="197">
        <v>165</v>
      </c>
      <c r="AW68" s="100">
        <v>169</v>
      </c>
      <c r="AX68" s="100">
        <v>175</v>
      </c>
      <c r="AY68" s="100">
        <v>181</v>
      </c>
      <c r="AZ68" s="171">
        <f>+AY68</f>
        <v>181</v>
      </c>
      <c r="BA68" s="100">
        <v>186</v>
      </c>
      <c r="BB68" s="100">
        <v>189</v>
      </c>
      <c r="BC68" s="100">
        <v>194</v>
      </c>
      <c r="BD68" s="100">
        <v>199</v>
      </c>
      <c r="BE68" s="171">
        <f>+BD68</f>
        <v>199</v>
      </c>
      <c r="BF68" s="100">
        <v>205</v>
      </c>
      <c r="BG68" s="100">
        <v>212</v>
      </c>
      <c r="BH68" s="100">
        <v>220</v>
      </c>
      <c r="BI68" s="100">
        <v>229</v>
      </c>
      <c r="BJ68" s="171"/>
      <c r="BK68" s="650">
        <v>237</v>
      </c>
      <c r="BL68" s="650">
        <f>+BK68+6</f>
        <v>243</v>
      </c>
      <c r="BM68" s="650">
        <f>+BL68+6</f>
        <v>249</v>
      </c>
      <c r="BN68" s="650">
        <f>+BM68+6</f>
        <v>255</v>
      </c>
      <c r="BO68" s="171"/>
      <c r="BP68" s="650">
        <f>+BN68+5</f>
        <v>260</v>
      </c>
      <c r="BQ68" s="650">
        <f>+BP68+5</f>
        <v>265</v>
      </c>
      <c r="BR68" s="650">
        <f>+BQ68+5</f>
        <v>270</v>
      </c>
      <c r="BS68" s="650">
        <f>+BR68+5</f>
        <v>275</v>
      </c>
      <c r="BT68" s="171">
        <f>+BS68</f>
        <v>275</v>
      </c>
      <c r="BU68" s="650"/>
      <c r="BV68" s="650"/>
      <c r="BW68" s="650"/>
      <c r="BX68" s="650"/>
      <c r="BY68" s="171"/>
      <c r="BZ68" s="650"/>
      <c r="CA68" s="650"/>
      <c r="CB68" s="650"/>
      <c r="CC68" s="650"/>
      <c r="CD68" s="171"/>
      <c r="CE68" s="601"/>
    </row>
    <row r="69" spans="1:83">
      <c r="A69" s="548"/>
      <c r="B69" s="651" t="s">
        <v>21</v>
      </c>
      <c r="C69" s="173"/>
      <c r="D69" s="173"/>
      <c r="E69" s="173"/>
      <c r="F69" s="173"/>
      <c r="G69" s="549"/>
      <c r="H69" s="173"/>
      <c r="I69" s="173"/>
      <c r="J69" s="173"/>
      <c r="K69" s="173"/>
      <c r="L69" s="549"/>
      <c r="M69" s="173"/>
      <c r="N69" s="173"/>
      <c r="O69" s="173"/>
      <c r="P69" s="173"/>
      <c r="Q69" s="549"/>
      <c r="R69" s="173"/>
      <c r="S69" s="173"/>
      <c r="T69" s="173"/>
      <c r="U69" s="173"/>
      <c r="V69" s="549"/>
      <c r="W69" s="173"/>
      <c r="X69" s="173"/>
      <c r="Y69" s="173"/>
      <c r="Z69" s="173"/>
      <c r="AA69" s="549"/>
      <c r="AB69" s="173"/>
      <c r="AC69" s="173"/>
      <c r="AD69" s="173"/>
      <c r="AE69" s="173"/>
      <c r="AF69" s="549"/>
      <c r="AG69" s="173"/>
      <c r="AH69" s="173"/>
      <c r="AI69" s="173"/>
      <c r="AJ69" s="173"/>
      <c r="AK69" s="549"/>
      <c r="AL69" s="173"/>
      <c r="AM69" s="173"/>
      <c r="AN69" s="173"/>
      <c r="AO69" s="173"/>
      <c r="AP69" s="549">
        <f>IF(ISERROR(AP68/AK68-1), "NM", (AP68/AK68-1))</f>
        <v>0.16260162601626016</v>
      </c>
      <c r="AQ69" s="173"/>
      <c r="AR69" s="173"/>
      <c r="AS69" s="173"/>
      <c r="AT69" s="173"/>
      <c r="AU69" s="549">
        <f>IF(ISERROR(AU68/AP68-1), "NM", (AU68/AP68-1))</f>
        <v>0.13286713286713292</v>
      </c>
      <c r="AV69" s="173">
        <f>AV68/AQ68-1</f>
        <v>0.11486486486486491</v>
      </c>
      <c r="AW69" s="173">
        <f>AW68/AR68-1</f>
        <v>0.11184210526315796</v>
      </c>
      <c r="AX69" s="173">
        <f>AX68/AS68-1</f>
        <v>0.11464968152866239</v>
      </c>
      <c r="AY69" s="173">
        <f>AY68/AT68-1</f>
        <v>0.11728395061728403</v>
      </c>
      <c r="AZ69" s="549"/>
      <c r="BA69" s="173">
        <f>BA68/AV68-1</f>
        <v>0.1272727272727272</v>
      </c>
      <c r="BB69" s="173">
        <f>BB68/AW68-1</f>
        <v>0.11834319526627213</v>
      </c>
      <c r="BC69" s="173">
        <f>BC68/AX68-1</f>
        <v>0.10857142857142854</v>
      </c>
      <c r="BD69" s="173">
        <f>BD68/AY68-1</f>
        <v>9.9447513812154664E-2</v>
      </c>
      <c r="BE69" s="549"/>
      <c r="BF69" s="173">
        <f>BF68/BA68-1</f>
        <v>0.10215053763440851</v>
      </c>
      <c r="BG69" s="173">
        <f>BG68/BB68-1</f>
        <v>0.12169312169312163</v>
      </c>
      <c r="BH69" s="173">
        <f>BH68/BC68-1</f>
        <v>0.134020618556701</v>
      </c>
      <c r="BI69" s="173">
        <f>BI68/BD68-1</f>
        <v>0.15075376884422109</v>
      </c>
      <c r="BJ69" s="549"/>
      <c r="BK69" s="173">
        <f>BK68/BF68-1</f>
        <v>0.15609756097560967</v>
      </c>
      <c r="BL69" s="173"/>
      <c r="BM69" s="173"/>
      <c r="BN69" s="173"/>
      <c r="BO69" s="549"/>
      <c r="BP69" s="173"/>
      <c r="BQ69" s="173"/>
      <c r="BR69" s="173"/>
      <c r="BS69" s="173"/>
      <c r="BT69" s="549"/>
      <c r="BU69" s="173"/>
      <c r="BV69" s="173"/>
      <c r="BW69" s="173"/>
      <c r="BX69" s="173"/>
      <c r="BY69" s="549"/>
      <c r="BZ69" s="173"/>
      <c r="CA69" s="173"/>
      <c r="CB69" s="173"/>
      <c r="CC69" s="173"/>
      <c r="CD69" s="549"/>
    </row>
    <row r="70" spans="1:83" ht="6.75" customHeight="1">
      <c r="A70" s="533"/>
      <c r="B70" s="560"/>
      <c r="C70" s="553"/>
      <c r="D70" s="553"/>
      <c r="E70" s="553"/>
      <c r="F70" s="554"/>
      <c r="G70" s="182"/>
      <c r="H70" s="553"/>
      <c r="I70" s="553"/>
      <c r="J70" s="553"/>
      <c r="K70" s="554"/>
      <c r="L70" s="182"/>
      <c r="M70" s="553"/>
      <c r="N70" s="553"/>
      <c r="O70" s="553"/>
      <c r="P70" s="554"/>
      <c r="Q70" s="182"/>
      <c r="R70" s="553"/>
      <c r="S70" s="553"/>
      <c r="T70" s="553"/>
      <c r="U70" s="554"/>
      <c r="V70" s="182"/>
      <c r="W70" s="553"/>
      <c r="X70" s="553"/>
      <c r="Y70" s="553"/>
      <c r="Z70" s="554"/>
      <c r="AA70" s="182"/>
      <c r="AB70" s="553"/>
      <c r="AC70" s="553"/>
      <c r="AD70" s="553"/>
      <c r="AE70" s="554"/>
      <c r="AF70" s="182"/>
      <c r="AG70" s="553"/>
      <c r="AH70" s="553"/>
      <c r="AI70" s="553"/>
      <c r="AJ70" s="554"/>
      <c r="AK70" s="182"/>
      <c r="AL70" s="553"/>
      <c r="AM70" s="553"/>
      <c r="AN70" s="553"/>
      <c r="AO70" s="554"/>
      <c r="AP70" s="182"/>
      <c r="AQ70" s="553"/>
      <c r="AR70" s="553"/>
      <c r="AS70" s="553"/>
      <c r="AT70" s="554"/>
      <c r="AU70" s="549"/>
      <c r="AV70" s="555"/>
      <c r="AW70" s="555"/>
      <c r="AX70" s="555"/>
      <c r="AY70" s="555"/>
      <c r="AZ70" s="144"/>
      <c r="BA70" s="555"/>
      <c r="BB70" s="555"/>
      <c r="BC70" s="555"/>
      <c r="BD70" s="555"/>
      <c r="BE70" s="182"/>
      <c r="BF70" s="555"/>
      <c r="BG70" s="555"/>
      <c r="BH70" s="555"/>
      <c r="BI70" s="555"/>
      <c r="BJ70" s="182"/>
      <c r="BK70" s="555"/>
      <c r="BL70" s="555"/>
      <c r="BM70" s="555"/>
      <c r="BN70" s="555"/>
      <c r="BO70" s="182"/>
      <c r="BP70" s="555"/>
      <c r="BQ70" s="555"/>
      <c r="BR70" s="555"/>
      <c r="BS70" s="555"/>
      <c r="BT70" s="182"/>
      <c r="BU70" s="555"/>
      <c r="BV70" s="555"/>
      <c r="BW70" s="555"/>
      <c r="BX70" s="555"/>
      <c r="BY70" s="182"/>
      <c r="BZ70" s="555"/>
      <c r="CA70" s="555"/>
      <c r="CB70" s="555"/>
      <c r="CC70" s="555"/>
      <c r="CD70" s="182"/>
      <c r="CE70" s="160"/>
    </row>
    <row r="71" spans="1:83">
      <c r="A71" s="533"/>
      <c r="B71" s="644" t="s">
        <v>287</v>
      </c>
      <c r="C71" s="553"/>
      <c r="D71" s="553"/>
      <c r="E71" s="553"/>
      <c r="F71" s="554"/>
      <c r="G71" s="182"/>
      <c r="H71" s="553"/>
      <c r="I71" s="553"/>
      <c r="J71" s="553"/>
      <c r="K71" s="554"/>
      <c r="L71" s="182"/>
      <c r="M71" s="553"/>
      <c r="N71" s="553"/>
      <c r="O71" s="553"/>
      <c r="P71" s="554"/>
      <c r="Q71" s="182"/>
      <c r="R71" s="553"/>
      <c r="S71" s="553"/>
      <c r="T71" s="553"/>
      <c r="U71" s="554"/>
      <c r="V71" s="182"/>
      <c r="W71" s="553"/>
      <c r="X71" s="553"/>
      <c r="Y71" s="553"/>
      <c r="Z71" s="554"/>
      <c r="AA71" s="182"/>
      <c r="AB71" s="553"/>
      <c r="AC71" s="553"/>
      <c r="AD71" s="553"/>
      <c r="AE71" s="554"/>
      <c r="AF71" s="182"/>
      <c r="AG71" s="553"/>
      <c r="AH71" s="553"/>
      <c r="AI71" s="553"/>
      <c r="AJ71" s="554"/>
      <c r="AK71" s="182"/>
      <c r="AL71" s="553"/>
      <c r="AM71" s="553"/>
      <c r="AN71" s="553"/>
      <c r="AO71" s="554"/>
      <c r="AP71" s="182"/>
      <c r="AQ71" s="652">
        <f t="shared" ref="AQ71:AY71" si="25">+AQ6/AQ68</f>
        <v>362.67567567567568</v>
      </c>
      <c r="AR71" s="652">
        <f t="shared" si="25"/>
        <v>373.26315789473682</v>
      </c>
      <c r="AS71" s="652">
        <f t="shared" si="25"/>
        <v>370.59872611464971</v>
      </c>
      <c r="AT71" s="652">
        <f t="shared" si="25"/>
        <v>407.64814814814815</v>
      </c>
      <c r="AU71" s="653">
        <f t="shared" si="25"/>
        <v>1448.3641975308642</v>
      </c>
      <c r="AV71" s="652">
        <f t="shared" si="25"/>
        <v>381.94545454545454</v>
      </c>
      <c r="AW71" s="652">
        <f t="shared" si="25"/>
        <v>399.30177514792899</v>
      </c>
      <c r="AX71" s="652">
        <f t="shared" si="25"/>
        <v>407.52571428571429</v>
      </c>
      <c r="AY71" s="652">
        <f t="shared" si="25"/>
        <v>459.1270718232044</v>
      </c>
      <c r="AZ71" s="653"/>
      <c r="BA71" s="650">
        <f>+BA6/BA68</f>
        <v>443.86559139784947</v>
      </c>
      <c r="BB71" s="650">
        <f>+BB6/BB68</f>
        <v>464.35449735449737</v>
      </c>
      <c r="BC71" s="650">
        <f>+BC6/BC68</f>
        <v>458.2216494845361</v>
      </c>
      <c r="BD71" s="650">
        <f>+BD6/BD68</f>
        <v>506.0854271356784</v>
      </c>
      <c r="BE71" s="653"/>
      <c r="BF71" s="650">
        <f>+BF6/BF68</f>
        <v>490.92195121951221</v>
      </c>
      <c r="BG71" s="650">
        <f>+BG6/BG68</f>
        <v>508.49056603773585</v>
      </c>
      <c r="BH71" s="650">
        <f>+BH6/BH68</f>
        <v>523.74545454545455</v>
      </c>
      <c r="BI71" s="650">
        <f>+BI6/BI68</f>
        <v>578.6681222707424</v>
      </c>
      <c r="BJ71" s="653"/>
      <c r="BK71" s="650">
        <f>+BK6/BK68</f>
        <v>558.49789029535862</v>
      </c>
      <c r="BL71" s="652"/>
      <c r="BM71" s="652"/>
      <c r="BN71" s="652"/>
      <c r="BO71" s="653"/>
      <c r="BP71" s="652"/>
      <c r="BQ71" s="652"/>
      <c r="BR71" s="652"/>
      <c r="BS71" s="652"/>
      <c r="BT71" s="653"/>
      <c r="BU71" s="652"/>
      <c r="BV71" s="652"/>
      <c r="BW71" s="652"/>
      <c r="BX71" s="652"/>
      <c r="BY71" s="653"/>
      <c r="BZ71" s="652"/>
      <c r="CA71" s="652"/>
      <c r="CB71" s="652"/>
      <c r="CC71" s="652"/>
      <c r="CD71" s="653"/>
      <c r="CE71" s="160"/>
    </row>
    <row r="72" spans="1:83">
      <c r="A72" s="533"/>
      <c r="B72" s="651" t="s">
        <v>21</v>
      </c>
      <c r="C72" s="553"/>
      <c r="D72" s="553"/>
      <c r="E72" s="553"/>
      <c r="F72" s="554"/>
      <c r="G72" s="182"/>
      <c r="H72" s="553"/>
      <c r="I72" s="553"/>
      <c r="J72" s="553"/>
      <c r="K72" s="554"/>
      <c r="L72" s="182"/>
      <c r="M72" s="553"/>
      <c r="N72" s="553"/>
      <c r="O72" s="553"/>
      <c r="P72" s="554"/>
      <c r="Q72" s="182"/>
      <c r="R72" s="553"/>
      <c r="S72" s="553"/>
      <c r="T72" s="553"/>
      <c r="U72" s="554"/>
      <c r="V72" s="182"/>
      <c r="W72" s="553"/>
      <c r="X72" s="553"/>
      <c r="Y72" s="553"/>
      <c r="Z72" s="554"/>
      <c r="AA72" s="182"/>
      <c r="AB72" s="553"/>
      <c r="AC72" s="553"/>
      <c r="AD72" s="553"/>
      <c r="AE72" s="554"/>
      <c r="AF72" s="182"/>
      <c r="AG72" s="553"/>
      <c r="AH72" s="553"/>
      <c r="AI72" s="553"/>
      <c r="AJ72" s="554"/>
      <c r="AK72" s="182"/>
      <c r="AL72" s="553"/>
      <c r="AM72" s="553"/>
      <c r="AN72" s="553"/>
      <c r="AO72" s="554"/>
      <c r="AP72" s="182"/>
      <c r="AQ72" s="553"/>
      <c r="AR72" s="553"/>
      <c r="AS72" s="173"/>
      <c r="AT72" s="173"/>
      <c r="AU72" s="549"/>
      <c r="AV72" s="173">
        <f>+AV71/AQ71-1</f>
        <v>5.313226158296569E-2</v>
      </c>
      <c r="AW72" s="173">
        <f>+AW71/AR71-1</f>
        <v>6.9759408884750629E-2</v>
      </c>
      <c r="AX72" s="173">
        <f>+AX71/AS71-1</f>
        <v>9.9641433089116216E-2</v>
      </c>
      <c r="AY72" s="173">
        <f>+AY71/AT71-1</f>
        <v>0.12628273649448229</v>
      </c>
      <c r="AZ72" s="549"/>
      <c r="BA72" s="173">
        <f>+BA71/AV71-1</f>
        <v>0.16211774774511922</v>
      </c>
      <c r="BB72" s="173">
        <f>+BB71/AW71-1</f>
        <v>0.16291618584081768</v>
      </c>
      <c r="BC72" s="173">
        <f>+BC71/AX71-1</f>
        <v>0.12439935302654082</v>
      </c>
      <c r="BD72" s="173">
        <f>+BD71/AY71-1</f>
        <v>0.10227746999540077</v>
      </c>
      <c r="BE72" s="549"/>
      <c r="BF72" s="173">
        <f>+BF71/BA71-1</f>
        <v>0.10601488543743587</v>
      </c>
      <c r="BG72" s="173">
        <f>+BG71/BB71-1</f>
        <v>9.5048220561421815E-2</v>
      </c>
      <c r="BH72" s="173">
        <f>+BH71/BC71-1</f>
        <v>0.14299587357914589</v>
      </c>
      <c r="BI72" s="173">
        <f>+BI71/BD71-1</f>
        <v>0.14341984819808884</v>
      </c>
      <c r="BJ72" s="549"/>
      <c r="BK72" s="173">
        <f>+BK71/BF71-1</f>
        <v>0.13765108467441567</v>
      </c>
      <c r="BL72" s="173"/>
      <c r="BM72" s="173"/>
      <c r="BN72" s="173"/>
      <c r="BO72" s="549"/>
      <c r="BP72" s="173"/>
      <c r="BQ72" s="173"/>
      <c r="BR72" s="173"/>
      <c r="BS72" s="173"/>
      <c r="BT72" s="549"/>
      <c r="BU72" s="173"/>
      <c r="BV72" s="173"/>
      <c r="BW72" s="173"/>
      <c r="BX72" s="173"/>
      <c r="BY72" s="549"/>
      <c r="BZ72" s="173"/>
      <c r="CA72" s="173"/>
      <c r="CB72" s="173"/>
      <c r="CC72" s="173"/>
      <c r="CD72" s="549"/>
      <c r="CE72" s="160"/>
    </row>
    <row r="73" spans="1:83" ht="6.75" customHeight="1">
      <c r="A73" s="533"/>
      <c r="B73" s="560"/>
      <c r="C73" s="553"/>
      <c r="D73" s="553"/>
      <c r="E73" s="553"/>
      <c r="F73" s="554"/>
      <c r="G73" s="182"/>
      <c r="H73" s="553"/>
      <c r="I73" s="553"/>
      <c r="J73" s="553"/>
      <c r="K73" s="554"/>
      <c r="L73" s="182"/>
      <c r="M73" s="553"/>
      <c r="N73" s="553"/>
      <c r="O73" s="553"/>
      <c r="P73" s="554"/>
      <c r="Q73" s="182"/>
      <c r="R73" s="553"/>
      <c r="S73" s="553"/>
      <c r="T73" s="553"/>
      <c r="U73" s="554"/>
      <c r="V73" s="182"/>
      <c r="W73" s="553"/>
      <c r="X73" s="553"/>
      <c r="Y73" s="553"/>
      <c r="Z73" s="554"/>
      <c r="AA73" s="182"/>
      <c r="AB73" s="553"/>
      <c r="AC73" s="553"/>
      <c r="AD73" s="553"/>
      <c r="AE73" s="554"/>
      <c r="AF73" s="182"/>
      <c r="AG73" s="553"/>
      <c r="AH73" s="553"/>
      <c r="AI73" s="553"/>
      <c r="AJ73" s="554"/>
      <c r="AK73" s="182"/>
      <c r="AL73" s="553"/>
      <c r="AM73" s="553"/>
      <c r="AN73" s="553"/>
      <c r="AO73" s="554"/>
      <c r="AP73" s="182"/>
      <c r="AQ73" s="553"/>
      <c r="AR73" s="553"/>
      <c r="AS73" s="553"/>
      <c r="AT73" s="554"/>
      <c r="AU73" s="549"/>
      <c r="AV73" s="555"/>
      <c r="AW73" s="555"/>
      <c r="AX73" s="555"/>
      <c r="AY73" s="555"/>
      <c r="AZ73" s="144"/>
      <c r="BA73" s="555"/>
      <c r="BB73" s="555"/>
      <c r="BC73" s="555"/>
      <c r="BD73" s="555"/>
      <c r="BE73" s="182"/>
      <c r="BF73" s="555"/>
      <c r="BG73" s="555"/>
      <c r="BH73" s="555"/>
      <c r="BI73" s="555"/>
      <c r="BJ73" s="182"/>
      <c r="BK73" s="555"/>
      <c r="BL73" s="555"/>
      <c r="BM73" s="555"/>
      <c r="BN73" s="555"/>
      <c r="BO73" s="182"/>
      <c r="BP73" s="555"/>
      <c r="BQ73" s="555"/>
      <c r="BR73" s="555"/>
      <c r="BS73" s="555"/>
      <c r="BT73" s="182"/>
      <c r="BU73" s="555"/>
      <c r="BV73" s="555"/>
      <c r="BW73" s="555"/>
      <c r="BX73" s="555"/>
      <c r="BY73" s="182"/>
      <c r="BZ73" s="555"/>
      <c r="CA73" s="555"/>
      <c r="CB73" s="555"/>
      <c r="CC73" s="555"/>
      <c r="CD73" s="182"/>
      <c r="CE73" s="160"/>
    </row>
    <row r="74" spans="1:83">
      <c r="A74" s="538"/>
      <c r="B74" s="644" t="s">
        <v>288</v>
      </c>
      <c r="C74" s="645"/>
      <c r="D74" s="645"/>
      <c r="E74" s="645"/>
      <c r="F74" s="645"/>
      <c r="G74" s="646"/>
      <c r="H74" s="645"/>
      <c r="I74" s="645"/>
      <c r="J74" s="645"/>
      <c r="K74" s="645"/>
      <c r="L74" s="646"/>
      <c r="M74" s="645"/>
      <c r="N74" s="645"/>
      <c r="O74" s="645"/>
      <c r="P74" s="645"/>
      <c r="Q74" s="646"/>
      <c r="R74" s="645"/>
      <c r="S74" s="645"/>
      <c r="T74" s="645"/>
      <c r="U74" s="645"/>
      <c r="V74" s="646"/>
      <c r="W74" s="645"/>
      <c r="X74" s="645"/>
      <c r="Y74" s="645"/>
      <c r="Z74" s="645"/>
      <c r="AA74" s="646"/>
      <c r="AB74" s="645"/>
      <c r="AC74" s="645"/>
      <c r="AD74" s="645"/>
      <c r="AE74" s="645"/>
      <c r="AF74" s="646"/>
      <c r="AG74" s="645"/>
      <c r="AH74" s="645"/>
      <c r="AI74" s="645"/>
      <c r="AJ74" s="645"/>
      <c r="AK74" s="647">
        <v>2663</v>
      </c>
      <c r="AL74" s="645"/>
      <c r="AM74" s="645"/>
      <c r="AN74" s="645"/>
      <c r="AO74" s="645"/>
      <c r="AP74" s="647">
        <v>3261</v>
      </c>
      <c r="AQ74" s="648">
        <v>918</v>
      </c>
      <c r="AR74" s="648">
        <v>930</v>
      </c>
      <c r="AS74" s="654">
        <v>972</v>
      </c>
      <c r="AT74" s="554">
        <v>1144</v>
      </c>
      <c r="AU74" s="647">
        <v>3964</v>
      </c>
      <c r="AV74" s="197">
        <v>1123</v>
      </c>
      <c r="AW74" s="100">
        <v>1161</v>
      </c>
      <c r="AX74" s="100">
        <v>1257</v>
      </c>
      <c r="AY74" s="100">
        <v>1469</v>
      </c>
      <c r="AZ74" s="649">
        <f>SUM(AV74:AY74)</f>
        <v>5010</v>
      </c>
      <c r="BA74" s="100">
        <v>1453</v>
      </c>
      <c r="BB74" s="100">
        <v>1491</v>
      </c>
      <c r="BC74" s="100">
        <v>1555</v>
      </c>
      <c r="BD74" s="100">
        <v>1796</v>
      </c>
      <c r="BE74" s="649">
        <f>SUM(BA74:BD74)</f>
        <v>6295</v>
      </c>
      <c r="BF74" s="100">
        <v>1771</v>
      </c>
      <c r="BG74" s="100">
        <v>1817</v>
      </c>
      <c r="BH74" s="100">
        <v>1941</v>
      </c>
      <c r="BI74" s="100">
        <v>2240</v>
      </c>
      <c r="BJ74" s="649">
        <f>SUM(BF74:BI74)</f>
        <v>7769</v>
      </c>
      <c r="BK74" s="650">
        <v>2214</v>
      </c>
      <c r="BL74" s="650">
        <f t="shared" ref="BL74:BN74" si="26">BG74/BG68*BL68</f>
        <v>2082.6933962264147</v>
      </c>
      <c r="BM74" s="650">
        <f t="shared" si="26"/>
        <v>2196.8590909090908</v>
      </c>
      <c r="BN74" s="650">
        <f t="shared" si="26"/>
        <v>2494.3231441048033</v>
      </c>
      <c r="BO74" s="171"/>
      <c r="BP74" s="650">
        <f>BK74/BK68*BP68</f>
        <v>2428.8607594936707</v>
      </c>
      <c r="BQ74" s="650">
        <f t="shared" ref="BQ74:BS74" si="27">BL74/BL68*BQ68</f>
        <v>2271.25</v>
      </c>
      <c r="BR74" s="650">
        <f t="shared" si="27"/>
        <v>2382.1363636363635</v>
      </c>
      <c r="BS74" s="650">
        <f t="shared" si="27"/>
        <v>2689.9563318777291</v>
      </c>
      <c r="BT74" s="171"/>
      <c r="BU74" s="650"/>
      <c r="BV74" s="650"/>
      <c r="BW74" s="650"/>
      <c r="BX74" s="650"/>
      <c r="BY74" s="171"/>
      <c r="BZ74" s="650"/>
      <c r="CA74" s="650"/>
      <c r="CB74" s="650"/>
      <c r="CC74" s="650"/>
      <c r="CD74" s="171"/>
      <c r="CE74" s="601"/>
    </row>
    <row r="75" spans="1:83">
      <c r="A75" s="548"/>
      <c r="B75" s="651" t="s">
        <v>21</v>
      </c>
      <c r="C75" s="173"/>
      <c r="D75" s="173"/>
      <c r="E75" s="173"/>
      <c r="F75" s="173"/>
      <c r="G75" s="549"/>
      <c r="H75" s="173"/>
      <c r="I75" s="173"/>
      <c r="J75" s="173"/>
      <c r="K75" s="173"/>
      <c r="L75" s="549"/>
      <c r="M75" s="173"/>
      <c r="N75" s="173"/>
      <c r="O75" s="173"/>
      <c r="P75" s="173"/>
      <c r="Q75" s="549"/>
      <c r="R75" s="173"/>
      <c r="S75" s="173"/>
      <c r="T75" s="173"/>
      <c r="U75" s="173"/>
      <c r="V75" s="549"/>
      <c r="W75" s="173"/>
      <c r="X75" s="173"/>
      <c r="Y75" s="173"/>
      <c r="Z75" s="173"/>
      <c r="AA75" s="549"/>
      <c r="AB75" s="173"/>
      <c r="AC75" s="173"/>
      <c r="AD75" s="173"/>
      <c r="AE75" s="173"/>
      <c r="AF75" s="549"/>
      <c r="AG75" s="173"/>
      <c r="AH75" s="173"/>
      <c r="AI75" s="173"/>
      <c r="AJ75" s="173"/>
      <c r="AK75" s="549"/>
      <c r="AL75" s="173"/>
      <c r="AM75" s="173"/>
      <c r="AN75" s="173"/>
      <c r="AO75" s="173"/>
      <c r="AP75" s="549">
        <f>IF(ISERROR(AP74/AK74-1), "NM", (AP74/AK74-1))</f>
        <v>0.22455876830642141</v>
      </c>
      <c r="AQ75" s="173"/>
      <c r="AR75" s="173"/>
      <c r="AS75" s="173"/>
      <c r="AT75" s="173"/>
      <c r="AU75" s="549">
        <f t="shared" ref="AU75:BK75" si="28">IF(ISERROR(AU74/AP74-1), "NM", (AU74/AP74-1))</f>
        <v>0.21557804354492482</v>
      </c>
      <c r="AV75" s="173">
        <f t="shared" si="28"/>
        <v>0.22331154684095855</v>
      </c>
      <c r="AW75" s="173">
        <f t="shared" si="28"/>
        <v>0.24838709677419346</v>
      </c>
      <c r="AX75" s="173">
        <f t="shared" si="28"/>
        <v>0.29320987654320985</v>
      </c>
      <c r="AY75" s="173">
        <f t="shared" si="28"/>
        <v>0.28409090909090917</v>
      </c>
      <c r="AZ75" s="549">
        <f t="shared" si="28"/>
        <v>0.26387487386478314</v>
      </c>
      <c r="BA75" s="173">
        <f t="shared" si="28"/>
        <v>0.29385574354407829</v>
      </c>
      <c r="BB75" s="173">
        <f t="shared" si="28"/>
        <v>0.2842377260981912</v>
      </c>
      <c r="BC75" s="173">
        <f t="shared" si="28"/>
        <v>0.23707239459029439</v>
      </c>
      <c r="BD75" s="173">
        <f t="shared" si="28"/>
        <v>0.22260040844111639</v>
      </c>
      <c r="BE75" s="549"/>
      <c r="BF75" s="173">
        <f t="shared" si="28"/>
        <v>0.21885753613214032</v>
      </c>
      <c r="BG75" s="173">
        <f t="shared" si="28"/>
        <v>0.21864520456069747</v>
      </c>
      <c r="BH75" s="173">
        <f t="shared" si="28"/>
        <v>0.24823151125401921</v>
      </c>
      <c r="BI75" s="173">
        <f t="shared" si="28"/>
        <v>0.24721603563474392</v>
      </c>
      <c r="BJ75" s="549"/>
      <c r="BK75" s="173">
        <f t="shared" si="28"/>
        <v>0.25014116318464152</v>
      </c>
      <c r="BL75" s="173"/>
      <c r="BM75" s="173"/>
      <c r="BN75" s="173"/>
      <c r="BO75" s="549"/>
      <c r="BP75" s="173"/>
      <c r="BQ75" s="173"/>
      <c r="BR75" s="173"/>
      <c r="BS75" s="173"/>
      <c r="BT75" s="549"/>
      <c r="BU75" s="173"/>
      <c r="BV75" s="173"/>
      <c r="BW75" s="173"/>
      <c r="BX75" s="173"/>
      <c r="BY75" s="549"/>
      <c r="BZ75" s="173"/>
      <c r="CA75" s="173"/>
      <c r="CB75" s="173"/>
      <c r="CC75" s="173"/>
      <c r="CD75" s="549"/>
    </row>
    <row r="76" spans="1:83" ht="6.75" customHeight="1">
      <c r="A76" s="533"/>
      <c r="B76" s="560"/>
      <c r="C76" s="553"/>
      <c r="D76" s="553"/>
      <c r="E76" s="553"/>
      <c r="F76" s="554"/>
      <c r="G76" s="182"/>
      <c r="H76" s="553"/>
      <c r="I76" s="553"/>
      <c r="J76" s="553"/>
      <c r="K76" s="554"/>
      <c r="L76" s="182"/>
      <c r="M76" s="553"/>
      <c r="N76" s="553"/>
      <c r="O76" s="553"/>
      <c r="P76" s="554"/>
      <c r="Q76" s="182"/>
      <c r="R76" s="553"/>
      <c r="S76" s="553"/>
      <c r="T76" s="553"/>
      <c r="U76" s="554"/>
      <c r="V76" s="182"/>
      <c r="W76" s="553"/>
      <c r="X76" s="553"/>
      <c r="Y76" s="553"/>
      <c r="Z76" s="554"/>
      <c r="AA76" s="182"/>
      <c r="AB76" s="553"/>
      <c r="AC76" s="553"/>
      <c r="AD76" s="553"/>
      <c r="AE76" s="554"/>
      <c r="AF76" s="182"/>
      <c r="AG76" s="553"/>
      <c r="AH76" s="553"/>
      <c r="AI76" s="553"/>
      <c r="AJ76" s="554"/>
      <c r="AK76" s="182"/>
      <c r="AL76" s="553"/>
      <c r="AM76" s="553"/>
      <c r="AN76" s="553"/>
      <c r="AO76" s="554"/>
      <c r="AP76" s="182"/>
      <c r="AQ76" s="553"/>
      <c r="AR76" s="553"/>
      <c r="AS76" s="553"/>
      <c r="AT76" s="554"/>
      <c r="AU76" s="549"/>
      <c r="AV76" s="555"/>
      <c r="AW76" s="555"/>
      <c r="AX76" s="555"/>
      <c r="AY76" s="555"/>
      <c r="AZ76" s="144"/>
      <c r="BA76" s="555"/>
      <c r="BB76" s="555"/>
      <c r="BC76" s="555"/>
      <c r="BD76" s="555"/>
      <c r="BE76" s="182"/>
      <c r="BF76" s="555"/>
      <c r="BG76" s="555"/>
      <c r="BH76" s="555"/>
      <c r="BI76" s="555"/>
      <c r="BJ76" s="182"/>
      <c r="BK76" s="555"/>
      <c r="BL76" s="555"/>
      <c r="BM76" s="555"/>
      <c r="BN76" s="555"/>
      <c r="BO76" s="182"/>
      <c r="BP76" s="555"/>
      <c r="BQ76" s="555"/>
      <c r="BR76" s="555"/>
      <c r="BS76" s="555"/>
      <c r="BT76" s="182"/>
      <c r="BU76" s="555"/>
      <c r="BV76" s="555"/>
      <c r="BW76" s="555"/>
      <c r="BX76" s="555"/>
      <c r="BY76" s="182"/>
      <c r="BZ76" s="555"/>
      <c r="CA76" s="555"/>
      <c r="CB76" s="555"/>
      <c r="CC76" s="555"/>
      <c r="CD76" s="182"/>
      <c r="CE76" s="160"/>
    </row>
    <row r="77" spans="1:83">
      <c r="A77" s="538"/>
      <c r="B77" s="644" t="s">
        <v>289</v>
      </c>
      <c r="C77" s="645"/>
      <c r="D77" s="645"/>
      <c r="E77" s="645"/>
      <c r="F77" s="645"/>
      <c r="G77" s="655"/>
      <c r="H77" s="645"/>
      <c r="I77" s="645"/>
      <c r="J77" s="645"/>
      <c r="K77" s="645"/>
      <c r="L77" s="655"/>
      <c r="M77" s="645"/>
      <c r="N77" s="645"/>
      <c r="O77" s="645"/>
      <c r="P77" s="645"/>
      <c r="Q77" s="655"/>
      <c r="R77" s="645"/>
      <c r="S77" s="645"/>
      <c r="T77" s="645"/>
      <c r="U77" s="645"/>
      <c r="V77" s="655"/>
      <c r="W77" s="645"/>
      <c r="X77" s="645"/>
      <c r="Y77" s="645"/>
      <c r="Z77" s="645"/>
      <c r="AA77" s="655"/>
      <c r="AB77" s="645"/>
      <c r="AC77" s="645"/>
      <c r="AD77" s="645"/>
      <c r="AE77" s="645"/>
      <c r="AF77" s="655"/>
      <c r="AG77" s="645"/>
      <c r="AH77" s="645"/>
      <c r="AI77" s="645"/>
      <c r="AJ77" s="645"/>
      <c r="AK77" s="171">
        <f>IF(ISERROR(AK74/AK68),"NM",AK74/AK68)</f>
        <v>21.650406504065042</v>
      </c>
      <c r="AL77" s="645"/>
      <c r="AM77" s="645"/>
      <c r="AN77" s="645"/>
      <c r="AO77" s="645"/>
      <c r="AP77" s="171">
        <f t="shared" ref="AP77:AY77" si="29">IF(ISERROR(AP74/AP68),"NM",AP74/AP68)</f>
        <v>22.804195804195803</v>
      </c>
      <c r="AQ77" s="650">
        <f t="shared" si="29"/>
        <v>6.2027027027027026</v>
      </c>
      <c r="AR77" s="650">
        <f t="shared" si="29"/>
        <v>6.1184210526315788</v>
      </c>
      <c r="AS77" s="650">
        <f t="shared" si="29"/>
        <v>6.1910828025477711</v>
      </c>
      <c r="AT77" s="650">
        <f t="shared" si="29"/>
        <v>7.0617283950617287</v>
      </c>
      <c r="AU77" s="171">
        <f t="shared" si="29"/>
        <v>24.469135802469136</v>
      </c>
      <c r="AV77" s="650">
        <f t="shared" si="29"/>
        <v>6.8060606060606057</v>
      </c>
      <c r="AW77" s="650">
        <f t="shared" si="29"/>
        <v>6.8698224852071004</v>
      </c>
      <c r="AX77" s="650">
        <f t="shared" si="29"/>
        <v>7.1828571428571433</v>
      </c>
      <c r="AY77" s="650">
        <f t="shared" si="29"/>
        <v>8.1160220994475143</v>
      </c>
      <c r="AZ77" s="171">
        <f t="shared" ref="AZ77:BH77" si="30">IF(ISERROR(AZ74/AZ68),"NM",AZ74/AZ68)</f>
        <v>27.679558011049725</v>
      </c>
      <c r="BA77" s="650">
        <f t="shared" si="30"/>
        <v>7.811827956989247</v>
      </c>
      <c r="BB77" s="650">
        <f t="shared" si="30"/>
        <v>7.8888888888888893</v>
      </c>
      <c r="BC77" s="650">
        <f t="shared" si="30"/>
        <v>8.0154639175257731</v>
      </c>
      <c r="BD77" s="650">
        <f t="shared" si="30"/>
        <v>9.0251256281407031</v>
      </c>
      <c r="BE77" s="171">
        <f>IF(ISERROR(BE74/BE68),"NM",BE74/BE68)</f>
        <v>31.633165829145728</v>
      </c>
      <c r="BF77" s="650">
        <f t="shared" si="30"/>
        <v>8.6390243902439021</v>
      </c>
      <c r="BG77" s="650">
        <f t="shared" si="30"/>
        <v>8.5707547169811313</v>
      </c>
      <c r="BH77" s="650">
        <f t="shared" si="30"/>
        <v>8.8227272727272723</v>
      </c>
      <c r="BI77" s="650">
        <f>IF(ISERROR(BI74/BI68),"NM",BI74/BI68)</f>
        <v>9.7816593886462879</v>
      </c>
      <c r="BJ77" s="171">
        <f>+BE77*1.12</f>
        <v>35.429145728643221</v>
      </c>
      <c r="BK77" s="650">
        <f t="shared" ref="BK77" si="31">IF(ISERROR(BK74/BK68),"NM",BK74/BK68)</f>
        <v>9.3417721518987342</v>
      </c>
      <c r="BL77" s="650"/>
      <c r="BM77" s="650"/>
      <c r="BN77" s="650"/>
      <c r="BO77" s="171">
        <f>+BJ77*1.12</f>
        <v>39.680643216080412</v>
      </c>
      <c r="BP77" s="650"/>
      <c r="BQ77" s="650"/>
      <c r="BR77" s="650"/>
      <c r="BS77" s="650"/>
      <c r="BT77" s="171">
        <f>+BO77*1.12</f>
        <v>44.442320402010068</v>
      </c>
      <c r="BU77" s="650"/>
      <c r="BV77" s="650"/>
      <c r="BW77" s="650"/>
      <c r="BX77" s="650"/>
      <c r="BY77" s="171"/>
      <c r="BZ77" s="650"/>
      <c r="CA77" s="650"/>
      <c r="CB77" s="650"/>
      <c r="CC77" s="650"/>
      <c r="CD77" s="171"/>
      <c r="CE77" s="601"/>
    </row>
    <row r="78" spans="1:83">
      <c r="A78" s="548"/>
      <c r="B78" s="656" t="s">
        <v>21</v>
      </c>
      <c r="C78" s="173"/>
      <c r="D78" s="173"/>
      <c r="E78" s="173"/>
      <c r="F78" s="173"/>
      <c r="G78" s="549"/>
      <c r="H78" s="173"/>
      <c r="I78" s="173"/>
      <c r="J78" s="173"/>
      <c r="K78" s="173"/>
      <c r="L78" s="549"/>
      <c r="M78" s="173"/>
      <c r="N78" s="173"/>
      <c r="O78" s="173"/>
      <c r="P78" s="173"/>
      <c r="Q78" s="549"/>
      <c r="R78" s="173"/>
      <c r="S78" s="173"/>
      <c r="T78" s="173"/>
      <c r="U78" s="173"/>
      <c r="V78" s="549"/>
      <c r="W78" s="173"/>
      <c r="X78" s="173"/>
      <c r="Y78" s="173"/>
      <c r="Z78" s="173"/>
      <c r="AA78" s="549"/>
      <c r="AB78" s="173"/>
      <c r="AC78" s="173"/>
      <c r="AD78" s="173"/>
      <c r="AE78" s="173"/>
      <c r="AF78" s="549"/>
      <c r="AG78" s="173"/>
      <c r="AH78" s="173"/>
      <c r="AI78" s="173"/>
      <c r="AJ78" s="173"/>
      <c r="AK78" s="549"/>
      <c r="AL78" s="173"/>
      <c r="AM78" s="173"/>
      <c r="AN78" s="173"/>
      <c r="AO78" s="173"/>
      <c r="AP78" s="549">
        <f>IF(ISERROR(AP77/AK77-1), "NM", (AP77/AK77-1))</f>
        <v>5.329180770412445E-2</v>
      </c>
      <c r="AQ78" s="173"/>
      <c r="AR78" s="173"/>
      <c r="AS78" s="173"/>
      <c r="AT78" s="173"/>
      <c r="AU78" s="549">
        <f>IF(ISERROR(AU77/AP77-1), "NM", (AU77/AP77-1))</f>
        <v>7.3010248314347326E-2</v>
      </c>
      <c r="AV78" s="173">
        <f>AV77/AQ77-1</f>
        <v>9.7273387469465789E-2</v>
      </c>
      <c r="AW78" s="173">
        <f>AW77/AR77-1</f>
        <v>0.12280969650696694</v>
      </c>
      <c r="AX78" s="173">
        <f>AX77/AS77-1</f>
        <v>0.16019400352733681</v>
      </c>
      <c r="AY78" s="173">
        <f>AY77/AT77-1</f>
        <v>0.14929683576092412</v>
      </c>
      <c r="AZ78" s="549"/>
      <c r="BA78" s="173">
        <f>BA77/AV77-1</f>
        <v>0.14777525636974698</v>
      </c>
      <c r="BB78" s="173">
        <f>BB77/AW77-1</f>
        <v>0.14833955402430865</v>
      </c>
      <c r="BC78" s="173">
        <f>BC77/AX77-1</f>
        <v>0.11591581986237887</v>
      </c>
      <c r="BD78" s="173">
        <f>BD77/AY77-1</f>
        <v>0.11201343682332676</v>
      </c>
      <c r="BE78" s="549">
        <f>+BE77/AZ77-1</f>
        <v>0.14283493314877771</v>
      </c>
      <c r="BF78" s="173">
        <f>BF77/BA77-1</f>
        <v>0.10589025229550297</v>
      </c>
      <c r="BG78" s="173">
        <f>BG77/BB77-1</f>
        <v>8.6433696518734893E-2</v>
      </c>
      <c r="BH78" s="173">
        <f>BH77/BC77-1</f>
        <v>0.10071324174218055</v>
      </c>
      <c r="BI78" s="173">
        <f>BI77/BD77-1</f>
        <v>8.3825288608358139E-2</v>
      </c>
      <c r="BJ78" s="549">
        <f>+BJ77/BE77-1</f>
        <v>0.12000000000000011</v>
      </c>
      <c r="BK78" s="173">
        <f>BK77/BF77-1</f>
        <v>8.1345731868571747E-2</v>
      </c>
      <c r="BL78" s="173"/>
      <c r="BM78" s="173"/>
      <c r="BN78" s="173"/>
      <c r="BO78" s="549"/>
      <c r="BP78" s="173"/>
      <c r="BQ78" s="173"/>
      <c r="BR78" s="173"/>
      <c r="BS78" s="173"/>
      <c r="BT78" s="549"/>
      <c r="BU78" s="173"/>
      <c r="BV78" s="173"/>
      <c r="BW78" s="173"/>
      <c r="BX78" s="173"/>
      <c r="BY78" s="549"/>
      <c r="BZ78" s="173"/>
      <c r="CA78" s="173"/>
      <c r="CB78" s="173"/>
      <c r="CC78" s="173"/>
      <c r="CD78" s="549"/>
    </row>
    <row r="79" spans="1:83">
      <c r="A79" s="129"/>
      <c r="B79" s="656" t="s">
        <v>290</v>
      </c>
      <c r="C79" s="173"/>
      <c r="D79" s="173"/>
      <c r="E79" s="173"/>
      <c r="F79" s="173"/>
      <c r="G79" s="549"/>
      <c r="H79" s="173"/>
      <c r="I79" s="173"/>
      <c r="J79" s="173"/>
      <c r="K79" s="173"/>
      <c r="L79" s="549"/>
      <c r="M79" s="173"/>
      <c r="N79" s="173"/>
      <c r="O79" s="173"/>
      <c r="P79" s="173"/>
      <c r="Q79" s="549"/>
      <c r="R79" s="173"/>
      <c r="S79" s="173"/>
      <c r="T79" s="173"/>
      <c r="U79" s="173"/>
      <c r="V79" s="549"/>
      <c r="W79" s="173"/>
      <c r="X79" s="173"/>
      <c r="Y79" s="173"/>
      <c r="Z79" s="173"/>
      <c r="AA79" s="549"/>
      <c r="AB79" s="173"/>
      <c r="AC79" s="173"/>
      <c r="AD79" s="173"/>
      <c r="AE79" s="173"/>
      <c r="AF79" s="549"/>
      <c r="AG79" s="173"/>
      <c r="AH79" s="173"/>
      <c r="AI79" s="173"/>
      <c r="AJ79" s="173"/>
      <c r="AK79" s="549"/>
      <c r="AL79" s="173"/>
      <c r="AM79" s="173"/>
      <c r="AN79" s="173"/>
      <c r="AO79" s="173"/>
      <c r="AP79" s="549"/>
      <c r="AQ79" s="173"/>
      <c r="AR79" s="173"/>
      <c r="AS79" s="173"/>
      <c r="AT79" s="173"/>
      <c r="AU79" s="549"/>
      <c r="AV79" s="173"/>
      <c r="AW79" s="173"/>
      <c r="AX79" s="173"/>
      <c r="AY79" s="173"/>
      <c r="AZ79" s="549"/>
      <c r="BA79" s="173"/>
      <c r="BB79" s="173"/>
      <c r="BC79" s="173"/>
      <c r="BD79" s="173"/>
      <c r="BE79" s="549"/>
      <c r="BF79" s="173"/>
      <c r="BG79" s="173"/>
      <c r="BH79" s="173"/>
      <c r="BI79" s="173"/>
      <c r="BJ79" s="549"/>
      <c r="BK79" s="173"/>
      <c r="BL79" s="173"/>
      <c r="BM79" s="173"/>
      <c r="BN79" s="173"/>
      <c r="BO79" s="549"/>
      <c r="BP79" s="173"/>
      <c r="BQ79" s="173"/>
      <c r="BR79" s="173"/>
      <c r="BS79" s="173"/>
      <c r="BT79" s="549"/>
      <c r="BU79" s="173"/>
      <c r="BV79" s="173"/>
      <c r="BW79" s="173"/>
      <c r="BX79" s="173"/>
      <c r="BY79" s="549"/>
      <c r="BZ79" s="173"/>
      <c r="CA79" s="173"/>
      <c r="CB79" s="173"/>
      <c r="CC79" s="173"/>
      <c r="CD79" s="549"/>
    </row>
    <row r="80" spans="1:83">
      <c r="A80" s="129"/>
      <c r="B80" s="656" t="s">
        <v>291</v>
      </c>
      <c r="C80" s="173"/>
      <c r="D80" s="173"/>
      <c r="E80" s="173"/>
      <c r="F80" s="173"/>
      <c r="G80" s="549"/>
      <c r="H80" s="173"/>
      <c r="I80" s="173"/>
      <c r="J80" s="173"/>
      <c r="K80" s="173"/>
      <c r="L80" s="549"/>
      <c r="M80" s="173"/>
      <c r="N80" s="173"/>
      <c r="O80" s="173"/>
      <c r="P80" s="173"/>
      <c r="Q80" s="549"/>
      <c r="R80" s="173"/>
      <c r="S80" s="173"/>
      <c r="T80" s="173"/>
      <c r="U80" s="173"/>
      <c r="V80" s="549"/>
      <c r="W80" s="173"/>
      <c r="X80" s="173"/>
      <c r="Y80" s="173"/>
      <c r="Z80" s="173"/>
      <c r="AA80" s="549"/>
      <c r="AB80" s="173"/>
      <c r="AC80" s="173"/>
      <c r="AD80" s="173"/>
      <c r="AE80" s="173"/>
      <c r="AF80" s="549"/>
      <c r="AG80" s="173"/>
      <c r="AH80" s="173"/>
      <c r="AI80" s="173"/>
      <c r="AJ80" s="173"/>
      <c r="AK80" s="549"/>
      <c r="AL80" s="173"/>
      <c r="AM80" s="173"/>
      <c r="AN80" s="173"/>
      <c r="AO80" s="173"/>
      <c r="AP80" s="549"/>
      <c r="AQ80" s="173"/>
      <c r="AR80" s="173"/>
      <c r="AS80" s="173"/>
      <c r="AT80" s="173"/>
      <c r="AU80" s="549"/>
      <c r="AV80" s="173"/>
      <c r="AW80" s="173"/>
      <c r="AX80" s="173"/>
      <c r="AY80" s="173"/>
      <c r="AZ80" s="549"/>
      <c r="BA80" s="173"/>
      <c r="BB80" s="173"/>
      <c r="BC80" s="173"/>
      <c r="BD80" s="173"/>
      <c r="BE80" s="549"/>
      <c r="BF80" s="550"/>
      <c r="BG80" s="550"/>
      <c r="BH80" s="550"/>
      <c r="BI80" s="173"/>
      <c r="BJ80" s="549"/>
      <c r="BK80" s="173"/>
      <c r="BL80" s="173"/>
      <c r="BM80" s="173"/>
      <c r="BN80" s="173"/>
      <c r="BO80" s="549"/>
      <c r="BP80" s="173"/>
      <c r="BQ80" s="173"/>
      <c r="BR80" s="173"/>
      <c r="BS80" s="173"/>
      <c r="BT80" s="549"/>
      <c r="BU80" s="173"/>
      <c r="BV80" s="173"/>
      <c r="BW80" s="173"/>
      <c r="BX80" s="173"/>
      <c r="BY80" s="549"/>
      <c r="BZ80" s="173"/>
      <c r="CA80" s="173"/>
      <c r="CB80" s="173"/>
      <c r="CC80" s="173"/>
      <c r="CD80" s="549"/>
    </row>
    <row r="81" spans="1:83">
      <c r="A81" s="129"/>
      <c r="B81" s="644" t="s">
        <v>292</v>
      </c>
      <c r="C81" s="173"/>
      <c r="D81" s="173"/>
      <c r="E81" s="173"/>
      <c r="F81" s="173"/>
      <c r="G81" s="549"/>
      <c r="H81" s="173"/>
      <c r="I81" s="173"/>
      <c r="J81" s="173"/>
      <c r="K81" s="173"/>
      <c r="L81" s="549"/>
      <c r="M81" s="173"/>
      <c r="N81" s="173"/>
      <c r="O81" s="173"/>
      <c r="P81" s="173"/>
      <c r="Q81" s="549"/>
      <c r="R81" s="173"/>
      <c r="S81" s="173"/>
      <c r="T81" s="173"/>
      <c r="U81" s="173"/>
      <c r="V81" s="549"/>
      <c r="W81" s="173"/>
      <c r="X81" s="173"/>
      <c r="Y81" s="173"/>
      <c r="Z81" s="173"/>
      <c r="AA81" s="549"/>
      <c r="AB81" s="173"/>
      <c r="AC81" s="173"/>
      <c r="AD81" s="173"/>
      <c r="AE81" s="173"/>
      <c r="AF81" s="549"/>
      <c r="AG81" s="173"/>
      <c r="AH81" s="173"/>
      <c r="AI81" s="173"/>
      <c r="AJ81" s="173"/>
      <c r="AK81" s="549"/>
      <c r="AL81" s="173"/>
      <c r="AM81" s="173"/>
      <c r="AN81" s="173"/>
      <c r="AO81" s="173"/>
      <c r="AP81" s="549"/>
      <c r="AQ81" s="173"/>
      <c r="AR81" s="173"/>
      <c r="AS81" s="173"/>
      <c r="AT81" s="173"/>
      <c r="AU81" s="549"/>
      <c r="AV81" s="318"/>
      <c r="AW81" s="318">
        <v>26.1</v>
      </c>
      <c r="AX81" s="318">
        <v>27.5</v>
      </c>
      <c r="AY81" s="318">
        <v>28.1</v>
      </c>
      <c r="AZ81" s="583"/>
      <c r="BA81" s="582">
        <v>29</v>
      </c>
      <c r="BB81" s="582">
        <v>29.9</v>
      </c>
      <c r="BC81" s="582">
        <v>30.8</v>
      </c>
      <c r="BD81" s="582">
        <v>31.6</v>
      </c>
      <c r="BE81" s="549"/>
      <c r="BF81" s="582">
        <v>32.200000000000003</v>
      </c>
      <c r="BG81" s="582">
        <v>32.799999999999997</v>
      </c>
      <c r="BH81" s="582">
        <v>33.299999999999997</v>
      </c>
      <c r="BI81" s="582">
        <v>34</v>
      </c>
      <c r="BJ81" s="549"/>
      <c r="BK81" s="582">
        <v>34.700000000000003</v>
      </c>
      <c r="BL81" s="173"/>
      <c r="BM81" s="173"/>
      <c r="BN81" s="173"/>
      <c r="BO81" s="549"/>
      <c r="BP81" s="173"/>
      <c r="BQ81" s="173"/>
      <c r="BR81" s="173"/>
      <c r="BS81" s="173"/>
      <c r="BT81" s="549"/>
      <c r="BU81" s="173"/>
      <c r="BV81" s="173"/>
      <c r="BW81" s="173"/>
      <c r="BX81" s="173"/>
      <c r="BY81" s="549"/>
      <c r="BZ81" s="173"/>
      <c r="CA81" s="173"/>
      <c r="CB81" s="173"/>
      <c r="CC81" s="173"/>
      <c r="CD81" s="549"/>
    </row>
    <row r="82" spans="1:83">
      <c r="A82" s="129"/>
      <c r="B82" s="644"/>
      <c r="C82" s="173"/>
      <c r="D82" s="173"/>
      <c r="E82" s="173"/>
      <c r="F82" s="173"/>
      <c r="G82" s="549"/>
      <c r="H82" s="173"/>
      <c r="I82" s="173"/>
      <c r="J82" s="173"/>
      <c r="K82" s="173"/>
      <c r="L82" s="549"/>
      <c r="M82" s="173"/>
      <c r="N82" s="173"/>
      <c r="O82" s="173"/>
      <c r="P82" s="173"/>
      <c r="Q82" s="549"/>
      <c r="R82" s="173"/>
      <c r="S82" s="173"/>
      <c r="T82" s="173"/>
      <c r="U82" s="173"/>
      <c r="V82" s="549"/>
      <c r="W82" s="173"/>
      <c r="X82" s="173"/>
      <c r="Y82" s="173"/>
      <c r="Z82" s="173"/>
      <c r="AA82" s="549"/>
      <c r="AB82" s="173"/>
      <c r="AC82" s="173"/>
      <c r="AD82" s="173"/>
      <c r="AE82" s="173"/>
      <c r="AF82" s="549"/>
      <c r="AG82" s="173"/>
      <c r="AH82" s="173"/>
      <c r="AI82" s="173"/>
      <c r="AJ82" s="173"/>
      <c r="AK82" s="549"/>
      <c r="AL82" s="173"/>
      <c r="AM82" s="173"/>
      <c r="AN82" s="173"/>
      <c r="AO82" s="173"/>
      <c r="AP82" s="549"/>
      <c r="AQ82" s="173"/>
      <c r="AR82" s="173"/>
      <c r="AS82" s="173"/>
      <c r="AT82" s="173"/>
      <c r="AU82" s="549"/>
      <c r="AV82" s="318"/>
      <c r="AW82" s="318"/>
      <c r="AX82" s="318"/>
      <c r="AY82" s="318"/>
      <c r="AZ82" s="583"/>
      <c r="BA82" s="582"/>
      <c r="BB82" s="582"/>
      <c r="BC82" s="582"/>
      <c r="BD82" s="582"/>
      <c r="BE82" s="549"/>
      <c r="BF82" s="582"/>
      <c r="BG82" s="582"/>
      <c r="BH82" s="582"/>
      <c r="BI82" s="582"/>
      <c r="BJ82" s="549"/>
      <c r="BK82" s="582"/>
      <c r="BL82" s="173"/>
      <c r="BM82" s="173"/>
      <c r="BN82" s="173"/>
      <c r="BO82" s="549"/>
      <c r="BP82" s="173"/>
      <c r="BQ82" s="173"/>
      <c r="BR82" s="173"/>
      <c r="BS82" s="173"/>
      <c r="BT82" s="549"/>
      <c r="BU82" s="173"/>
      <c r="BV82" s="173"/>
      <c r="BW82" s="173"/>
      <c r="BX82" s="173"/>
      <c r="BY82" s="549"/>
      <c r="BZ82" s="173"/>
      <c r="CA82" s="173"/>
      <c r="CB82" s="173"/>
      <c r="CC82" s="173"/>
      <c r="CD82" s="549"/>
    </row>
    <row r="83" spans="1:83">
      <c r="A83" s="657"/>
      <c r="B83" s="239" t="s">
        <v>293</v>
      </c>
      <c r="C83" s="101"/>
      <c r="D83" s="101"/>
      <c r="E83" s="101"/>
      <c r="F83" s="101"/>
      <c r="G83" s="658"/>
      <c r="H83" s="101"/>
      <c r="I83" s="101"/>
      <c r="J83" s="101"/>
      <c r="K83" s="101"/>
      <c r="L83" s="658"/>
      <c r="M83" s="101"/>
      <c r="N83" s="101"/>
      <c r="O83" s="101"/>
      <c r="P83" s="101"/>
      <c r="Q83" s="658"/>
      <c r="R83" s="101"/>
      <c r="S83" s="101"/>
      <c r="T83" s="101"/>
      <c r="U83" s="101"/>
      <c r="V83" s="658"/>
      <c r="W83" s="101"/>
      <c r="X83" s="101"/>
      <c r="Y83" s="101"/>
      <c r="Z83" s="101"/>
      <c r="AA83" s="658"/>
      <c r="AB83" s="101"/>
      <c r="AC83" s="101"/>
      <c r="AD83" s="101"/>
      <c r="AE83" s="101"/>
      <c r="AF83" s="658"/>
      <c r="AG83" s="101"/>
      <c r="AH83" s="101"/>
      <c r="AI83" s="101"/>
      <c r="AJ83" s="101"/>
      <c r="AK83" s="658"/>
      <c r="AL83" s="101"/>
      <c r="AM83" s="101"/>
      <c r="AN83" s="101"/>
      <c r="AO83" s="101"/>
      <c r="AP83" s="658"/>
      <c r="AQ83" s="101"/>
      <c r="AR83" s="101"/>
      <c r="AS83" s="101"/>
      <c r="AT83" s="101"/>
      <c r="AU83" s="658"/>
      <c r="AV83" s="659"/>
      <c r="AW83" s="659"/>
      <c r="AX83" s="660">
        <v>1</v>
      </c>
      <c r="AY83" s="660"/>
      <c r="AZ83" s="658"/>
      <c r="BA83" s="659"/>
      <c r="BB83" s="659"/>
      <c r="BC83" s="660">
        <v>4</v>
      </c>
      <c r="BD83" s="660">
        <v>5</v>
      </c>
      <c r="BE83" s="663"/>
      <c r="BF83" s="660">
        <v>5</v>
      </c>
      <c r="BG83" s="660">
        <v>5.6</v>
      </c>
      <c r="BH83" s="660">
        <v>6</v>
      </c>
      <c r="BI83" s="660">
        <v>8</v>
      </c>
      <c r="BJ83" s="658"/>
      <c r="BK83" s="660">
        <v>8.6</v>
      </c>
      <c r="BL83" s="659"/>
      <c r="BM83" s="659"/>
      <c r="BN83" s="659"/>
      <c r="BO83" s="658"/>
      <c r="BP83" s="659"/>
      <c r="BQ83" s="659"/>
      <c r="BR83" s="659"/>
      <c r="BS83" s="659"/>
      <c r="BT83" s="658"/>
      <c r="BU83" s="659"/>
      <c r="BV83" s="659"/>
      <c r="BW83" s="659"/>
      <c r="BX83" s="659"/>
      <c r="BY83" s="658"/>
      <c r="BZ83" s="659"/>
      <c r="CA83" s="659"/>
      <c r="CB83" s="659"/>
      <c r="CC83" s="659"/>
      <c r="CD83" s="658"/>
      <c r="CE83" s="662"/>
    </row>
    <row r="84" spans="1:83">
      <c r="A84" s="657"/>
      <c r="B84" s="239" t="s">
        <v>294</v>
      </c>
      <c r="C84" s="101"/>
      <c r="D84" s="101"/>
      <c r="E84" s="101"/>
      <c r="F84" s="101"/>
      <c r="G84" s="658"/>
      <c r="H84" s="101"/>
      <c r="I84" s="101"/>
      <c r="J84" s="101"/>
      <c r="K84" s="101"/>
      <c r="L84" s="658"/>
      <c r="M84" s="101"/>
      <c r="N84" s="101"/>
      <c r="O84" s="101"/>
      <c r="P84" s="101"/>
      <c r="Q84" s="658"/>
      <c r="R84" s="101"/>
      <c r="S84" s="101"/>
      <c r="T84" s="101"/>
      <c r="U84" s="101"/>
      <c r="V84" s="658"/>
      <c r="W84" s="101"/>
      <c r="X84" s="101"/>
      <c r="Y84" s="101"/>
      <c r="Z84" s="101"/>
      <c r="AA84" s="658"/>
      <c r="AB84" s="101"/>
      <c r="AC84" s="101"/>
      <c r="AD84" s="101"/>
      <c r="AE84" s="101"/>
      <c r="AF84" s="658"/>
      <c r="AG84" s="101"/>
      <c r="AH84" s="101"/>
      <c r="AI84" s="101"/>
      <c r="AJ84" s="101"/>
      <c r="AK84" s="663"/>
      <c r="AL84" s="101"/>
      <c r="AM84" s="101"/>
      <c r="AN84" s="101"/>
      <c r="AO84" s="101"/>
      <c r="AP84" s="663"/>
      <c r="AQ84" s="101"/>
      <c r="AR84" s="101"/>
      <c r="AS84" s="101"/>
      <c r="AT84" s="101"/>
      <c r="AU84" s="658"/>
      <c r="AV84" s="659"/>
      <c r="AW84" s="659"/>
      <c r="AX84" s="660">
        <v>7</v>
      </c>
      <c r="AY84" s="660"/>
      <c r="AZ84" s="658"/>
      <c r="BA84" s="659"/>
      <c r="BB84" s="659"/>
      <c r="BC84" s="661">
        <v>32</v>
      </c>
      <c r="BD84" s="661">
        <v>40</v>
      </c>
      <c r="BE84" s="658"/>
      <c r="BF84" s="661">
        <v>53</v>
      </c>
      <c r="BG84" s="661">
        <v>61</v>
      </c>
      <c r="BH84" s="661">
        <v>70</v>
      </c>
      <c r="BI84" s="661">
        <v>80</v>
      </c>
      <c r="BJ84" s="658"/>
      <c r="BK84" s="661">
        <v>92</v>
      </c>
      <c r="BL84" s="659"/>
      <c r="BM84" s="659"/>
      <c r="BN84" s="659"/>
      <c r="BO84" s="658"/>
      <c r="BP84" s="659"/>
      <c r="BQ84" s="659"/>
      <c r="BR84" s="659"/>
      <c r="BS84" s="659"/>
      <c r="BT84" s="658"/>
      <c r="BU84" s="659"/>
      <c r="BV84" s="659"/>
      <c r="BW84" s="659"/>
      <c r="BX84" s="659"/>
      <c r="BY84" s="658"/>
      <c r="BZ84" s="659"/>
      <c r="CA84" s="659"/>
      <c r="CB84" s="659"/>
      <c r="CC84" s="659"/>
      <c r="CD84" s="658"/>
      <c r="CE84" s="662"/>
    </row>
    <row r="85" spans="1:83">
      <c r="A85" s="665"/>
      <c r="B85" s="239"/>
      <c r="C85" s="101"/>
      <c r="D85" s="101"/>
      <c r="E85" s="101"/>
      <c r="F85" s="101"/>
      <c r="G85" s="658"/>
      <c r="H85" s="101"/>
      <c r="I85" s="101"/>
      <c r="J85" s="101"/>
      <c r="K85" s="101"/>
      <c r="L85" s="658"/>
      <c r="M85" s="101"/>
      <c r="N85" s="101"/>
      <c r="O85" s="101"/>
      <c r="P85" s="101"/>
      <c r="Q85" s="658"/>
      <c r="R85" s="101"/>
      <c r="S85" s="101"/>
      <c r="T85" s="101"/>
      <c r="U85" s="101"/>
      <c r="V85" s="658"/>
      <c r="W85" s="101"/>
      <c r="X85" s="101"/>
      <c r="Y85" s="101"/>
      <c r="Z85" s="101"/>
      <c r="AA85" s="658"/>
      <c r="AB85" s="101"/>
      <c r="AC85" s="101"/>
      <c r="AD85" s="101"/>
      <c r="AE85" s="101"/>
      <c r="AF85" s="658"/>
      <c r="AG85" s="101"/>
      <c r="AH85" s="101"/>
      <c r="AI85" s="101"/>
      <c r="AJ85" s="101"/>
      <c r="AK85" s="663"/>
      <c r="AL85" s="101"/>
      <c r="AM85" s="101"/>
      <c r="AN85" s="101"/>
      <c r="AO85" s="101"/>
      <c r="AP85" s="663"/>
      <c r="AQ85" s="101"/>
      <c r="AR85" s="101"/>
      <c r="AS85" s="101"/>
      <c r="AT85" s="101"/>
      <c r="AU85" s="658"/>
      <c r="AV85" s="659"/>
      <c r="AW85" s="659"/>
      <c r="AX85" s="660"/>
      <c r="AY85" s="660"/>
      <c r="AZ85" s="658"/>
      <c r="BA85" s="659"/>
      <c r="BB85" s="659"/>
      <c r="BC85" s="661"/>
      <c r="BD85" s="661"/>
      <c r="BE85" s="658"/>
      <c r="BF85" s="661"/>
      <c r="BG85" s="661"/>
      <c r="BH85" s="661"/>
      <c r="BI85" s="661"/>
      <c r="BJ85" s="658"/>
      <c r="BK85" s="661"/>
      <c r="BL85" s="659"/>
      <c r="BM85" s="659"/>
      <c r="BN85" s="659"/>
      <c r="BO85" s="658"/>
      <c r="BP85" s="659"/>
      <c r="BQ85" s="659"/>
      <c r="BR85" s="659"/>
      <c r="BS85" s="659"/>
      <c r="BT85" s="658"/>
      <c r="BU85" s="659"/>
      <c r="BV85" s="659"/>
      <c r="BW85" s="659"/>
      <c r="BX85" s="659"/>
      <c r="BY85" s="658"/>
      <c r="BZ85" s="659"/>
      <c r="CA85" s="659"/>
      <c r="CB85" s="659"/>
      <c r="CC85" s="659"/>
      <c r="CD85" s="658"/>
      <c r="CE85" s="662"/>
    </row>
    <row r="86" spans="1:83" ht="15.75">
      <c r="B86" s="666" t="s">
        <v>295</v>
      </c>
      <c r="C86" s="129"/>
      <c r="D86" s="129"/>
      <c r="E86" s="129"/>
      <c r="F86" s="129"/>
      <c r="G86" s="667"/>
      <c r="H86" s="129"/>
      <c r="I86" s="129"/>
      <c r="J86" s="129"/>
      <c r="K86" s="129"/>
      <c r="L86" s="667"/>
      <c r="M86" s="129"/>
      <c r="N86" s="129"/>
      <c r="O86" s="129"/>
      <c r="P86" s="129"/>
      <c r="Q86" s="667"/>
      <c r="R86" s="129"/>
      <c r="S86" s="129"/>
      <c r="T86" s="129"/>
      <c r="U86" s="129"/>
      <c r="V86" s="667"/>
      <c r="W86" s="129"/>
      <c r="X86" s="129"/>
      <c r="Y86" s="129"/>
      <c r="Z86" s="129"/>
      <c r="AA86" s="667"/>
      <c r="AB86" s="129"/>
      <c r="AC86" s="129"/>
      <c r="AD86" s="129"/>
      <c r="AE86" s="129"/>
      <c r="AF86" s="667"/>
      <c r="AG86" s="129"/>
      <c r="AH86" s="129"/>
      <c r="AI86" s="129"/>
      <c r="AJ86" s="129"/>
      <c r="AK86" s="667"/>
      <c r="AL86" s="129"/>
      <c r="AM86" s="129"/>
      <c r="AN86" s="129"/>
      <c r="AO86" s="129"/>
      <c r="AP86" s="667"/>
      <c r="AQ86" s="129"/>
      <c r="AR86" s="129"/>
      <c r="AS86" s="79"/>
      <c r="AT86" s="79"/>
      <c r="AU86" s="667"/>
      <c r="AV86" s="129"/>
      <c r="AW86" s="129"/>
      <c r="AX86" s="129"/>
      <c r="AY86" s="129" t="s">
        <v>296</v>
      </c>
      <c r="AZ86" s="667"/>
      <c r="BA86" s="129"/>
      <c r="BB86" s="129"/>
      <c r="BC86" s="129"/>
      <c r="BD86" s="129"/>
      <c r="BE86" s="667"/>
      <c r="BF86" s="129"/>
      <c r="BG86" s="129"/>
      <c r="BH86" s="129"/>
      <c r="BI86" s="129"/>
      <c r="BJ86" s="667"/>
      <c r="BK86" s="129"/>
      <c r="BL86" s="129"/>
      <c r="BM86" s="129"/>
      <c r="BN86" s="129"/>
      <c r="BO86" s="667"/>
      <c r="BP86" s="129"/>
      <c r="BQ86" s="129"/>
      <c r="BR86" s="129"/>
      <c r="BS86" s="129"/>
      <c r="BT86" s="667"/>
      <c r="BU86" s="129"/>
      <c r="BV86" s="129"/>
      <c r="BW86" s="129"/>
      <c r="BX86" s="129"/>
      <c r="BY86" s="667"/>
      <c r="BZ86" s="129"/>
      <c r="CA86" s="129"/>
      <c r="CB86" s="129"/>
      <c r="CC86" s="129"/>
      <c r="CD86" s="667"/>
    </row>
    <row r="87" spans="1:83">
      <c r="B87" s="668"/>
      <c r="C87" s="101"/>
      <c r="D87" s="101"/>
      <c r="E87" s="101"/>
      <c r="F87" s="101"/>
      <c r="G87" s="658"/>
      <c r="H87" s="101"/>
      <c r="I87" s="101"/>
      <c r="J87" s="101"/>
      <c r="K87" s="101"/>
      <c r="L87" s="658"/>
      <c r="M87" s="101"/>
      <c r="N87" s="101"/>
      <c r="O87" s="101"/>
      <c r="P87" s="101"/>
      <c r="Q87" s="658"/>
      <c r="R87" s="101"/>
      <c r="S87" s="101"/>
      <c r="T87" s="101"/>
      <c r="U87" s="101"/>
      <c r="V87" s="658"/>
      <c r="W87" s="101"/>
      <c r="X87" s="101"/>
      <c r="Y87" s="101"/>
      <c r="Z87" s="101"/>
      <c r="AA87" s="658"/>
      <c r="AB87" s="101"/>
      <c r="AC87" s="101"/>
      <c r="AD87" s="101"/>
      <c r="AE87" s="101"/>
      <c r="AF87" s="658"/>
      <c r="AG87" s="101"/>
      <c r="AH87" s="101"/>
      <c r="AI87" s="101"/>
      <c r="AJ87" s="101"/>
      <c r="AK87" s="658"/>
      <c r="AL87" s="101"/>
      <c r="AM87" s="101"/>
      <c r="AN87" s="101"/>
      <c r="AO87" s="101"/>
      <c r="AP87" s="658"/>
      <c r="AQ87" s="101"/>
      <c r="AR87" s="101"/>
      <c r="AS87" s="101"/>
      <c r="AT87" s="101"/>
      <c r="AU87" s="658"/>
      <c r="AV87" s="659"/>
      <c r="AW87" s="659"/>
      <c r="AX87" s="659"/>
      <c r="AY87" s="659"/>
      <c r="AZ87" s="658"/>
      <c r="BA87" s="659"/>
      <c r="BB87" s="659"/>
      <c r="BC87" s="659"/>
      <c r="BD87" s="659"/>
      <c r="BE87" s="658"/>
      <c r="BF87" s="659"/>
      <c r="BG87" s="659"/>
      <c r="BH87" s="659"/>
      <c r="BI87" s="659"/>
      <c r="BJ87" s="658"/>
      <c r="BK87" s="659"/>
      <c r="BL87" s="659"/>
      <c r="BM87" s="659"/>
      <c r="BN87" s="659"/>
      <c r="BO87" s="658"/>
      <c r="BP87" s="659"/>
      <c r="BQ87" s="659"/>
      <c r="BR87" s="659"/>
      <c r="BS87" s="659"/>
      <c r="BT87" s="658"/>
      <c r="BU87" s="659"/>
      <c r="BV87" s="659"/>
      <c r="BW87" s="659"/>
      <c r="BX87" s="659"/>
      <c r="BY87" s="658"/>
      <c r="BZ87" s="659"/>
      <c r="CA87" s="659"/>
      <c r="CB87" s="659"/>
      <c r="CC87" s="659"/>
      <c r="CD87" s="658"/>
    </row>
    <row r="88" spans="1:83">
      <c r="B88" s="1298" t="s">
        <v>623</v>
      </c>
      <c r="C88" s="101"/>
      <c r="D88" s="101"/>
      <c r="E88" s="101"/>
      <c r="F88" s="101"/>
      <c r="G88" s="658"/>
      <c r="H88" s="101"/>
      <c r="I88" s="101"/>
      <c r="J88" s="101"/>
      <c r="K88" s="101"/>
      <c r="L88" s="658"/>
      <c r="M88" s="101"/>
      <c r="N88" s="101"/>
      <c r="O88" s="101"/>
      <c r="P88" s="101"/>
      <c r="Q88" s="658"/>
      <c r="R88" s="101"/>
      <c r="S88" s="101"/>
      <c r="T88" s="101"/>
      <c r="U88" s="101"/>
      <c r="V88" s="658"/>
      <c r="W88" s="101"/>
      <c r="X88" s="101"/>
      <c r="Y88" s="101"/>
      <c r="Z88" s="101"/>
      <c r="AA88" s="658"/>
      <c r="AB88" s="101"/>
      <c r="AC88" s="101"/>
      <c r="AD88" s="101"/>
      <c r="AE88" s="101"/>
      <c r="AF88" s="658"/>
      <c r="AG88" s="101"/>
      <c r="AH88" s="101"/>
      <c r="AI88" s="101"/>
      <c r="AJ88" s="101"/>
      <c r="AK88" s="658"/>
      <c r="AL88" s="101"/>
      <c r="AM88" s="101"/>
      <c r="AN88" s="101"/>
      <c r="AO88" s="101"/>
      <c r="AP88" s="658"/>
      <c r="AQ88" s="101"/>
      <c r="AR88" s="101"/>
      <c r="AS88" s="101"/>
      <c r="AT88" s="101"/>
      <c r="AU88" s="658"/>
      <c r="AV88" s="659"/>
      <c r="AW88" s="659"/>
      <c r="AX88" s="659"/>
      <c r="AY88" s="659"/>
      <c r="AZ88" s="658"/>
      <c r="BA88" s="659"/>
      <c r="BB88" s="659"/>
      <c r="BC88" s="659">
        <v>0.22</v>
      </c>
      <c r="BD88" s="659"/>
      <c r="BE88" s="658"/>
      <c r="BF88" s="659"/>
      <c r="BG88" s="659"/>
      <c r="BH88" s="659">
        <v>0.21</v>
      </c>
      <c r="BI88" s="659"/>
      <c r="BJ88" s="658"/>
      <c r="BK88" s="659"/>
      <c r="BL88" s="659"/>
      <c r="BM88" s="659"/>
      <c r="BN88" s="659"/>
      <c r="BO88" s="658"/>
      <c r="BP88" s="659"/>
      <c r="BQ88" s="659"/>
      <c r="BR88" s="659"/>
      <c r="BS88" s="659"/>
      <c r="BT88" s="658"/>
      <c r="BU88" s="659"/>
      <c r="BV88" s="659"/>
      <c r="BW88" s="659"/>
      <c r="BX88" s="659"/>
      <c r="BY88" s="658"/>
      <c r="BZ88" s="659"/>
      <c r="CA88" s="659"/>
      <c r="CB88" s="659"/>
      <c r="CC88" s="659"/>
      <c r="CD88" s="658"/>
    </row>
    <row r="89" spans="1:83">
      <c r="A89" s="657"/>
      <c r="B89" s="239" t="s">
        <v>297</v>
      </c>
      <c r="C89" s="101"/>
      <c r="D89" s="101"/>
      <c r="E89" s="101"/>
      <c r="F89" s="101"/>
      <c r="G89" s="658"/>
      <c r="H89" s="101"/>
      <c r="I89" s="101"/>
      <c r="J89" s="101"/>
      <c r="K89" s="101"/>
      <c r="L89" s="658"/>
      <c r="M89" s="101"/>
      <c r="N89" s="101"/>
      <c r="O89" s="101"/>
      <c r="P89" s="101"/>
      <c r="Q89" s="658"/>
      <c r="R89" s="101"/>
      <c r="S89" s="101"/>
      <c r="T89" s="101"/>
      <c r="U89" s="101"/>
      <c r="V89" s="658"/>
      <c r="W89" s="101"/>
      <c r="X89" s="101"/>
      <c r="Y89" s="101"/>
      <c r="Z89" s="101"/>
      <c r="AA89" s="658"/>
      <c r="AB89" s="101"/>
      <c r="AC89" s="101"/>
      <c r="AD89" s="101"/>
      <c r="AE89" s="101"/>
      <c r="AF89" s="658"/>
      <c r="AG89" s="101"/>
      <c r="AH89" s="101"/>
      <c r="AI89" s="101"/>
      <c r="AJ89" s="101"/>
      <c r="AK89" s="658">
        <v>0.36</v>
      </c>
      <c r="AL89" s="101"/>
      <c r="AM89" s="101"/>
      <c r="AN89" s="101"/>
      <c r="AO89" s="101"/>
      <c r="AP89" s="658">
        <v>0.39</v>
      </c>
      <c r="AQ89" s="101">
        <v>0.4</v>
      </c>
      <c r="AR89" s="101">
        <v>0.43</v>
      </c>
      <c r="AS89" s="101">
        <v>0.43</v>
      </c>
      <c r="AT89" s="101"/>
      <c r="AU89" s="658">
        <v>0.42</v>
      </c>
      <c r="AV89" s="659">
        <v>0.42</v>
      </c>
      <c r="AW89" s="659">
        <v>0.46</v>
      </c>
      <c r="AX89" s="659">
        <v>0.46</v>
      </c>
      <c r="AY89" s="659"/>
      <c r="AZ89" s="658"/>
      <c r="BA89" s="659">
        <v>0.47</v>
      </c>
      <c r="BB89" s="659"/>
      <c r="BC89" s="659"/>
      <c r="BD89" s="659"/>
      <c r="BE89" s="658"/>
      <c r="BF89" s="659"/>
      <c r="BG89" s="659"/>
      <c r="BH89" s="659"/>
      <c r="BI89" s="659"/>
      <c r="BJ89" s="658"/>
      <c r="BK89" s="659"/>
      <c r="BL89" s="659"/>
      <c r="BM89" s="659"/>
      <c r="BN89" s="659"/>
      <c r="BO89" s="658"/>
      <c r="BP89" s="659"/>
      <c r="BQ89" s="659"/>
      <c r="BR89" s="659"/>
      <c r="BS89" s="659"/>
      <c r="BT89" s="658"/>
      <c r="BU89" s="659"/>
      <c r="BV89" s="659"/>
      <c r="BW89" s="659"/>
      <c r="BX89" s="659"/>
      <c r="BY89" s="658"/>
      <c r="BZ89" s="659"/>
      <c r="CA89" s="659"/>
      <c r="CB89" s="659"/>
      <c r="CC89" s="659"/>
      <c r="CD89" s="658"/>
      <c r="CE89" s="662"/>
    </row>
    <row r="90" spans="1:83">
      <c r="A90" s="657"/>
      <c r="B90" s="239" t="s">
        <v>298</v>
      </c>
      <c r="C90" s="101"/>
      <c r="D90" s="101"/>
      <c r="E90" s="101"/>
      <c r="F90" s="101"/>
      <c r="G90" s="658"/>
      <c r="H90" s="101"/>
      <c r="I90" s="101"/>
      <c r="J90" s="101"/>
      <c r="K90" s="101"/>
      <c r="L90" s="658"/>
      <c r="M90" s="101"/>
      <c r="N90" s="101"/>
      <c r="O90" s="101"/>
      <c r="P90" s="101"/>
      <c r="Q90" s="658"/>
      <c r="R90" s="101"/>
      <c r="S90" s="101"/>
      <c r="T90" s="101"/>
      <c r="U90" s="101"/>
      <c r="V90" s="658"/>
      <c r="W90" s="101"/>
      <c r="X90" s="101"/>
      <c r="Y90" s="101"/>
      <c r="Z90" s="101"/>
      <c r="AA90" s="658"/>
      <c r="AB90" s="101"/>
      <c r="AC90" s="101"/>
      <c r="AD90" s="101"/>
      <c r="AE90" s="101"/>
      <c r="AF90" s="658"/>
      <c r="AG90" s="101"/>
      <c r="AH90" s="101"/>
      <c r="AI90" s="101"/>
      <c r="AJ90" s="101"/>
      <c r="AK90" s="658">
        <v>0.02</v>
      </c>
      <c r="AL90" s="101"/>
      <c r="AM90" s="101"/>
      <c r="AN90" s="101"/>
      <c r="AO90" s="101"/>
      <c r="AP90" s="658">
        <v>0.02</v>
      </c>
      <c r="AQ90" s="101">
        <v>0.02</v>
      </c>
      <c r="AR90" s="101">
        <v>0.02</v>
      </c>
      <c r="AS90" s="101">
        <v>0.02</v>
      </c>
      <c r="AT90" s="101"/>
      <c r="AU90" s="658">
        <v>0.02</v>
      </c>
      <c r="AV90" s="659">
        <v>0.02</v>
      </c>
      <c r="AW90" s="659">
        <v>0.02</v>
      </c>
      <c r="AX90" s="659">
        <v>0.02</v>
      </c>
      <c r="AY90" s="659"/>
      <c r="AZ90" s="658"/>
      <c r="BA90" s="659"/>
      <c r="BB90" s="659"/>
      <c r="BC90" s="659"/>
      <c r="BD90" s="659"/>
      <c r="BE90" s="658"/>
      <c r="BF90" s="659"/>
      <c r="BG90" s="659"/>
      <c r="BH90" s="659"/>
      <c r="BI90" s="659"/>
      <c r="BJ90" s="658"/>
      <c r="BK90" s="659"/>
      <c r="BL90" s="659"/>
      <c r="BM90" s="659"/>
      <c r="BN90" s="659"/>
      <c r="BO90" s="658"/>
      <c r="BP90" s="659"/>
      <c r="BQ90" s="659"/>
      <c r="BR90" s="659"/>
      <c r="BS90" s="659"/>
      <c r="BT90" s="658"/>
      <c r="BU90" s="659"/>
      <c r="BV90" s="659"/>
      <c r="BW90" s="659"/>
      <c r="BX90" s="659"/>
      <c r="BY90" s="658"/>
      <c r="BZ90" s="659"/>
      <c r="CA90" s="659"/>
      <c r="CB90" s="659"/>
      <c r="CC90" s="659"/>
      <c r="CD90" s="658"/>
      <c r="CE90" s="662"/>
    </row>
    <row r="91" spans="1:83">
      <c r="A91" s="657"/>
      <c r="B91" s="239" t="s">
        <v>299</v>
      </c>
      <c r="C91" s="101"/>
      <c r="D91" s="101"/>
      <c r="E91" s="101"/>
      <c r="F91" s="101"/>
      <c r="G91" s="658"/>
      <c r="H91" s="101"/>
      <c r="I91" s="101"/>
      <c r="J91" s="101"/>
      <c r="K91" s="101"/>
      <c r="L91" s="658"/>
      <c r="M91" s="101"/>
      <c r="N91" s="101"/>
      <c r="O91" s="101"/>
      <c r="P91" s="101"/>
      <c r="Q91" s="658"/>
      <c r="R91" s="101"/>
      <c r="S91" s="101"/>
      <c r="T91" s="101"/>
      <c r="U91" s="101"/>
      <c r="V91" s="658"/>
      <c r="W91" s="101"/>
      <c r="X91" s="101"/>
      <c r="Y91" s="101"/>
      <c r="Z91" s="101"/>
      <c r="AA91" s="658"/>
      <c r="AB91" s="101"/>
      <c r="AC91" s="101"/>
      <c r="AD91" s="101"/>
      <c r="AE91" s="101"/>
      <c r="AF91" s="658"/>
      <c r="AG91" s="101"/>
      <c r="AH91" s="101"/>
      <c r="AI91" s="101"/>
      <c r="AJ91" s="101"/>
      <c r="AK91" s="658"/>
      <c r="AL91" s="101"/>
      <c r="AM91" s="101"/>
      <c r="AN91" s="101"/>
      <c r="AO91" s="101"/>
      <c r="AP91" s="658">
        <v>0.32</v>
      </c>
      <c r="AQ91" s="101"/>
      <c r="AR91" s="101"/>
      <c r="AS91" s="101"/>
      <c r="AT91" s="101"/>
      <c r="AU91" s="658">
        <v>0.28999999999999998</v>
      </c>
      <c r="AV91" s="659"/>
      <c r="AW91" s="659"/>
      <c r="AX91" s="659"/>
      <c r="AY91" s="659"/>
      <c r="AZ91" s="658">
        <v>0.26</v>
      </c>
      <c r="BA91" s="659"/>
      <c r="BB91" s="659"/>
      <c r="BC91" s="659"/>
      <c r="BD91" s="659"/>
      <c r="BE91" s="658">
        <v>0.22</v>
      </c>
      <c r="BF91" s="659"/>
      <c r="BG91" s="659"/>
      <c r="BH91" s="659"/>
      <c r="BI91" s="659"/>
      <c r="BJ91" s="658"/>
      <c r="BK91" s="659"/>
      <c r="BL91" s="659"/>
      <c r="BM91" s="659"/>
      <c r="BN91" s="659"/>
      <c r="BO91" s="658"/>
      <c r="BP91" s="659"/>
      <c r="BQ91" s="659"/>
      <c r="BR91" s="659"/>
      <c r="BS91" s="659"/>
      <c r="BT91" s="658"/>
      <c r="BU91" s="659"/>
      <c r="BV91" s="659"/>
      <c r="BW91" s="659"/>
      <c r="BX91" s="659"/>
      <c r="BY91" s="658"/>
      <c r="BZ91" s="659"/>
      <c r="CA91" s="659"/>
      <c r="CB91" s="659"/>
      <c r="CC91" s="659"/>
      <c r="CD91" s="658"/>
      <c r="CE91" s="662"/>
    </row>
    <row r="92" spans="1:83">
      <c r="A92" s="657"/>
      <c r="B92" s="239" t="s">
        <v>300</v>
      </c>
      <c r="C92" s="101"/>
      <c r="D92" s="101"/>
      <c r="E92" s="101"/>
      <c r="F92" s="101"/>
      <c r="G92" s="658"/>
      <c r="H92" s="101"/>
      <c r="I92" s="101"/>
      <c r="J92" s="101"/>
      <c r="K92" s="101"/>
      <c r="L92" s="658"/>
      <c r="M92" s="101"/>
      <c r="N92" s="101"/>
      <c r="O92" s="101"/>
      <c r="P92" s="101"/>
      <c r="Q92" s="658"/>
      <c r="R92" s="101"/>
      <c r="S92" s="101"/>
      <c r="T92" s="101"/>
      <c r="U92" s="101"/>
      <c r="V92" s="658"/>
      <c r="W92" s="101"/>
      <c r="X92" s="101"/>
      <c r="Y92" s="101"/>
      <c r="Z92" s="101"/>
      <c r="AA92" s="658"/>
      <c r="AB92" s="101"/>
      <c r="AC92" s="101"/>
      <c r="AD92" s="101"/>
      <c r="AE92" s="101"/>
      <c r="AF92" s="658"/>
      <c r="AG92" s="101"/>
      <c r="AH92" s="101"/>
      <c r="AI92" s="101"/>
      <c r="AJ92" s="101"/>
      <c r="AK92" s="663">
        <v>13000</v>
      </c>
      <c r="AL92" s="669"/>
      <c r="AM92" s="669"/>
      <c r="AN92" s="669"/>
      <c r="AO92" s="669"/>
      <c r="AP92" s="663">
        <v>27000</v>
      </c>
      <c r="AQ92" s="669"/>
      <c r="AR92" s="669"/>
      <c r="AS92" s="669"/>
      <c r="AT92" s="669"/>
      <c r="AU92" s="663">
        <v>46000</v>
      </c>
      <c r="AV92" s="664"/>
      <c r="AW92" s="664"/>
      <c r="AX92" s="664"/>
      <c r="AY92" s="664" t="s">
        <v>301</v>
      </c>
      <c r="AZ92" s="663">
        <v>66000</v>
      </c>
      <c r="BA92" s="659"/>
      <c r="BB92" s="659"/>
      <c r="BC92" s="659"/>
      <c r="BD92" s="659"/>
      <c r="BE92" s="658"/>
      <c r="BF92" s="659"/>
      <c r="BG92" s="661">
        <v>36000</v>
      </c>
      <c r="BH92" s="661"/>
      <c r="BI92" s="661">
        <v>48000</v>
      </c>
      <c r="BJ92" s="658"/>
      <c r="BK92" s="661">
        <v>49000</v>
      </c>
      <c r="BL92" s="659"/>
      <c r="BM92" s="659"/>
      <c r="BN92" s="659"/>
      <c r="BO92" s="658"/>
      <c r="BP92" s="659"/>
      <c r="BQ92" s="659"/>
      <c r="BR92" s="659"/>
      <c r="BS92" s="659"/>
      <c r="BT92" s="658"/>
      <c r="BU92" s="659"/>
      <c r="BV92" s="659"/>
      <c r="BW92" s="659"/>
      <c r="BX92" s="659"/>
      <c r="BY92" s="658"/>
      <c r="BZ92" s="659"/>
      <c r="CA92" s="659"/>
      <c r="CB92" s="659"/>
      <c r="CC92" s="659"/>
      <c r="CD92" s="658"/>
      <c r="CE92" s="662"/>
    </row>
    <row r="93" spans="1:83">
      <c r="A93" s="657"/>
      <c r="B93" s="668" t="s">
        <v>302</v>
      </c>
      <c r="C93" s="101"/>
      <c r="D93" s="101"/>
      <c r="E93" s="101"/>
      <c r="F93" s="101"/>
      <c r="G93" s="658"/>
      <c r="H93" s="101"/>
      <c r="I93" s="101"/>
      <c r="J93" s="101"/>
      <c r="K93" s="101"/>
      <c r="L93" s="658"/>
      <c r="M93" s="101"/>
      <c r="N93" s="101"/>
      <c r="O93" s="101"/>
      <c r="P93" s="101"/>
      <c r="Q93" s="658"/>
      <c r="R93" s="101"/>
      <c r="S93" s="101"/>
      <c r="T93" s="101"/>
      <c r="U93" s="101"/>
      <c r="V93" s="658"/>
      <c r="W93" s="101"/>
      <c r="X93" s="101"/>
      <c r="Y93" s="101"/>
      <c r="Z93" s="101"/>
      <c r="AA93" s="658"/>
      <c r="AB93" s="101"/>
      <c r="AC93" s="101"/>
      <c r="AD93" s="101"/>
      <c r="AE93" s="101"/>
      <c r="AF93" s="658"/>
      <c r="AG93" s="101"/>
      <c r="AH93" s="101"/>
      <c r="AI93" s="101"/>
      <c r="AJ93" s="101"/>
      <c r="AK93" s="189">
        <f>AK92/AK6</f>
        <v>8.662855010462063E-2</v>
      </c>
      <c r="AL93" s="101"/>
      <c r="AM93" s="101"/>
      <c r="AN93" s="101"/>
      <c r="AO93" s="101"/>
      <c r="AP93" s="189">
        <f>AP92/AP6</f>
        <v>0.1454694352553258</v>
      </c>
      <c r="AQ93" s="101"/>
      <c r="AR93" s="101"/>
      <c r="AS93" s="101"/>
      <c r="AT93" s="101"/>
      <c r="AU93" s="189">
        <f>AU92/AU6</f>
        <v>0.19604918277324354</v>
      </c>
      <c r="AV93" s="659"/>
      <c r="AW93" s="659"/>
      <c r="AX93" s="659"/>
      <c r="AY93" s="659"/>
      <c r="AZ93" s="189">
        <f>AZ92/AZ6</f>
        <v>0.22913643338726139</v>
      </c>
      <c r="BA93" s="659"/>
      <c r="BB93" s="659"/>
      <c r="BC93" s="659">
        <v>0.3</v>
      </c>
      <c r="BD93" s="659">
        <v>0.31</v>
      </c>
      <c r="BE93" s="658"/>
      <c r="BF93" s="659"/>
      <c r="BG93" s="659">
        <v>0.34</v>
      </c>
      <c r="BH93" s="659">
        <v>0.35</v>
      </c>
      <c r="BI93" s="659"/>
      <c r="BJ93" s="658"/>
      <c r="BK93" s="659"/>
      <c r="BL93" s="659"/>
      <c r="BM93" s="659"/>
      <c r="BN93" s="659"/>
      <c r="BO93" s="658"/>
      <c r="BP93" s="659"/>
      <c r="BQ93" s="659"/>
      <c r="BR93" s="659"/>
      <c r="BS93" s="659"/>
      <c r="BT93" s="658"/>
      <c r="BU93" s="659"/>
      <c r="BV93" s="659"/>
      <c r="BW93" s="659"/>
      <c r="BX93" s="659"/>
      <c r="BY93" s="658"/>
      <c r="BZ93" s="659"/>
      <c r="CA93" s="659"/>
      <c r="CB93" s="659"/>
      <c r="CC93" s="659"/>
      <c r="CD93" s="658"/>
      <c r="CE93" s="662"/>
    </row>
    <row r="94" spans="1:83">
      <c r="A94" s="657"/>
      <c r="B94" s="668" t="s">
        <v>303</v>
      </c>
      <c r="C94" s="101"/>
      <c r="D94" s="101"/>
      <c r="E94" s="101"/>
      <c r="F94" s="101"/>
      <c r="G94" s="658"/>
      <c r="H94" s="101"/>
      <c r="I94" s="101"/>
      <c r="J94" s="101"/>
      <c r="K94" s="101"/>
      <c r="L94" s="658"/>
      <c r="M94" s="101"/>
      <c r="N94" s="101"/>
      <c r="O94" s="101"/>
      <c r="P94" s="101"/>
      <c r="Q94" s="658"/>
      <c r="R94" s="101"/>
      <c r="S94" s="101"/>
      <c r="T94" s="101"/>
      <c r="U94" s="101"/>
      <c r="V94" s="658"/>
      <c r="W94" s="101"/>
      <c r="X94" s="101"/>
      <c r="Y94" s="101"/>
      <c r="Z94" s="101"/>
      <c r="AA94" s="658"/>
      <c r="AB94" s="101"/>
      <c r="AC94" s="101"/>
      <c r="AD94" s="101"/>
      <c r="AE94" s="101"/>
      <c r="AF94" s="658"/>
      <c r="AG94" s="101"/>
      <c r="AH94" s="101"/>
      <c r="AI94" s="101"/>
      <c r="AJ94" s="101"/>
      <c r="AK94" s="658">
        <v>0.13</v>
      </c>
      <c r="AL94" s="101"/>
      <c r="AM94" s="101"/>
      <c r="AN94" s="101"/>
      <c r="AO94" s="101"/>
      <c r="AP94" s="658">
        <v>0.2</v>
      </c>
      <c r="AQ94" s="101"/>
      <c r="AR94" s="101"/>
      <c r="AS94" s="101"/>
      <c r="AT94" s="101"/>
      <c r="AU94" s="658">
        <v>0.25</v>
      </c>
      <c r="AV94" s="659"/>
      <c r="AW94" s="659"/>
      <c r="AX94" s="659"/>
      <c r="AY94" s="659"/>
      <c r="AZ94" s="658">
        <v>0.28000000000000003</v>
      </c>
      <c r="BA94" s="659"/>
      <c r="BB94" s="659"/>
      <c r="BC94" s="659"/>
      <c r="BD94" s="659"/>
      <c r="BE94" s="658"/>
      <c r="BF94" s="659"/>
      <c r="BG94" s="659"/>
      <c r="BH94" s="659"/>
      <c r="BI94" s="659"/>
      <c r="BJ94" s="658"/>
      <c r="BK94" s="659"/>
      <c r="BL94" s="659"/>
      <c r="BM94" s="659"/>
      <c r="BN94" s="659"/>
      <c r="BO94" s="658"/>
      <c r="BP94" s="659"/>
      <c r="BQ94" s="659"/>
      <c r="BR94" s="659"/>
      <c r="BS94" s="659"/>
      <c r="BT94" s="658"/>
      <c r="BU94" s="659"/>
      <c r="BV94" s="659"/>
      <c r="BW94" s="659"/>
      <c r="BX94" s="659"/>
      <c r="BY94" s="658"/>
      <c r="BZ94" s="659"/>
      <c r="CA94" s="659"/>
      <c r="CB94" s="659"/>
      <c r="CC94" s="659"/>
      <c r="CD94" s="658"/>
      <c r="CE94" s="662"/>
    </row>
    <row r="95" spans="1:83">
      <c r="A95" s="657"/>
      <c r="B95" s="668"/>
      <c r="C95" s="101"/>
      <c r="D95" s="101"/>
      <c r="E95" s="101"/>
      <c r="F95" s="101"/>
      <c r="G95" s="658"/>
      <c r="H95" s="101"/>
      <c r="I95" s="101"/>
      <c r="J95" s="101"/>
      <c r="K95" s="101"/>
      <c r="L95" s="658"/>
      <c r="M95" s="101"/>
      <c r="N95" s="101"/>
      <c r="O95" s="101"/>
      <c r="P95" s="101"/>
      <c r="Q95" s="658"/>
      <c r="R95" s="101"/>
      <c r="S95" s="101"/>
      <c r="T95" s="101"/>
      <c r="U95" s="101"/>
      <c r="V95" s="658"/>
      <c r="W95" s="101"/>
      <c r="X95" s="101"/>
      <c r="Y95" s="101"/>
      <c r="Z95" s="101"/>
      <c r="AA95" s="658"/>
      <c r="AB95" s="101"/>
      <c r="AC95" s="101"/>
      <c r="AD95" s="101"/>
      <c r="AE95" s="101"/>
      <c r="AF95" s="658"/>
      <c r="AG95" s="101"/>
      <c r="AH95" s="101"/>
      <c r="AI95" s="101"/>
      <c r="AJ95" s="101"/>
      <c r="AK95" s="658"/>
      <c r="AL95" s="101"/>
      <c r="AM95" s="101"/>
      <c r="AN95" s="101"/>
      <c r="AO95" s="101"/>
      <c r="AP95" s="658"/>
      <c r="AQ95" s="101"/>
      <c r="AR95" s="101"/>
      <c r="AS95" s="101"/>
      <c r="AT95" s="101"/>
      <c r="AU95" s="658"/>
      <c r="AV95" s="659"/>
      <c r="AW95" s="659"/>
      <c r="AX95" s="659"/>
      <c r="AY95" s="659"/>
      <c r="AZ95" s="658"/>
      <c r="BA95" s="659"/>
      <c r="BB95" s="659"/>
      <c r="BC95" s="659"/>
      <c r="BD95" s="659"/>
      <c r="BE95" s="658"/>
      <c r="BF95" s="659"/>
      <c r="BG95" s="659"/>
      <c r="BH95" s="659"/>
      <c r="BI95" s="659"/>
      <c r="BJ95" s="658"/>
      <c r="BK95" s="659"/>
      <c r="BL95" s="659"/>
      <c r="BM95" s="659"/>
      <c r="BN95" s="659"/>
      <c r="BO95" s="658"/>
      <c r="BP95" s="659"/>
      <c r="BQ95" s="659"/>
      <c r="BR95" s="659"/>
      <c r="BS95" s="659"/>
      <c r="BT95" s="658"/>
      <c r="BU95" s="659"/>
      <c r="BV95" s="659"/>
      <c r="BW95" s="659"/>
      <c r="BX95" s="659"/>
      <c r="BY95" s="658"/>
      <c r="BZ95" s="659"/>
      <c r="CA95" s="659"/>
      <c r="CB95" s="659"/>
      <c r="CC95" s="659"/>
      <c r="CD95" s="658"/>
      <c r="CE95" s="662"/>
    </row>
    <row r="96" spans="1:83">
      <c r="A96" s="533"/>
      <c r="B96" s="560" t="s">
        <v>304</v>
      </c>
      <c r="C96" s="553"/>
      <c r="D96" s="553"/>
      <c r="E96" s="553"/>
      <c r="F96" s="554"/>
      <c r="G96" s="182"/>
      <c r="H96" s="553"/>
      <c r="I96" s="553"/>
      <c r="J96" s="553"/>
      <c r="K96" s="554"/>
      <c r="L96" s="182"/>
      <c r="M96" s="553"/>
      <c r="N96" s="553"/>
      <c r="O96" s="553"/>
      <c r="P96" s="554"/>
      <c r="Q96" s="182"/>
      <c r="R96" s="553"/>
      <c r="S96" s="553"/>
      <c r="T96" s="553"/>
      <c r="U96" s="554"/>
      <c r="V96" s="182"/>
      <c r="W96" s="553"/>
      <c r="X96" s="553"/>
      <c r="Y96" s="553"/>
      <c r="Z96" s="554"/>
      <c r="AA96" s="182"/>
      <c r="AB96" s="553"/>
      <c r="AC96" s="553"/>
      <c r="AD96" s="553"/>
      <c r="AE96" s="554"/>
      <c r="AF96" s="182"/>
      <c r="AG96" s="553"/>
      <c r="AH96" s="553"/>
      <c r="AI96" s="553"/>
      <c r="AJ96" s="554"/>
      <c r="AK96" s="182"/>
      <c r="AL96" s="553"/>
      <c r="AM96" s="553"/>
      <c r="AN96" s="553"/>
      <c r="AO96" s="554"/>
      <c r="AP96" s="182"/>
      <c r="AQ96" s="553"/>
      <c r="AR96" s="553"/>
      <c r="AS96" s="554"/>
      <c r="AT96" s="318">
        <v>3118.38</v>
      </c>
      <c r="AU96" s="549"/>
      <c r="AV96" s="555"/>
      <c r="AW96" s="555"/>
      <c r="AX96" s="555"/>
      <c r="AY96" s="555"/>
      <c r="AZ96" s="143"/>
      <c r="BA96" s="555"/>
      <c r="BB96" s="555"/>
      <c r="BC96" s="555"/>
      <c r="BD96" s="555"/>
      <c r="BE96" s="182"/>
      <c r="BF96" s="555"/>
      <c r="BG96" s="555"/>
      <c r="BH96" s="555"/>
      <c r="BI96" s="555"/>
      <c r="BJ96" s="182"/>
      <c r="BK96" s="555"/>
      <c r="BL96" s="555"/>
      <c r="BM96" s="555"/>
      <c r="BN96" s="555"/>
      <c r="BO96" s="182"/>
      <c r="BP96" s="555"/>
      <c r="BQ96" s="555"/>
      <c r="BR96" s="555"/>
      <c r="BS96" s="555"/>
      <c r="BT96" s="182"/>
      <c r="BU96" s="555"/>
      <c r="BV96" s="555"/>
      <c r="BW96" s="555"/>
      <c r="BX96" s="555"/>
      <c r="BY96" s="182"/>
      <c r="BZ96" s="555"/>
      <c r="CA96" s="555"/>
      <c r="CB96" s="555"/>
      <c r="CC96" s="555"/>
      <c r="CD96" s="182"/>
      <c r="CE96" s="160"/>
    </row>
    <row r="97" spans="1:83">
      <c r="A97" s="533"/>
      <c r="B97" s="670" t="s">
        <v>21</v>
      </c>
      <c r="C97" s="553"/>
      <c r="D97" s="553"/>
      <c r="E97" s="553"/>
      <c r="F97" s="554"/>
      <c r="G97" s="182"/>
      <c r="H97" s="553"/>
      <c r="I97" s="553"/>
      <c r="J97" s="553"/>
      <c r="K97" s="554"/>
      <c r="L97" s="182"/>
      <c r="M97" s="553"/>
      <c r="N97" s="553"/>
      <c r="O97" s="553"/>
      <c r="P97" s="554"/>
      <c r="Q97" s="182"/>
      <c r="R97" s="553"/>
      <c r="S97" s="553"/>
      <c r="T97" s="553"/>
      <c r="U97" s="554"/>
      <c r="V97" s="182"/>
      <c r="W97" s="553"/>
      <c r="X97" s="553"/>
      <c r="Y97" s="553"/>
      <c r="Z97" s="554"/>
      <c r="AA97" s="182"/>
      <c r="AB97" s="553"/>
      <c r="AC97" s="553"/>
      <c r="AD97" s="553"/>
      <c r="AE97" s="554"/>
      <c r="AF97" s="182"/>
      <c r="AG97" s="553"/>
      <c r="AH97" s="553"/>
      <c r="AI97" s="553"/>
      <c r="AJ97" s="554"/>
      <c r="AK97" s="182"/>
      <c r="AL97" s="553"/>
      <c r="AM97" s="553"/>
      <c r="AN97" s="553"/>
      <c r="AO97" s="554"/>
      <c r="AP97" s="182"/>
      <c r="AQ97" s="553"/>
      <c r="AR97" s="553"/>
      <c r="AS97" s="553"/>
      <c r="AT97" s="554"/>
      <c r="AU97" s="549"/>
      <c r="AV97" s="555"/>
      <c r="AW97" s="555"/>
      <c r="AX97" s="555"/>
      <c r="AY97" s="555"/>
      <c r="AZ97" s="143"/>
      <c r="BA97" s="555"/>
      <c r="BB97" s="555"/>
      <c r="BC97" s="555"/>
      <c r="BD97" s="555"/>
      <c r="BE97" s="182"/>
      <c r="BF97" s="555"/>
      <c r="BG97" s="555"/>
      <c r="BH97" s="555"/>
      <c r="BI97" s="555"/>
      <c r="BJ97" s="182"/>
      <c r="BK97" s="555"/>
      <c r="BL97" s="555"/>
      <c r="BM97" s="555"/>
      <c r="BN97" s="555"/>
      <c r="BO97" s="182"/>
      <c r="BP97" s="555"/>
      <c r="BQ97" s="555"/>
      <c r="BR97" s="555"/>
      <c r="BS97" s="555"/>
      <c r="BT97" s="182"/>
      <c r="BU97" s="555"/>
      <c r="BV97" s="555"/>
      <c r="BW97" s="555"/>
      <c r="BX97" s="555"/>
      <c r="BY97" s="182"/>
      <c r="BZ97" s="555"/>
      <c r="CA97" s="555"/>
      <c r="CB97" s="555"/>
      <c r="CC97" s="555"/>
      <c r="CD97" s="182"/>
      <c r="CE97" s="160"/>
    </row>
    <row r="98" spans="1:83">
      <c r="A98" s="533"/>
      <c r="B98" s="560" t="s">
        <v>305</v>
      </c>
      <c r="C98" s="553"/>
      <c r="D98" s="553"/>
      <c r="E98" s="553"/>
      <c r="F98" s="554"/>
      <c r="G98" s="182"/>
      <c r="H98" s="553"/>
      <c r="I98" s="553"/>
      <c r="J98" s="553"/>
      <c r="K98" s="554"/>
      <c r="L98" s="182"/>
      <c r="M98" s="553"/>
      <c r="N98" s="553"/>
      <c r="O98" s="553"/>
      <c r="P98" s="554"/>
      <c r="Q98" s="182"/>
      <c r="R98" s="553"/>
      <c r="S98" s="553"/>
      <c r="T98" s="553"/>
      <c r="U98" s="554"/>
      <c r="V98" s="182"/>
      <c r="W98" s="553"/>
      <c r="X98" s="553"/>
      <c r="Y98" s="553"/>
      <c r="Z98" s="554"/>
      <c r="AA98" s="182"/>
      <c r="AB98" s="553"/>
      <c r="AC98" s="553"/>
      <c r="AD98" s="553"/>
      <c r="AE98" s="554"/>
      <c r="AF98" s="182"/>
      <c r="AG98" s="553"/>
      <c r="AH98" s="553"/>
      <c r="AI98" s="553"/>
      <c r="AJ98" s="554"/>
      <c r="AK98" s="182"/>
      <c r="AL98" s="553"/>
      <c r="AM98" s="553"/>
      <c r="AN98" s="553"/>
      <c r="AO98" s="554"/>
      <c r="AP98" s="182"/>
      <c r="AQ98" s="554">
        <v>314</v>
      </c>
      <c r="AR98" s="554">
        <v>468</v>
      </c>
      <c r="AS98" s="554">
        <v>700</v>
      </c>
      <c r="AT98" s="554">
        <v>906</v>
      </c>
      <c r="AU98" s="655">
        <f>SUM(AQ98:AT98)</f>
        <v>2388</v>
      </c>
      <c r="AV98" s="555">
        <v>1300</v>
      </c>
      <c r="AW98" s="317">
        <f>AR98*(1+AW99)</f>
        <v>1623.96</v>
      </c>
      <c r="AX98" s="584">
        <v>2110</v>
      </c>
      <c r="AY98" s="584">
        <f>AT98*(1+AY99)</f>
        <v>2482.44</v>
      </c>
      <c r="AZ98" s="655">
        <f>SUM(AV98:AY98)</f>
        <v>7516.4</v>
      </c>
      <c r="BA98" s="584">
        <v>3200</v>
      </c>
      <c r="BB98" s="584">
        <v>3900</v>
      </c>
      <c r="BC98" s="584">
        <v>4900</v>
      </c>
      <c r="BD98" s="584">
        <v>5600</v>
      </c>
      <c r="BE98" s="655">
        <f>SUM(BA98:BD98)</f>
        <v>17600</v>
      </c>
      <c r="BF98" s="584">
        <v>6800</v>
      </c>
      <c r="BG98" s="584">
        <v>8000</v>
      </c>
      <c r="BH98" s="584">
        <v>9400</v>
      </c>
      <c r="BI98" s="584">
        <v>10400</v>
      </c>
      <c r="BJ98" s="1271">
        <f>SUM(BF98:BI98)</f>
        <v>34600</v>
      </c>
      <c r="BK98" s="674">
        <v>12000</v>
      </c>
      <c r="BL98" s="555"/>
      <c r="BM98" s="555"/>
      <c r="BN98" s="555"/>
      <c r="BO98" s="182"/>
      <c r="BP98" s="555"/>
      <c r="BQ98" s="555"/>
      <c r="BR98" s="555"/>
      <c r="BS98" s="555"/>
      <c r="BT98" s="182"/>
      <c r="BU98" s="555"/>
      <c r="BV98" s="555"/>
      <c r="BW98" s="555"/>
      <c r="BX98" s="555"/>
      <c r="BY98" s="182"/>
      <c r="BZ98" s="555"/>
      <c r="CA98" s="555"/>
      <c r="CB98" s="555"/>
      <c r="CC98" s="555"/>
      <c r="CD98" s="182"/>
      <c r="CE98" s="160"/>
    </row>
    <row r="99" spans="1:83">
      <c r="A99" s="533"/>
      <c r="B99" s="670" t="s">
        <v>21</v>
      </c>
      <c r="C99" s="553"/>
      <c r="D99" s="553"/>
      <c r="E99" s="553"/>
      <c r="F99" s="554"/>
      <c r="G99" s="182"/>
      <c r="H99" s="553"/>
      <c r="I99" s="553"/>
      <c r="J99" s="553"/>
      <c r="K99" s="554"/>
      <c r="L99" s="182"/>
      <c r="M99" s="553"/>
      <c r="N99" s="553"/>
      <c r="O99" s="553"/>
      <c r="P99" s="554"/>
      <c r="Q99" s="182"/>
      <c r="R99" s="553"/>
      <c r="S99" s="553"/>
      <c r="T99" s="553"/>
      <c r="U99" s="554"/>
      <c r="V99" s="182"/>
      <c r="W99" s="553"/>
      <c r="X99" s="553"/>
      <c r="Y99" s="553"/>
      <c r="Z99" s="554"/>
      <c r="AA99" s="182"/>
      <c r="AB99" s="553"/>
      <c r="AC99" s="553"/>
      <c r="AD99" s="553"/>
      <c r="AE99" s="554"/>
      <c r="AF99" s="182"/>
      <c r="AG99" s="553"/>
      <c r="AH99" s="553"/>
      <c r="AI99" s="553"/>
      <c r="AJ99" s="554"/>
      <c r="AK99" s="182"/>
      <c r="AL99" s="553"/>
      <c r="AM99" s="553"/>
      <c r="AN99" s="553"/>
      <c r="AO99" s="554"/>
      <c r="AP99" s="182"/>
      <c r="AQ99" s="553"/>
      <c r="AR99" s="553"/>
      <c r="AS99" s="553"/>
      <c r="AT99" s="554"/>
      <c r="AU99" s="551">
        <v>6</v>
      </c>
      <c r="AV99" s="671">
        <f>AV98/AQ98-1</f>
        <v>3.1401273885350323</v>
      </c>
      <c r="AW99" s="672">
        <v>2.4700000000000002</v>
      </c>
      <c r="AX99" s="671">
        <f>AX98/AS98-1</f>
        <v>2.0142857142857142</v>
      </c>
      <c r="AY99" s="671">
        <v>1.74</v>
      </c>
      <c r="AZ99" s="143"/>
      <c r="BA99" s="672">
        <v>1.5</v>
      </c>
      <c r="BB99" s="672">
        <v>1.41</v>
      </c>
      <c r="BC99" s="672">
        <v>1.31</v>
      </c>
      <c r="BD99" s="672">
        <v>1.26</v>
      </c>
      <c r="BE99" s="182"/>
      <c r="BF99" s="672">
        <f>BF98/BA98-1</f>
        <v>1.125</v>
      </c>
      <c r="BG99" s="672">
        <v>1.03</v>
      </c>
      <c r="BH99" s="672">
        <v>0.93</v>
      </c>
      <c r="BI99" s="672">
        <v>0.86</v>
      </c>
      <c r="BJ99" s="1272">
        <v>0.97</v>
      </c>
      <c r="BK99" s="672">
        <v>0.8</v>
      </c>
      <c r="BL99" s="555"/>
      <c r="BM99" s="555"/>
      <c r="BN99" s="555"/>
      <c r="BO99" s="182"/>
      <c r="BP99" s="555"/>
      <c r="BQ99" s="555"/>
      <c r="BR99" s="555"/>
      <c r="BS99" s="555"/>
      <c r="BT99" s="182"/>
      <c r="BU99" s="555"/>
      <c r="BV99" s="555"/>
      <c r="BW99" s="555"/>
      <c r="BX99" s="555"/>
      <c r="BY99" s="182"/>
      <c r="BZ99" s="555"/>
      <c r="CA99" s="555"/>
      <c r="CB99" s="555"/>
      <c r="CC99" s="555"/>
      <c r="CD99" s="182"/>
      <c r="CE99" s="160"/>
    </row>
    <row r="100" spans="1:83">
      <c r="A100" s="533"/>
      <c r="B100" s="670" t="s">
        <v>306</v>
      </c>
      <c r="C100" s="553"/>
      <c r="D100" s="553"/>
      <c r="E100" s="553"/>
      <c r="F100" s="554"/>
      <c r="G100" s="182"/>
      <c r="H100" s="553"/>
      <c r="I100" s="553"/>
      <c r="J100" s="553"/>
      <c r="K100" s="554"/>
      <c r="L100" s="182"/>
      <c r="M100" s="553"/>
      <c r="N100" s="553"/>
      <c r="O100" s="553"/>
      <c r="P100" s="554"/>
      <c r="Q100" s="182"/>
      <c r="R100" s="553"/>
      <c r="S100" s="553"/>
      <c r="T100" s="553"/>
      <c r="U100" s="554"/>
      <c r="V100" s="182"/>
      <c r="W100" s="553"/>
      <c r="X100" s="553"/>
      <c r="Y100" s="553"/>
      <c r="Z100" s="554"/>
      <c r="AA100" s="182"/>
      <c r="AB100" s="553"/>
      <c r="AC100" s="553"/>
      <c r="AD100" s="553"/>
      <c r="AE100" s="554"/>
      <c r="AF100" s="182"/>
      <c r="AG100" s="553"/>
      <c r="AH100" s="553"/>
      <c r="AI100" s="553"/>
      <c r="AJ100" s="554"/>
      <c r="AK100" s="182"/>
      <c r="AL100" s="553"/>
      <c r="AM100" s="553"/>
      <c r="AN100" s="553"/>
      <c r="AO100" s="554"/>
      <c r="AP100" s="182"/>
      <c r="AQ100" s="672"/>
      <c r="AR100" s="672"/>
      <c r="AS100" s="672"/>
      <c r="AT100" s="672"/>
      <c r="AU100" s="551"/>
      <c r="AV100" s="671">
        <f>(AQ6*(1+AV8)-AV98)/(AQ6-AQ98)-1</f>
        <v>0.23299351598515794</v>
      </c>
      <c r="AW100" s="671">
        <f>(AR6*(1+AW8)-AW98)/(AR6-AR98)-1</f>
        <v>0.25170185540626999</v>
      </c>
      <c r="AX100" s="671">
        <f>(AS6*(1+AX8)-AX98)/(AS6-AS98)-1</f>
        <v>0.24875930693758286</v>
      </c>
      <c r="AY100" s="671">
        <f>(AT6*(1+AY8)-AY98)/(AT6-AT98)-1</f>
        <v>0.26983050066786407</v>
      </c>
      <c r="AZ100" s="143"/>
      <c r="BA100" s="671">
        <f>(AV6*(1+BA8)-BA98)/(AV6-AV98)-1</f>
        <v>0.2857456943341814</v>
      </c>
      <c r="BB100" s="671">
        <f>(AW6*(1+BB8)-BB98)/(AW6-AW98)-1</f>
        <v>0.26259117337837568</v>
      </c>
      <c r="BC100" s="671">
        <f>(AX6*(1+BC8)-BC98)/(AX6-AX98)-1</f>
        <v>0.23791798517491003</v>
      </c>
      <c r="BD100" s="671">
        <f>(AY6*(1+BD8)-BD98)/(AY6-AY98)-1</f>
        <v>0.21902798774887877</v>
      </c>
      <c r="BE100" s="182"/>
      <c r="BF100" s="671">
        <f>(BA6*(1+BF8)-BF98)/(BA6-BA98)-1</f>
        <v>0.20431406645749073</v>
      </c>
      <c r="BG100" s="671">
        <f>(BB6*(1+BG8)-BG98)/(BB6-BB98)-1</f>
        <v>0.21273684461562303</v>
      </c>
      <c r="BH100" s="671">
        <f>(BC6*(1+BH8)-BH98)/(BC6-BC98)-1</f>
        <v>0.24275968807667136</v>
      </c>
      <c r="BI100" s="671">
        <f>(BD6*(1+BI8)-BI98)/(BD6-BD98)-1</f>
        <v>0.25660743762551119</v>
      </c>
      <c r="BJ100" s="182"/>
      <c r="BK100" s="671">
        <v>0.20197742942699737</v>
      </c>
      <c r="BL100" s="555"/>
      <c r="BM100" s="555"/>
      <c r="BN100" s="555"/>
      <c r="BO100" s="182"/>
      <c r="BP100" s="555"/>
      <c r="BQ100" s="555"/>
      <c r="BR100" s="555"/>
      <c r="BS100" s="555"/>
      <c r="BT100" s="182"/>
      <c r="BU100" s="555"/>
      <c r="BV100" s="555"/>
      <c r="BW100" s="555"/>
      <c r="BX100" s="555"/>
      <c r="BY100" s="182"/>
      <c r="BZ100" s="555"/>
      <c r="CA100" s="555"/>
      <c r="CB100" s="555"/>
      <c r="CC100" s="555"/>
      <c r="CD100" s="182"/>
      <c r="CE100" s="160"/>
    </row>
    <row r="101" spans="1:83">
      <c r="A101" s="533"/>
      <c r="B101" s="560" t="s">
        <v>307</v>
      </c>
      <c r="C101" s="553"/>
      <c r="D101" s="553"/>
      <c r="E101" s="553"/>
      <c r="F101" s="554"/>
      <c r="G101" s="182"/>
      <c r="H101" s="553"/>
      <c r="I101" s="553"/>
      <c r="J101" s="553"/>
      <c r="K101" s="554"/>
      <c r="L101" s="182"/>
      <c r="M101" s="553"/>
      <c r="N101" s="553"/>
      <c r="O101" s="553"/>
      <c r="P101" s="554"/>
      <c r="Q101" s="182"/>
      <c r="R101" s="553"/>
      <c r="S101" s="553"/>
      <c r="T101" s="553"/>
      <c r="U101" s="554"/>
      <c r="V101" s="182"/>
      <c r="W101" s="553"/>
      <c r="X101" s="553"/>
      <c r="Y101" s="553"/>
      <c r="Z101" s="554"/>
      <c r="AA101" s="182"/>
      <c r="AB101" s="553"/>
      <c r="AC101" s="553"/>
      <c r="AD101" s="553"/>
      <c r="AE101" s="554"/>
      <c r="AF101" s="182"/>
      <c r="AG101" s="553"/>
      <c r="AH101" s="553"/>
      <c r="AI101" s="553"/>
      <c r="AJ101" s="554"/>
      <c r="AK101" s="182"/>
      <c r="AL101" s="553"/>
      <c r="AM101" s="553"/>
      <c r="AN101" s="553"/>
      <c r="AO101" s="554"/>
      <c r="AP101" s="182"/>
      <c r="AQ101" s="553"/>
      <c r="AR101" s="553"/>
      <c r="AS101" s="553"/>
      <c r="AT101" s="554"/>
      <c r="AU101" s="551"/>
      <c r="AV101" s="671"/>
      <c r="AW101" s="672"/>
      <c r="AX101" s="673"/>
      <c r="AY101" s="674">
        <f>AY6*0.81</f>
        <v>67312.62000000001</v>
      </c>
      <c r="AZ101" s="143"/>
      <c r="BA101" s="555"/>
      <c r="BB101" s="675">
        <f>BB6*0.83</f>
        <v>72843.289999999994</v>
      </c>
      <c r="BC101" s="675">
        <v>73000</v>
      </c>
      <c r="BD101" s="675">
        <f>BD6*0.84</f>
        <v>84597.239999999991</v>
      </c>
      <c r="BE101" s="184"/>
      <c r="BF101" s="676">
        <v>84000</v>
      </c>
      <c r="BG101" s="676">
        <f>BG6*0.86</f>
        <v>92708</v>
      </c>
      <c r="BH101" s="676"/>
      <c r="BI101" s="675"/>
      <c r="BJ101" s="182"/>
      <c r="BK101" s="676"/>
      <c r="BL101" s="555"/>
      <c r="BM101" s="555"/>
      <c r="BN101" s="555"/>
      <c r="BO101" s="182"/>
      <c r="BP101" s="555"/>
      <c r="BQ101" s="555"/>
      <c r="BR101" s="555"/>
      <c r="BS101" s="555"/>
      <c r="BT101" s="182"/>
      <c r="BU101" s="555"/>
      <c r="BV101" s="555"/>
      <c r="BW101" s="555"/>
      <c r="BX101" s="555"/>
      <c r="BY101" s="182"/>
      <c r="BZ101" s="555"/>
      <c r="CA101" s="555"/>
      <c r="CB101" s="555"/>
      <c r="CC101" s="555"/>
      <c r="CD101" s="182"/>
      <c r="CE101" s="160"/>
    </row>
    <row r="102" spans="1:83">
      <c r="A102" s="533"/>
      <c r="B102" s="670" t="s">
        <v>308</v>
      </c>
      <c r="C102" s="553"/>
      <c r="D102" s="553"/>
      <c r="E102" s="553"/>
      <c r="F102" s="554"/>
      <c r="G102" s="182"/>
      <c r="H102" s="553"/>
      <c r="I102" s="553"/>
      <c r="J102" s="553"/>
      <c r="K102" s="554"/>
      <c r="L102" s="182"/>
      <c r="M102" s="553"/>
      <c r="N102" s="553"/>
      <c r="O102" s="553"/>
      <c r="P102" s="554"/>
      <c r="Q102" s="182"/>
      <c r="R102" s="553"/>
      <c r="S102" s="553"/>
      <c r="T102" s="553"/>
      <c r="U102" s="554"/>
      <c r="V102" s="182"/>
      <c r="W102" s="553"/>
      <c r="X102" s="553"/>
      <c r="Y102" s="553"/>
      <c r="Z102" s="554"/>
      <c r="AA102" s="182"/>
      <c r="AB102" s="553"/>
      <c r="AC102" s="553"/>
      <c r="AD102" s="553"/>
      <c r="AE102" s="554"/>
      <c r="AF102" s="182"/>
      <c r="AG102" s="553"/>
      <c r="AH102" s="553"/>
      <c r="AI102" s="553"/>
      <c r="AJ102" s="554"/>
      <c r="AK102" s="182"/>
      <c r="AL102" s="553"/>
      <c r="AM102" s="553"/>
      <c r="AN102" s="553"/>
      <c r="AO102" s="554"/>
      <c r="AP102" s="182"/>
      <c r="AQ102" s="553"/>
      <c r="AR102" s="553"/>
      <c r="AS102" s="553"/>
      <c r="AT102" s="554"/>
      <c r="AU102" s="551"/>
      <c r="AV102" s="671"/>
      <c r="AW102" s="672"/>
      <c r="AX102" s="673">
        <v>0.34</v>
      </c>
      <c r="AY102" s="673">
        <v>0.36</v>
      </c>
      <c r="AZ102" s="143"/>
      <c r="BA102" s="672">
        <v>0.39</v>
      </c>
      <c r="BB102" s="672">
        <v>0.36</v>
      </c>
      <c r="BC102" s="672">
        <v>0.34</v>
      </c>
      <c r="BD102" s="672">
        <v>0.3</v>
      </c>
      <c r="BE102" s="184"/>
      <c r="BF102" s="672">
        <v>0.3</v>
      </c>
      <c r="BG102" s="672">
        <v>0.3</v>
      </c>
      <c r="BH102" s="672"/>
      <c r="BI102" s="672"/>
      <c r="BJ102" s="182"/>
      <c r="BK102" s="672"/>
      <c r="BL102" s="555"/>
      <c r="BM102" s="555"/>
      <c r="BN102" s="555"/>
      <c r="BO102" s="182"/>
      <c r="BP102" s="555"/>
      <c r="BQ102" s="555"/>
      <c r="BR102" s="555"/>
      <c r="BS102" s="555"/>
      <c r="BT102" s="182"/>
      <c r="BU102" s="555"/>
      <c r="BV102" s="555"/>
      <c r="BW102" s="555"/>
      <c r="BX102" s="555"/>
      <c r="BY102" s="182"/>
      <c r="BZ102" s="555"/>
      <c r="CA102" s="555"/>
      <c r="CB102" s="555"/>
      <c r="CC102" s="555"/>
      <c r="CD102" s="182"/>
      <c r="CE102" s="160"/>
    </row>
    <row r="103" spans="1:83">
      <c r="A103" s="533"/>
      <c r="B103" s="670"/>
      <c r="C103" s="553"/>
      <c r="D103" s="553"/>
      <c r="E103" s="553"/>
      <c r="F103" s="554"/>
      <c r="G103" s="182"/>
      <c r="H103" s="553"/>
      <c r="I103" s="553"/>
      <c r="J103" s="553"/>
      <c r="K103" s="554"/>
      <c r="L103" s="182"/>
      <c r="M103" s="553"/>
      <c r="N103" s="553"/>
      <c r="O103" s="553"/>
      <c r="P103" s="554"/>
      <c r="Q103" s="182"/>
      <c r="R103" s="553"/>
      <c r="S103" s="553"/>
      <c r="T103" s="553"/>
      <c r="U103" s="554"/>
      <c r="V103" s="182"/>
      <c r="W103" s="553"/>
      <c r="X103" s="553"/>
      <c r="Y103" s="553"/>
      <c r="Z103" s="554"/>
      <c r="AA103" s="182"/>
      <c r="AB103" s="553"/>
      <c r="AC103" s="553"/>
      <c r="AD103" s="553"/>
      <c r="AE103" s="554"/>
      <c r="AF103" s="182"/>
      <c r="AG103" s="553"/>
      <c r="AH103" s="553"/>
      <c r="AI103" s="553"/>
      <c r="AJ103" s="554"/>
      <c r="AK103" s="182"/>
      <c r="AL103" s="553"/>
      <c r="AM103" s="553"/>
      <c r="AN103" s="553"/>
      <c r="AO103" s="554"/>
      <c r="AP103" s="182"/>
      <c r="AQ103" s="553"/>
      <c r="AR103" s="553"/>
      <c r="AS103" s="553"/>
      <c r="AT103" s="554"/>
      <c r="AU103" s="551"/>
      <c r="AV103" s="671"/>
      <c r="AW103" s="672"/>
      <c r="AX103" s="673"/>
      <c r="AY103" s="673"/>
      <c r="AZ103" s="143"/>
      <c r="BA103" s="672"/>
      <c r="BB103" s="672"/>
      <c r="BC103" s="672"/>
      <c r="BD103" s="672"/>
      <c r="BE103" s="184"/>
      <c r="BF103" s="672"/>
      <c r="BG103" s="672"/>
      <c r="BH103" s="672"/>
      <c r="BI103" s="672"/>
      <c r="BJ103" s="182"/>
      <c r="BK103" s="672"/>
      <c r="BL103" s="555"/>
      <c r="BM103" s="555"/>
      <c r="BN103" s="555"/>
      <c r="BO103" s="182"/>
      <c r="BP103" s="555"/>
      <c r="BQ103" s="555"/>
      <c r="BR103" s="555"/>
      <c r="BS103" s="555"/>
      <c r="BT103" s="182"/>
      <c r="BU103" s="555"/>
      <c r="BV103" s="555"/>
      <c r="BW103" s="555"/>
      <c r="BX103" s="555"/>
      <c r="BY103" s="182"/>
      <c r="BZ103" s="555"/>
      <c r="CA103" s="555"/>
      <c r="CB103" s="555"/>
      <c r="CC103" s="555"/>
      <c r="CD103" s="182"/>
      <c r="CE103" s="160"/>
    </row>
    <row r="104" spans="1:83">
      <c r="A104" s="533"/>
      <c r="B104" s="560" t="s">
        <v>309</v>
      </c>
      <c r="C104" s="553"/>
      <c r="D104" s="553"/>
      <c r="E104" s="553"/>
      <c r="F104" s="554"/>
      <c r="G104" s="182"/>
      <c r="H104" s="553"/>
      <c r="I104" s="553"/>
      <c r="J104" s="553"/>
      <c r="K104" s="554"/>
      <c r="L104" s="182"/>
      <c r="M104" s="553"/>
      <c r="N104" s="553"/>
      <c r="O104" s="553"/>
      <c r="P104" s="554"/>
      <c r="Q104" s="182"/>
      <c r="R104" s="553"/>
      <c r="S104" s="553"/>
      <c r="T104" s="553"/>
      <c r="U104" s="554"/>
      <c r="V104" s="182"/>
      <c r="W104" s="553"/>
      <c r="X104" s="553"/>
      <c r="Y104" s="553"/>
      <c r="Z104" s="554"/>
      <c r="AA104" s="182"/>
      <c r="AB104" s="553"/>
      <c r="AC104" s="553"/>
      <c r="AD104" s="553"/>
      <c r="AE104" s="554"/>
      <c r="AF104" s="182"/>
      <c r="AG104" s="553"/>
      <c r="AH104" s="553"/>
      <c r="AI104" s="553"/>
      <c r="AJ104" s="554"/>
      <c r="AK104" s="182"/>
      <c r="AL104" s="553"/>
      <c r="AM104" s="553"/>
      <c r="AN104" s="553"/>
      <c r="AO104" s="554"/>
      <c r="AP104" s="182"/>
      <c r="AQ104" s="553"/>
      <c r="AR104" s="553"/>
      <c r="AS104" s="553"/>
      <c r="AT104" s="554"/>
      <c r="AU104" s="549"/>
      <c r="AV104" s="555"/>
      <c r="AW104" s="555"/>
      <c r="AX104" s="555"/>
      <c r="AY104" s="555"/>
      <c r="AZ104" s="143"/>
      <c r="BA104" s="677">
        <v>0.18</v>
      </c>
      <c r="BB104" s="677"/>
      <c r="BC104" s="677"/>
      <c r="BD104" s="677">
        <v>0.16</v>
      </c>
      <c r="BE104" s="182"/>
      <c r="BF104" s="677">
        <v>0.15</v>
      </c>
      <c r="BG104" s="677">
        <v>0.14000000000000001</v>
      </c>
      <c r="BH104" s="677">
        <v>0.13500000000000001</v>
      </c>
      <c r="BI104" s="677">
        <v>0.13</v>
      </c>
      <c r="BJ104" s="182"/>
      <c r="BK104" s="677">
        <f>17000/BK6</f>
        <v>0.1284337130941948</v>
      </c>
      <c r="BL104" s="555"/>
      <c r="BM104" s="555"/>
      <c r="BN104" s="555"/>
      <c r="BO104" s="182"/>
      <c r="BP104" s="555"/>
      <c r="BQ104" s="555"/>
      <c r="BR104" s="555"/>
      <c r="BS104" s="555"/>
      <c r="BT104" s="182"/>
      <c r="BU104" s="555"/>
      <c r="BV104" s="555"/>
      <c r="BW104" s="555"/>
      <c r="BX104" s="555"/>
      <c r="BY104" s="182"/>
      <c r="BZ104" s="555"/>
      <c r="CA104" s="555"/>
      <c r="CB104" s="555"/>
      <c r="CC104" s="555"/>
      <c r="CD104" s="182"/>
      <c r="CE104" s="160"/>
    </row>
    <row r="105" spans="1:83">
      <c r="A105" s="533"/>
      <c r="B105" s="560"/>
      <c r="C105" s="553"/>
      <c r="D105" s="553"/>
      <c r="E105" s="553"/>
      <c r="F105" s="554"/>
      <c r="G105" s="182"/>
      <c r="H105" s="553"/>
      <c r="I105" s="553"/>
      <c r="J105" s="553"/>
      <c r="K105" s="554"/>
      <c r="L105" s="182"/>
      <c r="M105" s="553"/>
      <c r="N105" s="553"/>
      <c r="O105" s="553"/>
      <c r="P105" s="554"/>
      <c r="Q105" s="182"/>
      <c r="R105" s="553"/>
      <c r="S105" s="553"/>
      <c r="T105" s="553"/>
      <c r="U105" s="554"/>
      <c r="V105" s="182"/>
      <c r="W105" s="553"/>
      <c r="X105" s="553"/>
      <c r="Y105" s="553"/>
      <c r="Z105" s="554"/>
      <c r="AA105" s="182"/>
      <c r="AB105" s="553"/>
      <c r="AC105" s="553"/>
      <c r="AD105" s="553"/>
      <c r="AE105" s="554"/>
      <c r="AF105" s="182"/>
      <c r="AG105" s="553"/>
      <c r="AH105" s="553"/>
      <c r="AI105" s="553"/>
      <c r="AJ105" s="554"/>
      <c r="AK105" s="182"/>
      <c r="AL105" s="553"/>
      <c r="AM105" s="553"/>
      <c r="AN105" s="553"/>
      <c r="AO105" s="554"/>
      <c r="AP105" s="182"/>
      <c r="AQ105" s="553"/>
      <c r="AR105" s="553"/>
      <c r="AS105" s="553"/>
      <c r="AT105" s="554"/>
      <c r="AU105" s="549"/>
      <c r="AV105" s="555"/>
      <c r="AW105" s="555"/>
      <c r="AX105" s="555"/>
      <c r="AY105" s="555"/>
      <c r="AZ105" s="143"/>
      <c r="BA105" s="672"/>
      <c r="BB105" s="555"/>
      <c r="BC105" s="555"/>
      <c r="BD105" s="555"/>
      <c r="BE105" s="182"/>
      <c r="BF105" s="672"/>
      <c r="BG105" s="672"/>
      <c r="BH105" s="672"/>
      <c r="BI105" s="555"/>
      <c r="BJ105" s="182"/>
      <c r="BK105" s="672"/>
      <c r="BL105" s="555"/>
      <c r="BM105" s="555"/>
      <c r="BN105" s="555"/>
      <c r="BO105" s="182"/>
      <c r="BP105" s="555"/>
      <c r="BQ105" s="555"/>
      <c r="BR105" s="555"/>
      <c r="BS105" s="555"/>
      <c r="BT105" s="182"/>
      <c r="BU105" s="555"/>
      <c r="BV105" s="555"/>
      <c r="BW105" s="555"/>
      <c r="BX105" s="555"/>
      <c r="BY105" s="182"/>
      <c r="BZ105" s="555"/>
      <c r="CA105" s="555"/>
      <c r="CB105" s="555"/>
      <c r="CC105" s="555"/>
      <c r="CD105" s="182"/>
      <c r="CE105" s="160"/>
    </row>
    <row r="106" spans="1:83">
      <c r="A106" s="129"/>
      <c r="B106" s="644" t="s">
        <v>310</v>
      </c>
      <c r="C106" s="173"/>
      <c r="D106" s="173"/>
      <c r="E106" s="173"/>
      <c r="F106" s="173"/>
      <c r="G106" s="549"/>
      <c r="H106" s="173"/>
      <c r="I106" s="173"/>
      <c r="J106" s="173"/>
      <c r="K106" s="173"/>
      <c r="L106" s="549"/>
      <c r="M106" s="173"/>
      <c r="N106" s="173"/>
      <c r="O106" s="173"/>
      <c r="P106" s="173"/>
      <c r="Q106" s="549"/>
      <c r="R106" s="173"/>
      <c r="S106" s="173"/>
      <c r="T106" s="173"/>
      <c r="U106" s="173"/>
      <c r="V106" s="549"/>
      <c r="W106" s="173"/>
      <c r="X106" s="173"/>
      <c r="Y106" s="173"/>
      <c r="Z106" s="173"/>
      <c r="AA106" s="549"/>
      <c r="AB106" s="173"/>
      <c r="AC106" s="173"/>
      <c r="AD106" s="173"/>
      <c r="AE106" s="173"/>
      <c r="AF106" s="549"/>
      <c r="AG106" s="173"/>
      <c r="AH106" s="173"/>
      <c r="AI106" s="173"/>
      <c r="AJ106" s="173"/>
      <c r="AK106" s="549"/>
      <c r="AL106" s="173"/>
      <c r="AM106" s="173"/>
      <c r="AN106" s="173"/>
      <c r="AO106" s="173"/>
      <c r="AP106" s="549"/>
      <c r="AQ106" s="173"/>
      <c r="AR106" s="173"/>
      <c r="AS106" s="173"/>
      <c r="AT106" s="173"/>
      <c r="AU106" s="549"/>
      <c r="AV106" s="318"/>
      <c r="AW106" s="318"/>
      <c r="AX106" s="318"/>
      <c r="AY106" s="318"/>
      <c r="AZ106" s="583"/>
      <c r="BA106" s="318"/>
      <c r="BB106" s="318"/>
      <c r="BC106" s="318"/>
      <c r="BD106" s="318"/>
      <c r="BE106" s="316">
        <v>64000</v>
      </c>
      <c r="BF106" s="318"/>
      <c r="BG106" s="676">
        <f>BG6*0.21</f>
        <v>22638</v>
      </c>
      <c r="BH106" s="676">
        <v>24000</v>
      </c>
      <c r="BI106" s="676">
        <v>27000</v>
      </c>
      <c r="BJ106" s="549"/>
      <c r="BK106" s="528">
        <v>30000</v>
      </c>
      <c r="BL106" s="173"/>
      <c r="BM106" s="173"/>
      <c r="BN106" s="173"/>
      <c r="BO106" s="549"/>
      <c r="BP106" s="173"/>
      <c r="BQ106" s="173"/>
      <c r="BR106" s="173"/>
      <c r="BS106" s="173"/>
      <c r="BT106" s="549"/>
      <c r="BU106" s="173"/>
      <c r="BV106" s="173"/>
      <c r="BW106" s="173"/>
      <c r="BX106" s="173"/>
      <c r="BY106" s="549"/>
      <c r="BZ106" s="173"/>
      <c r="CA106" s="173"/>
      <c r="CB106" s="173"/>
      <c r="CC106" s="173"/>
      <c r="CD106" s="549"/>
    </row>
    <row r="107" spans="1:83">
      <c r="A107" s="678"/>
      <c r="B107" s="670" t="s">
        <v>311</v>
      </c>
      <c r="C107" s="173"/>
      <c r="D107" s="173"/>
      <c r="E107" s="173"/>
      <c r="F107" s="173"/>
      <c r="G107" s="549"/>
      <c r="H107" s="173"/>
      <c r="I107" s="173"/>
      <c r="J107" s="173"/>
      <c r="K107" s="173"/>
      <c r="L107" s="549"/>
      <c r="M107" s="173"/>
      <c r="N107" s="173"/>
      <c r="O107" s="173"/>
      <c r="P107" s="173"/>
      <c r="Q107" s="549"/>
      <c r="R107" s="173"/>
      <c r="S107" s="173"/>
      <c r="T107" s="173"/>
      <c r="U107" s="173"/>
      <c r="V107" s="549"/>
      <c r="W107" s="173"/>
      <c r="X107" s="173"/>
      <c r="Y107" s="173"/>
      <c r="Z107" s="173"/>
      <c r="AA107" s="549"/>
      <c r="AB107" s="173"/>
      <c r="AC107" s="173"/>
      <c r="AD107" s="173"/>
      <c r="AE107" s="173"/>
      <c r="AF107" s="549"/>
      <c r="AG107" s="173"/>
      <c r="AH107" s="173"/>
      <c r="AI107" s="173"/>
      <c r="AJ107" s="173"/>
      <c r="AK107" s="549"/>
      <c r="AL107" s="173"/>
      <c r="AM107" s="173"/>
      <c r="AN107" s="173"/>
      <c r="AO107" s="173"/>
      <c r="AP107" s="549"/>
      <c r="AQ107" s="173"/>
      <c r="AR107" s="173"/>
      <c r="AS107" s="173"/>
      <c r="AT107" s="173"/>
      <c r="AU107" s="549"/>
      <c r="AV107" s="318"/>
      <c r="AW107" s="318"/>
      <c r="AX107" s="318"/>
      <c r="AY107" s="318"/>
      <c r="AZ107" s="583"/>
      <c r="BA107" s="318"/>
      <c r="BB107" s="318"/>
      <c r="BC107" s="318"/>
      <c r="BD107" s="318"/>
      <c r="BE107" s="316"/>
      <c r="BF107" s="318"/>
      <c r="BG107" s="676"/>
      <c r="BH107" s="679">
        <v>0.44</v>
      </c>
      <c r="BI107" s="679">
        <v>0.5</v>
      </c>
      <c r="BJ107" s="549"/>
      <c r="BK107" s="318">
        <v>0.5</v>
      </c>
      <c r="BL107" s="173"/>
      <c r="BM107" s="173"/>
      <c r="BN107" s="173"/>
      <c r="BO107" s="549"/>
      <c r="BP107" s="173"/>
      <c r="BQ107" s="173"/>
      <c r="BR107" s="173"/>
      <c r="BS107" s="173"/>
      <c r="BT107" s="549"/>
      <c r="BU107" s="173"/>
      <c r="BV107" s="173"/>
      <c r="BW107" s="173"/>
      <c r="BX107" s="173"/>
      <c r="BY107" s="549"/>
      <c r="BZ107" s="173"/>
      <c r="CA107" s="173"/>
      <c r="CB107" s="173"/>
      <c r="CC107" s="173"/>
      <c r="CD107" s="549"/>
    </row>
    <row r="108" spans="1:83">
      <c r="A108" s="129"/>
      <c r="B108" s="644"/>
      <c r="C108" s="173"/>
      <c r="D108" s="173"/>
      <c r="E108" s="173"/>
      <c r="F108" s="173"/>
      <c r="G108" s="549"/>
      <c r="H108" s="173"/>
      <c r="I108" s="173"/>
      <c r="J108" s="173"/>
      <c r="K108" s="173"/>
      <c r="L108" s="549"/>
      <c r="M108" s="173"/>
      <c r="N108" s="173"/>
      <c r="O108" s="173"/>
      <c r="P108" s="173"/>
      <c r="Q108" s="549"/>
      <c r="R108" s="173"/>
      <c r="S108" s="173"/>
      <c r="T108" s="173"/>
      <c r="U108" s="173"/>
      <c r="V108" s="549"/>
      <c r="W108" s="173"/>
      <c r="X108" s="173"/>
      <c r="Y108" s="173"/>
      <c r="Z108" s="173"/>
      <c r="AA108" s="549"/>
      <c r="AB108" s="173"/>
      <c r="AC108" s="173"/>
      <c r="AD108" s="173"/>
      <c r="AE108" s="173"/>
      <c r="AF108" s="549"/>
      <c r="AG108" s="173"/>
      <c r="AH108" s="173"/>
      <c r="AI108" s="173"/>
      <c r="AJ108" s="173"/>
      <c r="AK108" s="549"/>
      <c r="AL108" s="173"/>
      <c r="AM108" s="173"/>
      <c r="AN108" s="173"/>
      <c r="AO108" s="173"/>
      <c r="AP108" s="549"/>
      <c r="AQ108" s="173"/>
      <c r="AR108" s="173"/>
      <c r="AS108" s="173"/>
      <c r="AT108" s="173"/>
      <c r="AU108" s="549"/>
      <c r="AV108" s="318"/>
      <c r="AW108" s="318"/>
      <c r="AX108" s="318"/>
      <c r="AY108" s="318"/>
      <c r="AZ108" s="583"/>
      <c r="BA108" s="318"/>
      <c r="BB108" s="318"/>
      <c r="BC108" s="318"/>
      <c r="BD108" s="318"/>
      <c r="BE108" s="316"/>
      <c r="BF108" s="318"/>
      <c r="BG108" s="676"/>
      <c r="BH108" s="676"/>
      <c r="BI108" s="318"/>
      <c r="BJ108" s="549"/>
      <c r="BK108" s="318"/>
      <c r="BL108" s="173"/>
      <c r="BM108" s="173"/>
      <c r="BN108" s="173"/>
      <c r="BO108" s="549"/>
      <c r="BP108" s="173"/>
      <c r="BQ108" s="173"/>
      <c r="BR108" s="173"/>
      <c r="BS108" s="173"/>
      <c r="BT108" s="549"/>
      <c r="BU108" s="173"/>
      <c r="BV108" s="173"/>
      <c r="BW108" s="173"/>
      <c r="BX108" s="173"/>
      <c r="BY108" s="549"/>
      <c r="BZ108" s="173"/>
      <c r="CA108" s="173"/>
      <c r="CB108" s="173"/>
      <c r="CC108" s="173"/>
      <c r="CD108" s="549"/>
    </row>
    <row r="109" spans="1:83">
      <c r="A109" s="680"/>
      <c r="B109" s="239" t="s">
        <v>312</v>
      </c>
      <c r="C109" s="162"/>
      <c r="D109" s="162"/>
      <c r="E109" s="162"/>
      <c r="F109" s="162"/>
      <c r="G109" s="681"/>
      <c r="H109" s="162"/>
      <c r="I109" s="162"/>
      <c r="J109" s="162"/>
      <c r="K109" s="162"/>
      <c r="L109" s="681"/>
      <c r="M109" s="162"/>
      <c r="N109" s="162"/>
      <c r="O109" s="162"/>
      <c r="P109" s="162"/>
      <c r="Q109" s="681"/>
      <c r="R109" s="162"/>
      <c r="S109" s="162"/>
      <c r="T109" s="162"/>
      <c r="U109" s="162"/>
      <c r="V109" s="681"/>
      <c r="W109" s="162"/>
      <c r="X109" s="162"/>
      <c r="Y109" s="162"/>
      <c r="Z109" s="162"/>
      <c r="AA109" s="681"/>
      <c r="AB109" s="162"/>
      <c r="AC109" s="162"/>
      <c r="AD109" s="162"/>
      <c r="AE109" s="162"/>
      <c r="AF109" s="681"/>
      <c r="AG109" s="162"/>
      <c r="AH109" s="162"/>
      <c r="AI109" s="162"/>
      <c r="AJ109" s="162"/>
      <c r="AK109" s="681"/>
      <c r="AL109" s="162"/>
      <c r="AM109" s="162"/>
      <c r="AN109" s="162"/>
      <c r="AO109" s="162"/>
      <c r="AP109" s="681"/>
      <c r="AQ109" s="162"/>
      <c r="AR109" s="162"/>
      <c r="AS109" s="162"/>
      <c r="AT109" s="162"/>
      <c r="AU109" s="681"/>
      <c r="AV109" s="682"/>
      <c r="AW109" s="682"/>
      <c r="AX109" s="683" t="s">
        <v>313</v>
      </c>
      <c r="AY109" s="683"/>
      <c r="AZ109" s="681"/>
      <c r="BA109" s="682"/>
      <c r="BB109" s="682"/>
      <c r="BC109" s="682"/>
      <c r="BD109" s="682"/>
      <c r="BE109" s="681"/>
      <c r="BF109" s="682"/>
      <c r="BG109" s="682"/>
      <c r="BH109" s="682"/>
      <c r="BI109" s="682"/>
      <c r="BJ109" s="681"/>
      <c r="BK109" s="682"/>
      <c r="BL109" s="682"/>
      <c r="BM109" s="682"/>
      <c r="BN109" s="682"/>
      <c r="BO109" s="681"/>
      <c r="BP109" s="682"/>
      <c r="BQ109" s="682"/>
      <c r="BR109" s="682"/>
      <c r="BS109" s="682"/>
      <c r="BT109" s="681"/>
      <c r="BU109" s="682"/>
      <c r="BV109" s="682"/>
      <c r="BW109" s="682"/>
      <c r="BX109" s="682"/>
      <c r="BY109" s="681"/>
      <c r="BZ109" s="682"/>
      <c r="CA109" s="682"/>
      <c r="CB109" s="682"/>
      <c r="CC109" s="682"/>
      <c r="CD109" s="681"/>
      <c r="CE109" s="684"/>
    </row>
    <row r="110" spans="1:83">
      <c r="A110" s="620"/>
      <c r="B110" s="685"/>
      <c r="C110" s="392"/>
      <c r="D110" s="392"/>
      <c r="E110" s="392"/>
      <c r="F110" s="392"/>
      <c r="G110" s="394"/>
      <c r="H110" s="392"/>
      <c r="I110" s="392"/>
      <c r="J110" s="392"/>
      <c r="K110" s="392"/>
      <c r="L110" s="394"/>
      <c r="M110" s="392"/>
      <c r="N110" s="392"/>
      <c r="O110" s="392"/>
      <c r="P110" s="392"/>
      <c r="Q110" s="394"/>
      <c r="R110" s="392"/>
      <c r="S110" s="392"/>
      <c r="T110" s="392"/>
      <c r="U110" s="392"/>
      <c r="V110" s="394"/>
      <c r="W110" s="392"/>
      <c r="X110" s="392"/>
      <c r="Y110" s="392"/>
      <c r="Z110" s="392"/>
      <c r="AA110" s="394"/>
      <c r="AB110" s="392"/>
      <c r="AC110" s="392"/>
      <c r="AD110" s="392"/>
      <c r="AE110" s="392"/>
      <c r="AF110" s="394"/>
      <c r="AG110" s="392"/>
      <c r="AH110" s="392"/>
      <c r="AI110" s="392"/>
      <c r="AJ110" s="392"/>
      <c r="AK110" s="395"/>
      <c r="AL110" s="396"/>
      <c r="AM110" s="396"/>
      <c r="AN110" s="396"/>
      <c r="AO110" s="396"/>
      <c r="AP110" s="395"/>
      <c r="AQ110" s="396"/>
      <c r="AR110" s="396"/>
      <c r="AS110" s="396"/>
      <c r="AT110" s="396"/>
      <c r="AU110" s="395"/>
      <c r="AV110" s="396"/>
      <c r="AW110" s="396"/>
      <c r="AX110" s="396"/>
      <c r="AY110" s="396"/>
      <c r="AZ110" s="395"/>
      <c r="BA110" s="396"/>
      <c r="BB110" s="396"/>
      <c r="BC110" s="396"/>
      <c r="BD110" s="396"/>
      <c r="BE110" s="395"/>
      <c r="BF110" s="396"/>
      <c r="BG110" s="396"/>
      <c r="BH110" s="396"/>
      <c r="BI110" s="396"/>
      <c r="BJ110" s="395"/>
      <c r="BK110" s="396"/>
      <c r="BL110" s="396"/>
      <c r="BM110" s="396"/>
      <c r="BN110" s="396"/>
      <c r="BO110" s="395"/>
      <c r="BP110" s="396"/>
      <c r="BQ110" s="396"/>
      <c r="BR110" s="396"/>
      <c r="BS110" s="396"/>
      <c r="BT110" s="395"/>
      <c r="BU110" s="396"/>
      <c r="BV110" s="396"/>
      <c r="BW110" s="396"/>
      <c r="BX110" s="396"/>
      <c r="BY110" s="395"/>
      <c r="BZ110" s="396"/>
      <c r="CA110" s="396"/>
      <c r="CB110" s="396"/>
      <c r="CC110" s="396"/>
      <c r="CD110" s="395"/>
      <c r="CE110" s="627"/>
    </row>
    <row r="111" spans="1:83" ht="15.75">
      <c r="A111" s="686"/>
      <c r="B111" s="666" t="s">
        <v>314</v>
      </c>
      <c r="C111" s="392"/>
      <c r="D111" s="392"/>
      <c r="E111" s="392"/>
      <c r="F111" s="392"/>
      <c r="G111" s="394"/>
      <c r="H111" s="392"/>
      <c r="I111" s="392"/>
      <c r="J111" s="392"/>
      <c r="K111" s="392"/>
      <c r="L111" s="394"/>
      <c r="M111" s="392"/>
      <c r="N111" s="392"/>
      <c r="O111" s="392"/>
      <c r="P111" s="392"/>
      <c r="Q111" s="394"/>
      <c r="R111" s="392"/>
      <c r="S111" s="392"/>
      <c r="T111" s="392"/>
      <c r="U111" s="392"/>
      <c r="V111" s="394"/>
      <c r="W111" s="392"/>
      <c r="X111" s="392"/>
      <c r="Y111" s="392"/>
      <c r="Z111" s="392"/>
      <c r="AA111" s="394"/>
      <c r="AB111" s="392"/>
      <c r="AC111" s="392"/>
      <c r="AD111" s="392"/>
      <c r="AE111" s="392"/>
      <c r="AF111" s="394"/>
      <c r="AG111" s="392"/>
      <c r="AH111" s="392"/>
      <c r="AI111" s="392"/>
      <c r="AJ111" s="392"/>
      <c r="AK111" s="395"/>
      <c r="AL111" s="396"/>
      <c r="AM111" s="396"/>
      <c r="AN111" s="396"/>
      <c r="AO111" s="396"/>
      <c r="AP111" s="395"/>
      <c r="AQ111" s="396"/>
      <c r="AR111" s="396"/>
      <c r="AS111" s="396"/>
      <c r="AT111" s="396"/>
      <c r="AU111" s="395"/>
      <c r="AV111" s="396"/>
      <c r="AW111" s="396"/>
      <c r="AX111" s="396"/>
      <c r="AY111" s="396"/>
      <c r="AZ111" s="395"/>
      <c r="BA111" s="396"/>
      <c r="BB111" s="396"/>
      <c r="BC111" s="396"/>
      <c r="BD111" s="396"/>
      <c r="BE111" s="395"/>
      <c r="BF111" s="396"/>
      <c r="BG111" s="396"/>
      <c r="BH111" s="396"/>
      <c r="BI111" s="396"/>
      <c r="BJ111" s="395"/>
      <c r="BK111" s="396"/>
      <c r="BL111" s="396"/>
      <c r="BM111" s="396"/>
      <c r="BN111" s="396"/>
      <c r="BO111" s="395"/>
      <c r="BP111" s="396"/>
      <c r="BQ111" s="396"/>
      <c r="BR111" s="396"/>
      <c r="BS111" s="396"/>
      <c r="BT111" s="395"/>
      <c r="BU111" s="396"/>
      <c r="BV111" s="396"/>
      <c r="BW111" s="396"/>
      <c r="BX111" s="396"/>
      <c r="BY111" s="395"/>
      <c r="BZ111" s="396"/>
      <c r="CA111" s="396"/>
      <c r="CB111" s="396"/>
      <c r="CC111" s="396"/>
      <c r="CD111" s="395"/>
      <c r="CE111" s="627"/>
    </row>
    <row r="112" spans="1:83" ht="15.75">
      <c r="A112" s="21"/>
      <c r="B112" s="687" t="s">
        <v>315</v>
      </c>
      <c r="C112" s="19"/>
      <c r="D112" s="19"/>
      <c r="E112" s="19"/>
      <c r="F112" s="19"/>
      <c r="G112" s="688"/>
      <c r="H112" s="19"/>
      <c r="I112" s="19"/>
      <c r="J112" s="19"/>
      <c r="K112" s="19"/>
      <c r="L112" s="688"/>
      <c r="M112" s="19"/>
      <c r="N112" s="19"/>
      <c r="O112" s="19"/>
      <c r="P112" s="19"/>
      <c r="Q112" s="688"/>
      <c r="R112" s="19"/>
      <c r="S112" s="19"/>
      <c r="T112" s="19"/>
      <c r="U112" s="19"/>
      <c r="V112" s="688"/>
      <c r="W112" s="19"/>
      <c r="X112" s="19"/>
      <c r="Y112" s="19"/>
      <c r="Z112" s="19"/>
      <c r="AA112" s="688"/>
      <c r="AB112" s="19"/>
      <c r="AC112" s="19"/>
      <c r="AD112" s="19"/>
      <c r="AE112" s="19"/>
      <c r="AF112" s="688"/>
      <c r="AG112" s="19"/>
      <c r="AH112" s="19"/>
      <c r="AI112" s="19"/>
      <c r="AJ112" s="19"/>
      <c r="AK112" s="316"/>
      <c r="AL112" s="19"/>
      <c r="AM112" s="19"/>
      <c r="AN112" s="19"/>
      <c r="AO112" s="19"/>
      <c r="AP112" s="316"/>
      <c r="AQ112" s="689"/>
      <c r="AR112" s="582"/>
      <c r="AS112" s="582"/>
      <c r="AT112" s="582"/>
      <c r="AU112" s="316"/>
      <c r="AV112" s="582"/>
      <c r="AW112" s="582"/>
      <c r="AX112" s="582"/>
      <c r="AY112" s="582"/>
      <c r="AZ112" s="688"/>
      <c r="BA112" s="19"/>
      <c r="BB112" s="582"/>
      <c r="BC112" s="582"/>
      <c r="BD112" s="582"/>
      <c r="BE112" s="688"/>
      <c r="BF112" s="19"/>
      <c r="BG112" s="19"/>
      <c r="BH112" s="19"/>
      <c r="BI112" s="582"/>
      <c r="BJ112" s="688"/>
      <c r="BK112" s="19"/>
      <c r="BL112" s="19"/>
      <c r="BM112" s="19"/>
      <c r="BN112" s="19"/>
      <c r="BO112" s="688"/>
      <c r="BP112" s="19"/>
      <c r="BQ112" s="19"/>
      <c r="BR112" s="19"/>
      <c r="BS112" s="19"/>
      <c r="BT112" s="688"/>
      <c r="BU112" s="19"/>
      <c r="BV112" s="19"/>
      <c r="BW112" s="19"/>
      <c r="BX112" s="19"/>
      <c r="BY112" s="688"/>
      <c r="BZ112" s="19"/>
      <c r="CA112" s="19"/>
      <c r="CB112" s="19"/>
      <c r="CC112" s="19"/>
      <c r="CD112" s="688"/>
      <c r="CE112" s="21"/>
    </row>
    <row r="113" spans="1:83">
      <c r="B113" s="690" t="s">
        <v>316</v>
      </c>
      <c r="C113" s="129"/>
      <c r="D113" s="129"/>
      <c r="E113" s="129"/>
      <c r="F113" s="129"/>
      <c r="G113" s="667"/>
      <c r="H113" s="129"/>
      <c r="I113" s="129"/>
      <c r="J113" s="129"/>
      <c r="K113" s="129"/>
      <c r="L113" s="667"/>
      <c r="M113" s="129"/>
      <c r="N113" s="129"/>
      <c r="O113" s="129"/>
      <c r="P113" s="129"/>
      <c r="Q113" s="667"/>
      <c r="R113" s="129"/>
      <c r="S113" s="129"/>
      <c r="T113" s="129"/>
      <c r="U113" s="129"/>
      <c r="V113" s="667"/>
      <c r="W113" s="129"/>
      <c r="X113" s="129"/>
      <c r="Y113" s="129"/>
      <c r="Z113" s="129"/>
      <c r="AA113" s="667"/>
      <c r="AB113" s="129"/>
      <c r="AC113" s="129"/>
      <c r="AD113" s="129"/>
      <c r="AE113" s="129"/>
      <c r="AF113" s="667"/>
      <c r="AG113" s="129"/>
      <c r="AH113" s="129"/>
      <c r="AI113" s="129"/>
      <c r="AJ113" s="129"/>
      <c r="AK113" s="667"/>
      <c r="AL113" s="129"/>
      <c r="AM113" s="129"/>
      <c r="AN113" s="129"/>
      <c r="AO113" s="129"/>
      <c r="AP113" s="691">
        <f>+AP6-AP118</f>
        <v>96515.12000000001</v>
      </c>
      <c r="AQ113" s="692">
        <f>+AQ6-AQ118</f>
        <v>27911.52</v>
      </c>
      <c r="AR113" s="692">
        <f>+AR6-AR118</f>
        <v>28935.360000000001</v>
      </c>
      <c r="AS113" s="692">
        <f>+AS6-AS118</f>
        <v>30043</v>
      </c>
      <c r="AT113" s="693">
        <v>34325</v>
      </c>
      <c r="AU113" s="691">
        <f>+AU6-AU118</f>
        <v>122010.2</v>
      </c>
      <c r="AV113" s="693">
        <v>34132</v>
      </c>
      <c r="AW113" s="693">
        <v>36864</v>
      </c>
      <c r="AX113" s="693">
        <v>38570</v>
      </c>
      <c r="AY113" s="693">
        <v>44320</v>
      </c>
      <c r="AZ113" s="691">
        <f>SUM(AV113:AY113)</f>
        <v>153886</v>
      </c>
      <c r="BA113" s="693">
        <v>44453</v>
      </c>
      <c r="BB113" s="693">
        <v>46848</v>
      </c>
      <c r="BC113" s="693">
        <v>48380</v>
      </c>
      <c r="BD113" s="693">
        <v>54719</v>
      </c>
      <c r="BE113" s="691">
        <f>SUM(BA113:BD113)</f>
        <v>194400</v>
      </c>
      <c r="BF113" s="693"/>
      <c r="BG113" s="693"/>
      <c r="BH113" s="693"/>
      <c r="BI113" s="693"/>
      <c r="BJ113" s="667"/>
      <c r="BK113" s="693"/>
      <c r="BL113" s="129"/>
      <c r="BM113" s="129"/>
      <c r="BN113" s="129"/>
      <c r="BO113" s="667"/>
      <c r="BP113" s="129"/>
      <c r="BQ113" s="129"/>
      <c r="BR113" s="129"/>
      <c r="BS113" s="129"/>
      <c r="BT113" s="667"/>
      <c r="BU113" s="129"/>
      <c r="BV113" s="129"/>
      <c r="BW113" s="129"/>
      <c r="BX113" s="129"/>
      <c r="BY113" s="667"/>
      <c r="BZ113" s="129"/>
      <c r="CA113" s="129"/>
      <c r="CB113" s="129"/>
      <c r="CC113" s="129"/>
      <c r="CD113" s="667"/>
    </row>
    <row r="114" spans="1:83">
      <c r="B114" s="138" t="s">
        <v>21</v>
      </c>
      <c r="C114" s="129"/>
      <c r="D114" s="129"/>
      <c r="E114" s="129"/>
      <c r="F114" s="129"/>
      <c r="G114" s="667"/>
      <c r="H114" s="129"/>
      <c r="I114" s="129"/>
      <c r="J114" s="129"/>
      <c r="K114" s="129"/>
      <c r="L114" s="667"/>
      <c r="M114" s="129"/>
      <c r="N114" s="129"/>
      <c r="O114" s="129"/>
      <c r="P114" s="129"/>
      <c r="Q114" s="667"/>
      <c r="R114" s="129"/>
      <c r="S114" s="129"/>
      <c r="T114" s="129"/>
      <c r="U114" s="129"/>
      <c r="V114" s="667"/>
      <c r="W114" s="129"/>
      <c r="X114" s="129"/>
      <c r="Y114" s="129"/>
      <c r="Z114" s="129"/>
      <c r="AA114" s="667"/>
      <c r="AB114" s="129"/>
      <c r="AC114" s="129"/>
      <c r="AD114" s="129"/>
      <c r="AE114" s="129"/>
      <c r="AF114" s="667"/>
      <c r="AG114" s="129"/>
      <c r="AH114" s="129"/>
      <c r="AI114" s="129"/>
      <c r="AJ114" s="129"/>
      <c r="AK114" s="667"/>
      <c r="AL114" s="129"/>
      <c r="AM114" s="129"/>
      <c r="AN114" s="129"/>
      <c r="AO114" s="129"/>
      <c r="AP114" s="667"/>
      <c r="AQ114" s="129"/>
      <c r="AR114" s="694">
        <v>0.25</v>
      </c>
      <c r="AS114" s="694">
        <v>0.27</v>
      </c>
      <c r="AT114" s="694">
        <v>0.25</v>
      </c>
      <c r="AU114" s="549">
        <f>+AU113/AP113-1</f>
        <v>0.26415633115308745</v>
      </c>
      <c r="AV114" s="550">
        <v>0.23</v>
      </c>
      <c r="AW114" s="550">
        <v>0.26</v>
      </c>
      <c r="AX114" s="550">
        <v>0.28000000000000003</v>
      </c>
      <c r="AY114" s="173">
        <f>AY113/AT113-1</f>
        <v>0.29118718135469779</v>
      </c>
      <c r="AZ114" s="667"/>
      <c r="BA114" s="173">
        <f>BA113/AV113-1</f>
        <v>0.30238485878354626</v>
      </c>
      <c r="BB114" s="173">
        <f>BB113/AW113-1</f>
        <v>0.27083333333333326</v>
      </c>
      <c r="BC114" s="173">
        <f>BC113/AX113-1</f>
        <v>0.25434275343531243</v>
      </c>
      <c r="BD114" s="173">
        <f>BD113/AY113-1</f>
        <v>0.23463447653429603</v>
      </c>
      <c r="BE114" s="667"/>
      <c r="BF114" s="173"/>
      <c r="BG114" s="173"/>
      <c r="BH114" s="173">
        <v>0.31</v>
      </c>
      <c r="BI114" s="173"/>
      <c r="BJ114" s="667"/>
      <c r="BK114" s="173"/>
      <c r="BL114" s="129"/>
      <c r="BM114" s="129"/>
      <c r="BN114" s="129"/>
      <c r="BO114" s="667"/>
      <c r="BP114" s="129"/>
      <c r="BQ114" s="129"/>
      <c r="BR114" s="129"/>
      <c r="BS114" s="129"/>
      <c r="BT114" s="667"/>
      <c r="BU114" s="129"/>
      <c r="BV114" s="129"/>
      <c r="BW114" s="129"/>
      <c r="BX114" s="129"/>
      <c r="BY114" s="667"/>
      <c r="BZ114" s="129"/>
      <c r="CA114" s="129"/>
      <c r="CB114" s="129"/>
      <c r="CC114" s="129"/>
      <c r="CD114" s="667"/>
    </row>
    <row r="115" spans="1:83">
      <c r="B115" s="138" t="s">
        <v>317</v>
      </c>
      <c r="C115" s="129"/>
      <c r="D115" s="129"/>
      <c r="E115" s="129"/>
      <c r="F115" s="129"/>
      <c r="G115" s="667"/>
      <c r="H115" s="129"/>
      <c r="I115" s="129"/>
      <c r="J115" s="129"/>
      <c r="K115" s="129"/>
      <c r="L115" s="667"/>
      <c r="M115" s="129"/>
      <c r="N115" s="129"/>
      <c r="O115" s="129"/>
      <c r="P115" s="129"/>
      <c r="Q115" s="667"/>
      <c r="R115" s="129"/>
      <c r="S115" s="129"/>
      <c r="T115" s="129"/>
      <c r="U115" s="129"/>
      <c r="V115" s="667"/>
      <c r="W115" s="129"/>
      <c r="X115" s="129"/>
      <c r="Y115" s="129"/>
      <c r="Z115" s="129"/>
      <c r="AA115" s="667"/>
      <c r="AB115" s="129"/>
      <c r="AC115" s="129"/>
      <c r="AD115" s="129"/>
      <c r="AE115" s="129"/>
      <c r="AF115" s="667"/>
      <c r="AG115" s="129"/>
      <c r="AH115" s="129"/>
      <c r="AI115" s="129"/>
      <c r="AJ115" s="129"/>
      <c r="AK115" s="667"/>
      <c r="AL115" s="129"/>
      <c r="AM115" s="129"/>
      <c r="AN115" s="129"/>
      <c r="AO115" s="129"/>
      <c r="AP115" s="667"/>
      <c r="AQ115" s="129"/>
      <c r="AR115" s="694"/>
      <c r="AS115" s="694"/>
      <c r="AT115" s="550"/>
      <c r="AU115" s="549"/>
      <c r="AV115" s="173">
        <f>(AV113-AV98)/(AQ113-AQ98)-1</f>
        <v>0.18967211546544771</v>
      </c>
      <c r="AW115" s="173">
        <f>(AW113-AW98)/(AR113-AR98)-1</f>
        <v>0.23791036471242855</v>
      </c>
      <c r="AX115" s="173">
        <f>(AX113-AX98)/(AS113-AS98)-1</f>
        <v>0.24254507037453577</v>
      </c>
      <c r="AY115" s="173">
        <f>(AY113-AY98)/(AT113-AT98)-1</f>
        <v>0.25190939286034886</v>
      </c>
      <c r="AZ115" s="667"/>
      <c r="BA115" s="550"/>
      <c r="BB115" s="173">
        <v>0.27</v>
      </c>
      <c r="BC115" s="173">
        <v>0.25</v>
      </c>
      <c r="BD115" s="173"/>
      <c r="BE115" s="667"/>
      <c r="BF115" s="550"/>
      <c r="BG115" s="550"/>
      <c r="BH115" s="550"/>
      <c r="BI115" s="173"/>
      <c r="BJ115" s="667"/>
      <c r="BK115" s="129"/>
      <c r="BL115" s="129"/>
      <c r="BM115" s="129"/>
      <c r="BN115" s="129"/>
      <c r="BO115" s="667"/>
      <c r="BP115" s="129"/>
      <c r="BQ115" s="129"/>
      <c r="BR115" s="129"/>
      <c r="BS115" s="129"/>
      <c r="BT115" s="667"/>
      <c r="BU115" s="129"/>
      <c r="BV115" s="129"/>
      <c r="BW115" s="129"/>
      <c r="BX115" s="129"/>
      <c r="BY115" s="667"/>
      <c r="BZ115" s="129"/>
      <c r="CA115" s="129"/>
      <c r="CB115" s="129"/>
      <c r="CC115" s="129"/>
      <c r="CD115" s="667"/>
    </row>
    <row r="116" spans="1:83">
      <c r="B116" s="670" t="s">
        <v>318</v>
      </c>
      <c r="C116" s="129"/>
      <c r="D116" s="129"/>
      <c r="E116" s="129"/>
      <c r="F116" s="129"/>
      <c r="G116" s="667"/>
      <c r="H116" s="129"/>
      <c r="I116" s="129"/>
      <c r="J116" s="129"/>
      <c r="K116" s="129"/>
      <c r="L116" s="667"/>
      <c r="M116" s="129"/>
      <c r="N116" s="129"/>
      <c r="O116" s="129"/>
      <c r="P116" s="129"/>
      <c r="Q116" s="667"/>
      <c r="R116" s="129"/>
      <c r="S116" s="129"/>
      <c r="T116" s="129"/>
      <c r="U116" s="129"/>
      <c r="V116" s="667"/>
      <c r="W116" s="129"/>
      <c r="X116" s="129"/>
      <c r="Y116" s="129"/>
      <c r="Z116" s="129"/>
      <c r="AA116" s="667"/>
      <c r="AB116" s="129"/>
      <c r="AC116" s="129"/>
      <c r="AD116" s="129"/>
      <c r="AE116" s="129"/>
      <c r="AF116" s="667"/>
      <c r="AG116" s="129"/>
      <c r="AH116" s="129"/>
      <c r="AI116" s="129"/>
      <c r="AJ116" s="129"/>
      <c r="AK116" s="667"/>
      <c r="AL116" s="129"/>
      <c r="AM116" s="129"/>
      <c r="AN116" s="129"/>
      <c r="AO116" s="129"/>
      <c r="AP116" s="667"/>
      <c r="AQ116" s="129"/>
      <c r="AR116" s="129"/>
      <c r="AS116" s="129"/>
      <c r="AT116" s="129"/>
      <c r="AU116" s="667"/>
      <c r="AV116" s="129"/>
      <c r="AW116" s="129"/>
      <c r="AX116" s="129"/>
      <c r="AY116" s="129"/>
      <c r="AZ116" s="667"/>
      <c r="BA116" s="129"/>
      <c r="BB116" s="129"/>
      <c r="BC116" s="129"/>
      <c r="BD116" s="129"/>
      <c r="BE116" s="667"/>
      <c r="BF116" s="129"/>
      <c r="BG116" s="129"/>
      <c r="BH116" s="129"/>
      <c r="BI116" s="129"/>
      <c r="BJ116" s="667"/>
      <c r="BK116" s="129"/>
      <c r="BL116" s="129"/>
      <c r="BM116" s="129"/>
      <c r="BN116" s="129"/>
      <c r="BO116" s="667"/>
      <c r="BP116" s="129"/>
      <c r="BQ116" s="129"/>
      <c r="BR116" s="129"/>
      <c r="BS116" s="129"/>
      <c r="BT116" s="667"/>
      <c r="BU116" s="129"/>
      <c r="BV116" s="129"/>
      <c r="BW116" s="129"/>
      <c r="BX116" s="129"/>
      <c r="BY116" s="667"/>
      <c r="BZ116" s="129"/>
      <c r="CA116" s="129"/>
      <c r="CB116" s="129"/>
      <c r="CC116" s="129"/>
      <c r="CD116" s="667"/>
    </row>
    <row r="117" spans="1:83" ht="6.75" customHeight="1">
      <c r="B117" s="670"/>
      <c r="C117" s="129"/>
      <c r="D117" s="129"/>
      <c r="E117" s="129"/>
      <c r="F117" s="129"/>
      <c r="G117" s="667"/>
      <c r="H117" s="129"/>
      <c r="I117" s="129"/>
      <c r="J117" s="129"/>
      <c r="K117" s="129"/>
      <c r="L117" s="667"/>
      <c r="M117" s="129"/>
      <c r="N117" s="129"/>
      <c r="O117" s="129"/>
      <c r="P117" s="129"/>
      <c r="Q117" s="667"/>
      <c r="R117" s="129"/>
      <c r="S117" s="129"/>
      <c r="T117" s="129"/>
      <c r="U117" s="129"/>
      <c r="V117" s="667"/>
      <c r="W117" s="129"/>
      <c r="X117" s="129"/>
      <c r="Y117" s="129"/>
      <c r="Z117" s="129"/>
      <c r="AA117" s="667"/>
      <c r="AB117" s="129"/>
      <c r="AC117" s="129"/>
      <c r="AD117" s="129"/>
      <c r="AE117" s="129"/>
      <c r="AF117" s="667"/>
      <c r="AG117" s="129"/>
      <c r="AH117" s="129"/>
      <c r="AI117" s="129"/>
      <c r="AJ117" s="129"/>
      <c r="AK117" s="667"/>
      <c r="AL117" s="129"/>
      <c r="AM117" s="129"/>
      <c r="AN117" s="129"/>
      <c r="AO117" s="129"/>
      <c r="AP117" s="667"/>
      <c r="AQ117" s="129"/>
      <c r="AR117" s="129"/>
      <c r="AS117" s="129"/>
      <c r="AT117" s="129"/>
      <c r="AU117" s="667"/>
      <c r="AV117" s="129"/>
      <c r="AW117" s="129"/>
      <c r="AX117" s="129"/>
      <c r="AY117" s="129"/>
      <c r="AZ117" s="667"/>
      <c r="BA117" s="129"/>
      <c r="BB117" s="129"/>
      <c r="BC117" s="129"/>
      <c r="BD117" s="129"/>
      <c r="BE117" s="667"/>
      <c r="BF117" s="129"/>
      <c r="BG117" s="129"/>
      <c r="BH117" s="129"/>
      <c r="BI117" s="129"/>
      <c r="BJ117" s="667"/>
      <c r="BK117" s="129"/>
      <c r="BL117" s="129"/>
      <c r="BM117" s="129"/>
      <c r="BN117" s="129"/>
      <c r="BO117" s="667"/>
      <c r="BP117" s="129"/>
      <c r="BQ117" s="129"/>
      <c r="BR117" s="129"/>
      <c r="BS117" s="129"/>
      <c r="BT117" s="667"/>
      <c r="BU117" s="129"/>
      <c r="BV117" s="129"/>
      <c r="BW117" s="129"/>
      <c r="BX117" s="129"/>
      <c r="BY117" s="667"/>
      <c r="BZ117" s="129"/>
      <c r="CA117" s="129"/>
      <c r="CB117" s="129"/>
      <c r="CC117" s="129"/>
      <c r="CD117" s="667"/>
    </row>
    <row r="118" spans="1:83">
      <c r="B118" s="690" t="s">
        <v>319</v>
      </c>
      <c r="C118" s="129"/>
      <c r="D118" s="129"/>
      <c r="E118" s="129"/>
      <c r="F118" s="129"/>
      <c r="G118" s="667"/>
      <c r="H118" s="129"/>
      <c r="I118" s="129"/>
      <c r="J118" s="129"/>
      <c r="K118" s="129"/>
      <c r="L118" s="667"/>
      <c r="M118" s="129"/>
      <c r="N118" s="129"/>
      <c r="O118" s="129"/>
      <c r="P118" s="129"/>
      <c r="Q118" s="667"/>
      <c r="R118" s="129"/>
      <c r="S118" s="129"/>
      <c r="T118" s="129"/>
      <c r="U118" s="129"/>
      <c r="V118" s="667"/>
      <c r="W118" s="129"/>
      <c r="X118" s="129"/>
      <c r="Y118" s="129"/>
      <c r="Z118" s="129"/>
      <c r="AA118" s="667"/>
      <c r="AB118" s="129"/>
      <c r="AC118" s="129"/>
      <c r="AD118" s="129"/>
      <c r="AE118" s="129"/>
      <c r="AF118" s="667"/>
      <c r="AG118" s="129"/>
      <c r="AH118" s="129"/>
      <c r="AI118" s="129"/>
      <c r="AJ118" s="129"/>
      <c r="AK118" s="667"/>
      <c r="AL118" s="129"/>
      <c r="AM118" s="129"/>
      <c r="AN118" s="129"/>
      <c r="AO118" s="129"/>
      <c r="AP118" s="695">
        <f>+AP123*AP6</f>
        <v>89090.87999999999</v>
      </c>
      <c r="AQ118" s="696">
        <f>+AQ123*AQ6</f>
        <v>25764.48</v>
      </c>
      <c r="AR118" s="696">
        <f>+AR123*AR6</f>
        <v>27800.639999999999</v>
      </c>
      <c r="AS118" s="696">
        <v>28141</v>
      </c>
      <c r="AT118" s="697">
        <v>31714</v>
      </c>
      <c r="AU118" s="695">
        <f>+AU123*AU6</f>
        <v>112624.8</v>
      </c>
      <c r="AV118" s="697">
        <v>28889</v>
      </c>
      <c r="AW118" s="697">
        <v>30618</v>
      </c>
      <c r="AX118" s="697">
        <v>31168</v>
      </c>
      <c r="AY118" s="697">
        <v>37203</v>
      </c>
      <c r="AZ118" s="695"/>
      <c r="BA118" s="697">
        <v>36603</v>
      </c>
      <c r="BB118" s="697">
        <v>39360</v>
      </c>
      <c r="BC118" s="697">
        <v>39023</v>
      </c>
      <c r="BD118" s="697">
        <v>44629</v>
      </c>
      <c r="BE118" s="691">
        <f>SUM(BA118:BD118)</f>
        <v>159615</v>
      </c>
      <c r="BF118" s="697"/>
      <c r="BG118" s="697"/>
      <c r="BH118" s="697"/>
      <c r="BI118" s="697"/>
      <c r="BJ118" s="695"/>
      <c r="BK118" s="696"/>
      <c r="BL118" s="698"/>
      <c r="BM118" s="698"/>
      <c r="BN118" s="698"/>
      <c r="BO118" s="695"/>
      <c r="BP118" s="696"/>
      <c r="BQ118" s="698"/>
      <c r="BR118" s="698"/>
      <c r="BS118" s="698"/>
      <c r="BT118" s="695"/>
      <c r="BU118" s="696"/>
      <c r="BV118" s="698"/>
      <c r="BW118" s="698"/>
      <c r="BX118" s="698"/>
      <c r="BY118" s="695"/>
      <c r="BZ118" s="696"/>
      <c r="CA118" s="698"/>
      <c r="CB118" s="698"/>
      <c r="CC118" s="698"/>
      <c r="CD118" s="695"/>
    </row>
    <row r="119" spans="1:83">
      <c r="B119" s="138" t="s">
        <v>21</v>
      </c>
      <c r="C119" s="129"/>
      <c r="D119" s="129"/>
      <c r="E119" s="129"/>
      <c r="F119" s="129"/>
      <c r="G119" s="667"/>
      <c r="H119" s="129"/>
      <c r="I119" s="129"/>
      <c r="J119" s="129"/>
      <c r="K119" s="129"/>
      <c r="L119" s="667"/>
      <c r="M119" s="129"/>
      <c r="N119" s="129"/>
      <c r="O119" s="129"/>
      <c r="P119" s="129"/>
      <c r="Q119" s="667"/>
      <c r="R119" s="129"/>
      <c r="S119" s="129"/>
      <c r="T119" s="129"/>
      <c r="U119" s="129"/>
      <c r="V119" s="667"/>
      <c r="W119" s="129"/>
      <c r="X119" s="129"/>
      <c r="Y119" s="129"/>
      <c r="Z119" s="129"/>
      <c r="AA119" s="667"/>
      <c r="AB119" s="129"/>
      <c r="AC119" s="129"/>
      <c r="AD119" s="129"/>
      <c r="AE119" s="129"/>
      <c r="AF119" s="667"/>
      <c r="AG119" s="129"/>
      <c r="AH119" s="129"/>
      <c r="AI119" s="129"/>
      <c r="AJ119" s="129"/>
      <c r="AK119" s="667"/>
      <c r="AL119" s="129"/>
      <c r="AM119" s="129"/>
      <c r="AN119" s="129"/>
      <c r="AO119" s="129"/>
      <c r="AP119" s="667"/>
      <c r="AQ119" s="129"/>
      <c r="AR119" s="129"/>
      <c r="AS119" s="129"/>
      <c r="AT119" s="129"/>
      <c r="AU119" s="699">
        <f>AU118/AP118-1</f>
        <v>0.2641563311530879</v>
      </c>
      <c r="AV119" s="173">
        <f>AV118/AQ118-1</f>
        <v>0.12127238741088497</v>
      </c>
      <c r="AW119" s="173">
        <f>AW118/AR118-1</f>
        <v>0.10134155184916604</v>
      </c>
      <c r="AX119" s="173">
        <f>AX118/AS118-1</f>
        <v>0.10756547386375748</v>
      </c>
      <c r="AY119" s="173">
        <f>AY118/AT118-1</f>
        <v>0.17307813583906162</v>
      </c>
      <c r="AZ119" s="667"/>
      <c r="BA119" s="173">
        <f>BA118/AV118-1</f>
        <v>0.26702204991519274</v>
      </c>
      <c r="BB119" s="173">
        <f>BB118/AW118-1</f>
        <v>0.28551832255535969</v>
      </c>
      <c r="BC119" s="173">
        <f>BC118/AX118-1</f>
        <v>0.2520213039014374</v>
      </c>
      <c r="BD119" s="173">
        <f>BD118/AY118-1</f>
        <v>0.19960755853022616</v>
      </c>
      <c r="BE119" s="667"/>
      <c r="BF119" s="173"/>
      <c r="BG119" s="173"/>
      <c r="BH119" s="173">
        <v>0.27</v>
      </c>
      <c r="BI119" s="173"/>
      <c r="BJ119" s="667"/>
      <c r="BK119" s="129"/>
      <c r="BL119" s="129"/>
      <c r="BM119" s="129"/>
      <c r="BN119" s="129"/>
      <c r="BO119" s="667"/>
      <c r="BP119" s="129"/>
      <c r="BQ119" s="129"/>
      <c r="BR119" s="129"/>
      <c r="BS119" s="129"/>
      <c r="BT119" s="667"/>
      <c r="BU119" s="129"/>
      <c r="BV119" s="129"/>
      <c r="BW119" s="129"/>
      <c r="BX119" s="129"/>
      <c r="BY119" s="667"/>
      <c r="BZ119" s="129"/>
      <c r="CA119" s="129"/>
      <c r="CB119" s="129"/>
      <c r="CC119" s="129"/>
      <c r="CD119" s="667"/>
    </row>
    <row r="120" spans="1:83">
      <c r="B120" s="138" t="s">
        <v>320</v>
      </c>
      <c r="C120" s="129"/>
      <c r="D120" s="129"/>
      <c r="E120" s="129"/>
      <c r="F120" s="129"/>
      <c r="G120" s="667"/>
      <c r="H120" s="129"/>
      <c r="I120" s="129"/>
      <c r="J120" s="129"/>
      <c r="K120" s="129"/>
      <c r="L120" s="667"/>
      <c r="M120" s="129"/>
      <c r="N120" s="129"/>
      <c r="O120" s="129"/>
      <c r="P120" s="129"/>
      <c r="Q120" s="667"/>
      <c r="R120" s="129"/>
      <c r="S120" s="129"/>
      <c r="T120" s="129"/>
      <c r="U120" s="129"/>
      <c r="V120" s="667"/>
      <c r="W120" s="129"/>
      <c r="X120" s="129"/>
      <c r="Y120" s="129"/>
      <c r="Z120" s="129"/>
      <c r="AA120" s="667"/>
      <c r="AB120" s="129"/>
      <c r="AC120" s="129"/>
      <c r="AD120" s="129"/>
      <c r="AE120" s="129"/>
      <c r="AF120" s="667"/>
      <c r="AG120" s="129"/>
      <c r="AH120" s="129"/>
      <c r="AI120" s="129"/>
      <c r="AJ120" s="129"/>
      <c r="AK120" s="667"/>
      <c r="AL120" s="129"/>
      <c r="AM120" s="129"/>
      <c r="AN120" s="129"/>
      <c r="AO120" s="129"/>
      <c r="AP120" s="667"/>
      <c r="AQ120" s="129"/>
      <c r="AR120" s="694">
        <v>0.27</v>
      </c>
      <c r="AS120" s="694">
        <v>0.28000000000000003</v>
      </c>
      <c r="AT120" s="694">
        <v>0.27</v>
      </c>
      <c r="AU120" s="699"/>
      <c r="AV120" s="550">
        <v>0.27</v>
      </c>
      <c r="AW120" s="550">
        <v>0.28000000000000003</v>
      </c>
      <c r="AX120" s="550">
        <v>0.25</v>
      </c>
      <c r="AY120" s="550">
        <v>0.28000000000000003</v>
      </c>
      <c r="AZ120" s="667"/>
      <c r="BA120" s="550">
        <v>0.32</v>
      </c>
      <c r="BB120" s="550">
        <v>0.31</v>
      </c>
      <c r="BC120" s="550">
        <v>0.3</v>
      </c>
      <c r="BD120" s="550">
        <v>0.27</v>
      </c>
      <c r="BE120" s="667"/>
      <c r="BF120" s="550"/>
      <c r="BG120" s="550"/>
      <c r="BH120" s="550"/>
      <c r="BI120" s="550"/>
      <c r="BJ120" s="667"/>
      <c r="BK120" s="129"/>
      <c r="BL120" s="129"/>
      <c r="BM120" s="129"/>
      <c r="BN120" s="129"/>
      <c r="BO120" s="667"/>
      <c r="BP120" s="129"/>
      <c r="BQ120" s="129"/>
      <c r="BR120" s="129"/>
      <c r="BS120" s="129"/>
      <c r="BT120" s="667"/>
      <c r="BU120" s="129"/>
      <c r="BV120" s="129"/>
      <c r="BW120" s="129"/>
      <c r="BX120" s="129"/>
      <c r="BY120" s="667"/>
      <c r="BZ120" s="129"/>
      <c r="CA120" s="129"/>
      <c r="CB120" s="129"/>
      <c r="CC120" s="129"/>
      <c r="CD120" s="667"/>
    </row>
    <row r="121" spans="1:83">
      <c r="A121" s="129"/>
      <c r="B121" s="670" t="s">
        <v>318</v>
      </c>
      <c r="C121" s="129"/>
      <c r="D121" s="129"/>
      <c r="E121" s="129"/>
      <c r="F121" s="129"/>
      <c r="G121" s="667"/>
      <c r="H121" s="129"/>
      <c r="I121" s="129"/>
      <c r="J121" s="129"/>
      <c r="K121" s="129"/>
      <c r="L121" s="667"/>
      <c r="M121" s="129"/>
      <c r="N121" s="129"/>
      <c r="O121" s="129"/>
      <c r="P121" s="129"/>
      <c r="Q121" s="667"/>
      <c r="R121" s="129"/>
      <c r="S121" s="129"/>
      <c r="T121" s="129"/>
      <c r="U121" s="129"/>
      <c r="V121" s="667"/>
      <c r="W121" s="129"/>
      <c r="X121" s="129"/>
      <c r="Y121" s="129"/>
      <c r="Z121" s="129"/>
      <c r="AA121" s="667"/>
      <c r="AB121" s="129"/>
      <c r="AC121" s="129"/>
      <c r="AD121" s="129"/>
      <c r="AE121" s="129"/>
      <c r="AF121" s="667"/>
      <c r="AG121" s="129"/>
      <c r="AH121" s="129"/>
      <c r="AI121" s="129"/>
      <c r="AJ121" s="129"/>
      <c r="AK121" s="667"/>
      <c r="AL121" s="129"/>
      <c r="AM121" s="129"/>
      <c r="AN121" s="129"/>
      <c r="AO121" s="129"/>
      <c r="AP121" s="667"/>
      <c r="AQ121" s="129"/>
      <c r="AR121" s="129"/>
      <c r="AS121" s="129"/>
      <c r="AT121" s="129"/>
      <c r="AU121" s="667"/>
      <c r="AV121" s="129"/>
      <c r="AW121" s="700"/>
      <c r="AX121" s="700"/>
      <c r="AY121" s="700"/>
      <c r="AZ121" s="667"/>
      <c r="BA121" s="129"/>
      <c r="BB121" s="700"/>
      <c r="BC121" s="700"/>
      <c r="BD121" s="700"/>
      <c r="BE121" s="667"/>
      <c r="BF121" s="129"/>
      <c r="BG121" s="129"/>
      <c r="BH121" s="129"/>
      <c r="BI121" s="700"/>
      <c r="BJ121" s="667"/>
      <c r="BK121" s="129"/>
      <c r="BL121" s="129"/>
      <c r="BM121" s="129"/>
      <c r="BN121" s="129"/>
      <c r="BO121" s="667"/>
      <c r="BP121" s="129"/>
      <c r="BQ121" s="129"/>
      <c r="BR121" s="129"/>
      <c r="BS121" s="129"/>
      <c r="BT121" s="667"/>
      <c r="BU121" s="129"/>
      <c r="BV121" s="129"/>
      <c r="BW121" s="129"/>
      <c r="BX121" s="129"/>
      <c r="BY121" s="667"/>
      <c r="BZ121" s="129"/>
      <c r="CA121" s="129"/>
      <c r="CB121" s="129"/>
      <c r="CC121" s="129"/>
      <c r="CD121" s="667"/>
      <c r="CE121" s="129"/>
    </row>
    <row r="122" spans="1:83">
      <c r="A122" s="129"/>
      <c r="B122" s="670"/>
      <c r="C122" s="129"/>
      <c r="D122" s="129"/>
      <c r="E122" s="129"/>
      <c r="F122" s="129"/>
      <c r="G122" s="667"/>
      <c r="H122" s="129"/>
      <c r="I122" s="129"/>
      <c r="J122" s="129"/>
      <c r="K122" s="129"/>
      <c r="L122" s="667"/>
      <c r="M122" s="129"/>
      <c r="N122" s="129"/>
      <c r="O122" s="129"/>
      <c r="P122" s="129"/>
      <c r="Q122" s="667"/>
      <c r="R122" s="129"/>
      <c r="S122" s="129"/>
      <c r="T122" s="129"/>
      <c r="U122" s="129"/>
      <c r="V122" s="667"/>
      <c r="W122" s="129"/>
      <c r="X122" s="129"/>
      <c r="Y122" s="129"/>
      <c r="Z122" s="129"/>
      <c r="AA122" s="667"/>
      <c r="AB122" s="129"/>
      <c r="AC122" s="129"/>
      <c r="AD122" s="129"/>
      <c r="AE122" s="129"/>
      <c r="AF122" s="667"/>
      <c r="AG122" s="129"/>
      <c r="AH122" s="129"/>
      <c r="AI122" s="129"/>
      <c r="AJ122" s="129"/>
      <c r="AK122" s="667"/>
      <c r="AL122" s="129"/>
      <c r="AM122" s="129"/>
      <c r="AN122" s="129"/>
      <c r="AO122" s="129"/>
      <c r="AP122" s="667"/>
      <c r="AQ122" s="129"/>
      <c r="AR122" s="129"/>
      <c r="AS122" s="129"/>
      <c r="AT122" s="129"/>
      <c r="AU122" s="667"/>
      <c r="AV122" s="129"/>
      <c r="AW122" s="700"/>
      <c r="AX122" s="700"/>
      <c r="AY122" s="700"/>
      <c r="AZ122" s="667"/>
      <c r="BA122" s="129"/>
      <c r="BB122" s="700"/>
      <c r="BC122" s="700"/>
      <c r="BD122" s="700"/>
      <c r="BE122" s="667"/>
      <c r="BF122" s="129"/>
      <c r="BG122" s="129"/>
      <c r="BH122" s="129"/>
      <c r="BI122" s="700"/>
      <c r="BJ122" s="667"/>
      <c r="BK122" s="129"/>
      <c r="BL122" s="129"/>
      <c r="BM122" s="129"/>
      <c r="BN122" s="129"/>
      <c r="BO122" s="667"/>
      <c r="BP122" s="129"/>
      <c r="BQ122" s="129"/>
      <c r="BR122" s="129"/>
      <c r="BS122" s="129"/>
      <c r="BT122" s="667"/>
      <c r="BU122" s="129"/>
      <c r="BV122" s="129"/>
      <c r="BW122" s="129"/>
      <c r="BX122" s="129"/>
      <c r="BY122" s="667"/>
      <c r="BZ122" s="129"/>
      <c r="CA122" s="129"/>
      <c r="CB122" s="129"/>
      <c r="CC122" s="129"/>
      <c r="CD122" s="667"/>
      <c r="CE122" s="129"/>
    </row>
    <row r="123" spans="1:83">
      <c r="A123" s="680"/>
      <c r="B123" s="239" t="s">
        <v>321</v>
      </c>
      <c r="C123" s="162"/>
      <c r="D123" s="162"/>
      <c r="E123" s="162"/>
      <c r="F123" s="162"/>
      <c r="G123" s="681"/>
      <c r="H123" s="162"/>
      <c r="I123" s="162"/>
      <c r="J123" s="162"/>
      <c r="K123" s="162"/>
      <c r="L123" s="681"/>
      <c r="M123" s="162"/>
      <c r="N123" s="162"/>
      <c r="O123" s="162"/>
      <c r="P123" s="162"/>
      <c r="Q123" s="681"/>
      <c r="R123" s="162"/>
      <c r="S123" s="162"/>
      <c r="T123" s="162"/>
      <c r="U123" s="162"/>
      <c r="V123" s="681"/>
      <c r="W123" s="162"/>
      <c r="X123" s="162"/>
      <c r="Y123" s="162"/>
      <c r="Z123" s="162"/>
      <c r="AA123" s="681"/>
      <c r="AB123" s="162"/>
      <c r="AC123" s="162"/>
      <c r="AD123" s="162"/>
      <c r="AE123" s="162"/>
      <c r="AF123" s="681"/>
      <c r="AG123" s="162"/>
      <c r="AH123" s="162"/>
      <c r="AI123" s="162"/>
      <c r="AJ123" s="162"/>
      <c r="AK123" s="681">
        <v>0.46</v>
      </c>
      <c r="AL123" s="162"/>
      <c r="AM123" s="162"/>
      <c r="AN123" s="162"/>
      <c r="AO123" s="162"/>
      <c r="AP123" s="681">
        <v>0.48</v>
      </c>
      <c r="AQ123" s="162">
        <v>0.48</v>
      </c>
      <c r="AR123" s="162">
        <v>0.49</v>
      </c>
      <c r="AS123" s="162">
        <v>0.48</v>
      </c>
      <c r="AT123" s="162"/>
      <c r="AU123" s="681">
        <v>0.48</v>
      </c>
      <c r="AV123" s="682">
        <v>0.46</v>
      </c>
      <c r="AW123" s="682">
        <v>0.45</v>
      </c>
      <c r="AX123" s="682">
        <v>0.45</v>
      </c>
      <c r="AY123" s="682">
        <v>0.45</v>
      </c>
      <c r="AZ123" s="681">
        <v>0.45</v>
      </c>
      <c r="BA123" s="682">
        <v>0.45</v>
      </c>
      <c r="BB123" s="682">
        <v>0.45</v>
      </c>
      <c r="BC123" s="682">
        <v>0.45</v>
      </c>
      <c r="BD123" s="682"/>
      <c r="BE123" s="681"/>
      <c r="BF123" s="682"/>
      <c r="BG123" s="682">
        <v>0.44</v>
      </c>
      <c r="BH123" s="682">
        <v>0.44</v>
      </c>
      <c r="BI123" s="682"/>
      <c r="BJ123" s="681"/>
      <c r="BK123" s="682"/>
      <c r="BL123" s="682"/>
      <c r="BM123" s="682"/>
      <c r="BN123" s="682"/>
      <c r="BO123" s="681"/>
      <c r="BP123" s="682"/>
      <c r="BQ123" s="682"/>
      <c r="BR123" s="682"/>
      <c r="BS123" s="682"/>
      <c r="BT123" s="681"/>
      <c r="BU123" s="682"/>
      <c r="BV123" s="682"/>
      <c r="BW123" s="682"/>
      <c r="BX123" s="682"/>
      <c r="BY123" s="681"/>
      <c r="BZ123" s="682"/>
      <c r="CA123" s="682"/>
      <c r="CB123" s="682"/>
      <c r="CC123" s="682"/>
      <c r="CD123" s="681"/>
      <c r="CE123" s="684"/>
    </row>
    <row r="124" spans="1:83">
      <c r="A124" s="701"/>
      <c r="B124" s="239"/>
      <c r="C124" s="162"/>
      <c r="D124" s="162"/>
      <c r="E124" s="162"/>
      <c r="F124" s="162"/>
      <c r="G124" s="681"/>
      <c r="H124" s="162"/>
      <c r="I124" s="162"/>
      <c r="J124" s="162"/>
      <c r="K124" s="162"/>
      <c r="L124" s="681"/>
      <c r="M124" s="162"/>
      <c r="N124" s="162"/>
      <c r="O124" s="162"/>
      <c r="P124" s="162"/>
      <c r="Q124" s="681"/>
      <c r="R124" s="162"/>
      <c r="S124" s="162"/>
      <c r="T124" s="162"/>
      <c r="U124" s="162"/>
      <c r="V124" s="681"/>
      <c r="W124" s="162"/>
      <c r="X124" s="162"/>
      <c r="Y124" s="162"/>
      <c r="Z124" s="162"/>
      <c r="AA124" s="681"/>
      <c r="AB124" s="162"/>
      <c r="AC124" s="162"/>
      <c r="AD124" s="162"/>
      <c r="AE124" s="162"/>
      <c r="AF124" s="681"/>
      <c r="AG124" s="162"/>
      <c r="AH124" s="162"/>
      <c r="AI124" s="162"/>
      <c r="AJ124" s="162"/>
      <c r="AK124" s="681"/>
      <c r="AL124" s="162"/>
      <c r="AM124" s="162"/>
      <c r="AN124" s="162"/>
      <c r="AO124" s="162"/>
      <c r="AP124" s="681"/>
      <c r="AQ124" s="162"/>
      <c r="AR124" s="162"/>
      <c r="AS124" s="162"/>
      <c r="AT124" s="702">
        <f>AT118/(AT118+AT113)</f>
        <v>0.48023137842789865</v>
      </c>
      <c r="AU124" s="681"/>
      <c r="AV124" s="702">
        <f>AV118/(AV118+AV113)</f>
        <v>0.45840275463734309</v>
      </c>
      <c r="AW124" s="702">
        <f>AW118/(AW118+AW113)</f>
        <v>0.45372099226460388</v>
      </c>
      <c r="AX124" s="702">
        <f>AX118/(AX118+AX113)</f>
        <v>0.44692993776707102</v>
      </c>
      <c r="AY124" s="702">
        <f>AY118/(AY118+AY113)</f>
        <v>0.45634974179066029</v>
      </c>
      <c r="AZ124" s="681"/>
      <c r="BA124" s="682">
        <f>BA118/(BA118+BA113)</f>
        <v>0.45157668772206871</v>
      </c>
      <c r="BB124" s="682"/>
      <c r="BC124" s="682"/>
      <c r="BD124" s="682"/>
      <c r="BE124" s="681"/>
      <c r="BF124" s="682"/>
      <c r="BG124" s="682"/>
      <c r="BH124" s="682"/>
      <c r="BI124" s="682"/>
      <c r="BJ124" s="681"/>
      <c r="BK124" s="682"/>
      <c r="BL124" s="682"/>
      <c r="BM124" s="682"/>
      <c r="BN124" s="682"/>
      <c r="BO124" s="681"/>
      <c r="BP124" s="682"/>
      <c r="BQ124" s="682"/>
      <c r="BR124" s="682"/>
      <c r="BS124" s="682"/>
      <c r="BT124" s="681"/>
      <c r="BU124" s="682"/>
      <c r="BV124" s="682"/>
      <c r="BW124" s="682"/>
      <c r="BX124" s="682"/>
      <c r="BY124" s="681"/>
      <c r="BZ124" s="682"/>
      <c r="CA124" s="682"/>
      <c r="CB124" s="682"/>
      <c r="CC124" s="682"/>
      <c r="CD124" s="681"/>
      <c r="CE124" s="684"/>
    </row>
    <row r="125" spans="1:83">
      <c r="A125" s="657"/>
      <c r="B125" s="239" t="s">
        <v>322</v>
      </c>
      <c r="C125" s="101"/>
      <c r="D125" s="101"/>
      <c r="E125" s="101"/>
      <c r="F125" s="101"/>
      <c r="G125" s="658"/>
      <c r="H125" s="101"/>
      <c r="I125" s="101"/>
      <c r="J125" s="101"/>
      <c r="K125" s="101"/>
      <c r="L125" s="658"/>
      <c r="M125" s="101"/>
      <c r="N125" s="101"/>
      <c r="O125" s="101"/>
      <c r="P125" s="101"/>
      <c r="Q125" s="658"/>
      <c r="R125" s="101"/>
      <c r="S125" s="101"/>
      <c r="T125" s="101"/>
      <c r="U125" s="101"/>
      <c r="V125" s="658"/>
      <c r="W125" s="101"/>
      <c r="X125" s="101"/>
      <c r="Y125" s="101"/>
      <c r="Z125" s="101"/>
      <c r="AA125" s="658"/>
      <c r="AB125" s="101"/>
      <c r="AC125" s="101"/>
      <c r="AD125" s="101"/>
      <c r="AE125" s="101"/>
      <c r="AF125" s="658"/>
      <c r="AG125" s="101"/>
      <c r="AH125" s="101"/>
      <c r="AI125" s="101"/>
      <c r="AJ125" s="101"/>
      <c r="AK125" s="658">
        <v>0.24</v>
      </c>
      <c r="AL125" s="101"/>
      <c r="AM125" s="101"/>
      <c r="AN125" s="101"/>
      <c r="AO125" s="101"/>
      <c r="AP125" s="658">
        <v>0.24</v>
      </c>
      <c r="AQ125" s="101">
        <v>0.24</v>
      </c>
      <c r="AR125" s="101">
        <v>0.24</v>
      </c>
      <c r="AS125" s="101">
        <v>0.24</v>
      </c>
      <c r="AT125" s="101"/>
      <c r="AU125" s="658">
        <v>0.24</v>
      </c>
      <c r="AV125" s="659">
        <v>0.23</v>
      </c>
      <c r="AW125" s="659">
        <v>0.22</v>
      </c>
      <c r="AX125" s="659">
        <v>0.21</v>
      </c>
      <c r="AY125" s="659"/>
      <c r="AZ125" s="658"/>
      <c r="BA125" s="659"/>
      <c r="BB125" s="659"/>
      <c r="BC125" s="659"/>
      <c r="BD125" s="659"/>
      <c r="BE125" s="658"/>
      <c r="BF125" s="659"/>
      <c r="BG125" s="659"/>
      <c r="BH125" s="659"/>
      <c r="BI125" s="659"/>
      <c r="BJ125" s="658"/>
      <c r="BK125" s="659"/>
      <c r="BL125" s="659"/>
      <c r="BM125" s="659"/>
      <c r="BN125" s="659"/>
      <c r="BO125" s="658"/>
      <c r="BP125" s="659"/>
      <c r="BQ125" s="659"/>
      <c r="BR125" s="659"/>
      <c r="BS125" s="659"/>
      <c r="BT125" s="658"/>
      <c r="BU125" s="659"/>
      <c r="BV125" s="659"/>
      <c r="BW125" s="659"/>
      <c r="BX125" s="659"/>
      <c r="BY125" s="658"/>
      <c r="BZ125" s="659"/>
      <c r="CA125" s="659"/>
      <c r="CB125" s="659"/>
      <c r="CC125" s="659"/>
      <c r="CD125" s="658"/>
      <c r="CE125" s="662"/>
    </row>
    <row r="126" spans="1:83">
      <c r="A126" s="665"/>
      <c r="B126" s="239"/>
      <c r="C126" s="101"/>
      <c r="D126" s="101"/>
      <c r="E126" s="101"/>
      <c r="F126" s="101"/>
      <c r="G126" s="658"/>
      <c r="H126" s="101"/>
      <c r="I126" s="101"/>
      <c r="J126" s="101"/>
      <c r="K126" s="101"/>
      <c r="L126" s="658"/>
      <c r="M126" s="101"/>
      <c r="N126" s="101"/>
      <c r="O126" s="101"/>
      <c r="P126" s="101"/>
      <c r="Q126" s="658"/>
      <c r="R126" s="101"/>
      <c r="S126" s="101"/>
      <c r="T126" s="101"/>
      <c r="U126" s="101"/>
      <c r="V126" s="658"/>
      <c r="W126" s="101"/>
      <c r="X126" s="101"/>
      <c r="Y126" s="101"/>
      <c r="Z126" s="101"/>
      <c r="AA126" s="658"/>
      <c r="AB126" s="101"/>
      <c r="AC126" s="101"/>
      <c r="AD126" s="101"/>
      <c r="AE126" s="101"/>
      <c r="AF126" s="658"/>
      <c r="AG126" s="101"/>
      <c r="AH126" s="101"/>
      <c r="AI126" s="101"/>
      <c r="AJ126" s="101"/>
      <c r="AK126" s="658"/>
      <c r="AL126" s="101"/>
      <c r="AM126" s="101"/>
      <c r="AN126" s="101"/>
      <c r="AO126" s="101"/>
      <c r="AP126" s="658"/>
      <c r="AQ126" s="101"/>
      <c r="AR126" s="101"/>
      <c r="AS126" s="101"/>
      <c r="AT126" s="101"/>
      <c r="AU126" s="658"/>
      <c r="AV126" s="659"/>
      <c r="AW126" s="659"/>
      <c r="AX126" s="659"/>
      <c r="AY126" s="659"/>
      <c r="AZ126" s="658"/>
      <c r="BA126" s="659"/>
      <c r="BB126" s="659"/>
      <c r="BC126" s="659"/>
      <c r="BD126" s="659"/>
      <c r="BE126" s="658"/>
      <c r="BF126" s="659"/>
      <c r="BG126" s="659"/>
      <c r="BH126" s="659"/>
      <c r="BI126" s="659"/>
      <c r="BJ126" s="658"/>
      <c r="BK126" s="659"/>
      <c r="BL126" s="659"/>
      <c r="BM126" s="659"/>
      <c r="BN126" s="659"/>
      <c r="BO126" s="658"/>
      <c r="BP126" s="659"/>
      <c r="BQ126" s="659"/>
      <c r="BR126" s="659"/>
      <c r="BS126" s="659"/>
      <c r="BT126" s="658"/>
      <c r="BU126" s="659"/>
      <c r="BV126" s="659"/>
      <c r="BW126" s="659"/>
      <c r="BX126" s="659"/>
      <c r="BY126" s="658"/>
      <c r="BZ126" s="659"/>
      <c r="CA126" s="659"/>
      <c r="CB126" s="659"/>
      <c r="CC126" s="659"/>
      <c r="CD126" s="658"/>
      <c r="CE126" s="662"/>
    </row>
    <row r="127" spans="1:83" ht="15.75">
      <c r="A127" s="21"/>
      <c r="B127" s="687" t="s">
        <v>323</v>
      </c>
      <c r="C127" s="19"/>
      <c r="D127" s="19"/>
      <c r="E127" s="19"/>
      <c r="F127" s="19"/>
      <c r="G127" s="688"/>
      <c r="H127" s="19"/>
      <c r="I127" s="19"/>
      <c r="J127" s="19"/>
      <c r="K127" s="19"/>
      <c r="L127" s="688"/>
      <c r="M127" s="19"/>
      <c r="N127" s="19"/>
      <c r="O127" s="19"/>
      <c r="P127" s="19"/>
      <c r="Q127" s="688"/>
      <c r="R127" s="19"/>
      <c r="S127" s="19"/>
      <c r="T127" s="19"/>
      <c r="U127" s="19"/>
      <c r="V127" s="688"/>
      <c r="W127" s="19"/>
      <c r="X127" s="19"/>
      <c r="Y127" s="19"/>
      <c r="Z127" s="19"/>
      <c r="AA127" s="688"/>
      <c r="AB127" s="19"/>
      <c r="AC127" s="19"/>
      <c r="AD127" s="19"/>
      <c r="AE127" s="19"/>
      <c r="AF127" s="688"/>
      <c r="AG127" s="19"/>
      <c r="AH127" s="19"/>
      <c r="AI127" s="19"/>
      <c r="AJ127" s="19"/>
      <c r="AK127" s="316"/>
      <c r="AL127" s="19"/>
      <c r="AM127" s="19"/>
      <c r="AN127" s="19"/>
      <c r="AO127" s="19"/>
      <c r="AP127" s="316"/>
      <c r="AQ127" s="689"/>
      <c r="AR127" s="582"/>
      <c r="AS127" s="582"/>
      <c r="AT127" s="582"/>
      <c r="AU127" s="316"/>
      <c r="AV127" s="582"/>
      <c r="AW127" s="582"/>
      <c r="AX127" s="703"/>
      <c r="AY127" s="582"/>
      <c r="AZ127" s="688"/>
      <c r="BA127" s="19"/>
      <c r="BB127" s="582"/>
      <c r="BC127" s="582"/>
      <c r="BD127" s="582"/>
      <c r="BE127" s="688"/>
      <c r="BF127" s="19"/>
      <c r="BG127" s="19"/>
      <c r="BH127" s="19"/>
      <c r="BI127" s="582"/>
      <c r="BJ127" s="688"/>
      <c r="BK127" s="19"/>
      <c r="BL127" s="19"/>
      <c r="BM127" s="19"/>
      <c r="BN127" s="19"/>
      <c r="BO127" s="688"/>
      <c r="BP127" s="19"/>
      <c r="BQ127" s="19"/>
      <c r="BR127" s="19"/>
      <c r="BS127" s="19"/>
      <c r="BT127" s="688"/>
      <c r="BU127" s="19"/>
      <c r="BV127" s="19"/>
      <c r="BW127" s="19"/>
      <c r="BX127" s="19"/>
      <c r="BY127" s="688"/>
      <c r="BZ127" s="19"/>
      <c r="CA127" s="19"/>
      <c r="CB127" s="19"/>
      <c r="CC127" s="19"/>
      <c r="CD127" s="688"/>
      <c r="CE127" s="21"/>
    </row>
    <row r="128" spans="1:83">
      <c r="A128" s="21"/>
      <c r="B128" s="690" t="s">
        <v>324</v>
      </c>
      <c r="C128" s="19"/>
      <c r="D128" s="19"/>
      <c r="E128" s="19"/>
      <c r="F128" s="19"/>
      <c r="G128" s="688"/>
      <c r="H128" s="19"/>
      <c r="I128" s="19"/>
      <c r="J128" s="19"/>
      <c r="K128" s="19"/>
      <c r="L128" s="688"/>
      <c r="M128" s="19"/>
      <c r="N128" s="19"/>
      <c r="O128" s="19"/>
      <c r="P128" s="19"/>
      <c r="Q128" s="688"/>
      <c r="R128" s="19"/>
      <c r="S128" s="19"/>
      <c r="T128" s="19"/>
      <c r="U128" s="19"/>
      <c r="V128" s="688"/>
      <c r="W128" s="19"/>
      <c r="X128" s="19"/>
      <c r="Y128" s="19"/>
      <c r="Z128" s="19"/>
      <c r="AA128" s="688"/>
      <c r="AB128" s="19"/>
      <c r="AC128" s="19"/>
      <c r="AD128" s="19"/>
      <c r="AE128" s="19"/>
      <c r="AF128" s="688"/>
      <c r="AG128" s="19"/>
      <c r="AH128" s="19"/>
      <c r="AI128" s="19"/>
      <c r="AJ128" s="19"/>
      <c r="AK128" s="316">
        <v>2763</v>
      </c>
      <c r="AL128" s="19"/>
      <c r="AM128" s="19"/>
      <c r="AN128" s="19"/>
      <c r="AO128" s="19"/>
      <c r="AP128" s="316">
        <v>3240</v>
      </c>
      <c r="AQ128" s="689">
        <f>1885-AR128</f>
        <v>904</v>
      </c>
      <c r="AR128" s="582">
        <f>982-1</f>
        <v>981</v>
      </c>
      <c r="AS128" s="582">
        <f>949-3</f>
        <v>946</v>
      </c>
      <c r="AT128" s="582">
        <f>1043-3</f>
        <v>1040</v>
      </c>
      <c r="AU128" s="316">
        <v>3877</v>
      </c>
      <c r="AV128" s="582">
        <f>1030-2</f>
        <v>1028</v>
      </c>
      <c r="AW128" s="582">
        <f>1170-3</f>
        <v>1167</v>
      </c>
      <c r="AX128" s="582">
        <v>1138</v>
      </c>
      <c r="AY128" s="582">
        <v>1302</v>
      </c>
      <c r="AZ128" s="688"/>
      <c r="BA128" s="582">
        <v>1343</v>
      </c>
      <c r="BB128" s="582">
        <v>1407</v>
      </c>
      <c r="BC128" s="582">
        <v>1436</v>
      </c>
      <c r="BD128" s="582">
        <v>1574</v>
      </c>
      <c r="BE128" s="688"/>
      <c r="BF128" s="582">
        <v>1606</v>
      </c>
      <c r="BG128" s="582"/>
      <c r="BH128" s="582">
        <v>1743</v>
      </c>
      <c r="BI128" s="582">
        <v>2045</v>
      </c>
      <c r="BJ128" s="688"/>
      <c r="BK128" s="19"/>
      <c r="BL128" s="19"/>
      <c r="BM128" s="19"/>
      <c r="BN128" s="19"/>
      <c r="BO128" s="688"/>
      <c r="BP128" s="19"/>
      <c r="BQ128" s="19"/>
      <c r="BR128" s="19"/>
      <c r="BS128" s="19"/>
      <c r="BT128" s="688"/>
      <c r="BU128" s="19"/>
      <c r="BV128" s="19"/>
      <c r="BW128" s="19"/>
      <c r="BX128" s="19"/>
      <c r="BY128" s="688"/>
      <c r="BZ128" s="19"/>
      <c r="CA128" s="19"/>
      <c r="CB128" s="19"/>
      <c r="CC128" s="19"/>
      <c r="CD128" s="688"/>
      <c r="CE128" s="21"/>
    </row>
    <row r="129" spans="1:83">
      <c r="A129" s="21"/>
      <c r="B129" s="138" t="s">
        <v>21</v>
      </c>
      <c r="C129" s="19"/>
      <c r="D129" s="19"/>
      <c r="E129" s="19"/>
      <c r="F129" s="19"/>
      <c r="G129" s="688"/>
      <c r="H129" s="19"/>
      <c r="I129" s="19"/>
      <c r="J129" s="19"/>
      <c r="K129" s="19"/>
      <c r="L129" s="688"/>
      <c r="M129" s="19"/>
      <c r="N129" s="19"/>
      <c r="O129" s="19"/>
      <c r="P129" s="19"/>
      <c r="Q129" s="688"/>
      <c r="R129" s="19"/>
      <c r="S129" s="19"/>
      <c r="T129" s="19"/>
      <c r="U129" s="19"/>
      <c r="V129" s="688"/>
      <c r="W129" s="19"/>
      <c r="X129" s="19"/>
      <c r="Y129" s="19"/>
      <c r="Z129" s="19"/>
      <c r="AA129" s="688"/>
      <c r="AB129" s="19"/>
      <c r="AC129" s="19"/>
      <c r="AD129" s="19"/>
      <c r="AE129" s="19"/>
      <c r="AF129" s="688"/>
      <c r="AG129" s="19"/>
      <c r="AH129" s="19"/>
      <c r="AI129" s="19"/>
      <c r="AJ129" s="19"/>
      <c r="AK129" s="704"/>
      <c r="AL129" s="19"/>
      <c r="AM129" s="19"/>
      <c r="AN129" s="19"/>
      <c r="AO129" s="19"/>
      <c r="AP129" s="704">
        <f>+AP128/AK128-1</f>
        <v>0.17263843648208477</v>
      </c>
      <c r="AQ129" s="19"/>
      <c r="AR129" s="19"/>
      <c r="AS129" s="19"/>
      <c r="AT129" s="19"/>
      <c r="AU129" s="704">
        <f>+AU128/AP128-1</f>
        <v>0.19660493827160486</v>
      </c>
      <c r="AV129" s="173">
        <f>AV128/AQ128-1</f>
        <v>0.13716814159292046</v>
      </c>
      <c r="AW129" s="173">
        <f>AW128/AR128-1</f>
        <v>0.18960244648318048</v>
      </c>
      <c r="AX129" s="173">
        <f>AX128/AS128-1</f>
        <v>0.20295983086680769</v>
      </c>
      <c r="AY129" s="173">
        <f>AY128/AT128-1</f>
        <v>0.25192307692307692</v>
      </c>
      <c r="AZ129" s="704"/>
      <c r="BA129" s="173">
        <f>BA128/AV128-1</f>
        <v>0.30642023346303504</v>
      </c>
      <c r="BB129" s="173">
        <f>BB128/AW128-1</f>
        <v>0.20565552699228795</v>
      </c>
      <c r="BC129" s="173">
        <f>BC128/AX128-1</f>
        <v>0.26186291739894552</v>
      </c>
      <c r="BD129" s="173">
        <f>BD128/AY128-1</f>
        <v>0.20890937019969269</v>
      </c>
      <c r="BE129" s="704"/>
      <c r="BF129" s="173">
        <f>BF128/BA128-1</f>
        <v>0.19583023082650786</v>
      </c>
      <c r="BG129" s="173"/>
      <c r="BH129" s="173">
        <f>BH128/BC128-1</f>
        <v>0.2137883008356547</v>
      </c>
      <c r="BI129" s="173">
        <f>BI128/BD128-1</f>
        <v>0.29923761118170278</v>
      </c>
      <c r="BJ129" s="704"/>
      <c r="BK129" s="19"/>
      <c r="BL129" s="19"/>
      <c r="BM129" s="19"/>
      <c r="BN129" s="19"/>
      <c r="BO129" s="704"/>
      <c r="BP129" s="19"/>
      <c r="BQ129" s="19"/>
      <c r="BR129" s="19"/>
      <c r="BS129" s="19"/>
      <c r="BT129" s="704"/>
      <c r="BU129" s="19"/>
      <c r="BV129" s="19"/>
      <c r="BW129" s="19"/>
      <c r="BX129" s="19"/>
      <c r="BY129" s="704"/>
      <c r="BZ129" s="19"/>
      <c r="CA129" s="19"/>
      <c r="CB129" s="19"/>
      <c r="CC129" s="19"/>
      <c r="CD129" s="704"/>
      <c r="CE129" s="21"/>
    </row>
    <row r="130" spans="1:83">
      <c r="A130" s="21"/>
      <c r="B130" s="690" t="s">
        <v>325</v>
      </c>
      <c r="C130" s="19"/>
      <c r="D130" s="19"/>
      <c r="E130" s="19"/>
      <c r="F130" s="19"/>
      <c r="G130" s="688"/>
      <c r="H130" s="19"/>
      <c r="I130" s="19"/>
      <c r="J130" s="19"/>
      <c r="K130" s="19"/>
      <c r="L130" s="688"/>
      <c r="M130" s="19"/>
      <c r="N130" s="19"/>
      <c r="O130" s="19"/>
      <c r="P130" s="19"/>
      <c r="Q130" s="688"/>
      <c r="R130" s="19"/>
      <c r="S130" s="19"/>
      <c r="T130" s="19"/>
      <c r="U130" s="19"/>
      <c r="V130" s="688"/>
      <c r="W130" s="19"/>
      <c r="X130" s="19"/>
      <c r="Y130" s="19"/>
      <c r="Z130" s="19"/>
      <c r="AA130" s="688"/>
      <c r="AB130" s="19"/>
      <c r="AC130" s="19"/>
      <c r="AD130" s="19"/>
      <c r="AE130" s="19"/>
      <c r="AF130" s="688"/>
      <c r="AG130" s="19"/>
      <c r="AH130" s="19"/>
      <c r="AI130" s="19"/>
      <c r="AJ130" s="19"/>
      <c r="AK130" s="704"/>
      <c r="AL130" s="19"/>
      <c r="AM130" s="19"/>
      <c r="AN130" s="19"/>
      <c r="AO130" s="19"/>
      <c r="AP130" s="704"/>
      <c r="AQ130" s="19"/>
      <c r="AR130" s="582">
        <f>1001-1</f>
        <v>1000</v>
      </c>
      <c r="AS130" s="582">
        <f>1026-1</f>
        <v>1025</v>
      </c>
      <c r="AT130" s="582">
        <f>1150-1</f>
        <v>1149</v>
      </c>
      <c r="AU130" s="316"/>
      <c r="AV130" s="582">
        <f>1107-1%</f>
        <v>1106.99</v>
      </c>
      <c r="AW130" s="582">
        <f>1127-1%</f>
        <v>1126.99</v>
      </c>
      <c r="AX130" s="582">
        <v>1120</v>
      </c>
      <c r="AY130" s="582">
        <v>1254</v>
      </c>
      <c r="AZ130" s="704"/>
      <c r="BA130" s="582">
        <v>1201</v>
      </c>
      <c r="BB130" s="582">
        <v>1243</v>
      </c>
      <c r="BC130" s="582">
        <v>1231</v>
      </c>
      <c r="BD130" s="582">
        <v>1407</v>
      </c>
      <c r="BE130" s="704"/>
      <c r="BF130" s="582">
        <v>1369</v>
      </c>
      <c r="BG130" s="582"/>
      <c r="BH130" s="582">
        <v>1496</v>
      </c>
      <c r="BI130" s="582">
        <v>1699</v>
      </c>
      <c r="BJ130" s="704"/>
      <c r="BK130" s="19"/>
      <c r="BL130" s="19"/>
      <c r="BM130" s="19"/>
      <c r="BN130" s="19"/>
      <c r="BO130" s="704"/>
      <c r="BP130" s="19"/>
      <c r="BQ130" s="19"/>
      <c r="BR130" s="19"/>
      <c r="BS130" s="19"/>
      <c r="BT130" s="704"/>
      <c r="BU130" s="19"/>
      <c r="BV130" s="19"/>
      <c r="BW130" s="19"/>
      <c r="BX130" s="19"/>
      <c r="BY130" s="704"/>
      <c r="BZ130" s="19"/>
      <c r="CA130" s="19"/>
      <c r="CB130" s="19"/>
      <c r="CC130" s="19"/>
      <c r="CD130" s="704"/>
      <c r="CE130" s="21"/>
    </row>
    <row r="131" spans="1:83">
      <c r="A131" s="21"/>
      <c r="B131" s="138" t="s">
        <v>21</v>
      </c>
      <c r="C131" s="19"/>
      <c r="D131" s="19"/>
      <c r="E131" s="19"/>
      <c r="F131" s="19"/>
      <c r="G131" s="688"/>
      <c r="H131" s="19"/>
      <c r="I131" s="19"/>
      <c r="J131" s="19"/>
      <c r="K131" s="19"/>
      <c r="L131" s="688"/>
      <c r="M131" s="19"/>
      <c r="N131" s="19"/>
      <c r="O131" s="19"/>
      <c r="P131" s="19"/>
      <c r="Q131" s="688"/>
      <c r="R131" s="19"/>
      <c r="S131" s="19"/>
      <c r="T131" s="19"/>
      <c r="U131" s="19"/>
      <c r="V131" s="688"/>
      <c r="W131" s="19"/>
      <c r="X131" s="19"/>
      <c r="Y131" s="19"/>
      <c r="Z131" s="19"/>
      <c r="AA131" s="688"/>
      <c r="AB131" s="19"/>
      <c r="AC131" s="19"/>
      <c r="AD131" s="19"/>
      <c r="AE131" s="19"/>
      <c r="AF131" s="688"/>
      <c r="AG131" s="19"/>
      <c r="AH131" s="19"/>
      <c r="AI131" s="19"/>
      <c r="AJ131" s="19"/>
      <c r="AK131" s="704"/>
      <c r="AL131" s="19"/>
      <c r="AM131" s="19"/>
      <c r="AN131" s="19"/>
      <c r="AO131" s="19"/>
      <c r="AP131" s="704"/>
      <c r="AQ131" s="19"/>
      <c r="AR131" s="19"/>
      <c r="AS131" s="19"/>
      <c r="AT131" s="19"/>
      <c r="AU131" s="704"/>
      <c r="AV131" s="173">
        <v>0.14000000000000001</v>
      </c>
      <c r="AW131" s="173">
        <f>AW130/AR130-1</f>
        <v>0.12698999999999994</v>
      </c>
      <c r="AX131" s="173">
        <f>AX130/AS130-1</f>
        <v>9.2682926829268375E-2</v>
      </c>
      <c r="AY131" s="173">
        <f>AY130/AT130-1</f>
        <v>9.1383812010443766E-2</v>
      </c>
      <c r="AZ131" s="704"/>
      <c r="BA131" s="173">
        <f>BA130/AV130-1</f>
        <v>8.4923983053144081E-2</v>
      </c>
      <c r="BB131" s="173">
        <f>BB130/AW130-1</f>
        <v>0.10293791426720733</v>
      </c>
      <c r="BC131" s="173">
        <f>BC130/AX130-1</f>
        <v>9.9107142857142838E-2</v>
      </c>
      <c r="BD131" s="173">
        <f>BD130/AY130-1</f>
        <v>0.12200956937799035</v>
      </c>
      <c r="BE131" s="704"/>
      <c r="BF131" s="173">
        <f>BF130/BA130-1</f>
        <v>0.13988343047460439</v>
      </c>
      <c r="BG131" s="173"/>
      <c r="BH131" s="173">
        <f>BH130/BC130-1</f>
        <v>0.21527213647441101</v>
      </c>
      <c r="BI131" s="173">
        <f>BI130/BD130-1</f>
        <v>0.20753375977256572</v>
      </c>
      <c r="BJ131" s="704"/>
      <c r="BK131" s="19"/>
      <c r="BL131" s="19"/>
      <c r="BM131" s="19"/>
      <c r="BN131" s="19"/>
      <c r="BO131" s="704"/>
      <c r="BP131" s="19"/>
      <c r="BQ131" s="19"/>
      <c r="BR131" s="19"/>
      <c r="BS131" s="19"/>
      <c r="BT131" s="704"/>
      <c r="BU131" s="19"/>
      <c r="BV131" s="19"/>
      <c r="BW131" s="19"/>
      <c r="BX131" s="19"/>
      <c r="BY131" s="704"/>
      <c r="BZ131" s="19"/>
      <c r="CA131" s="19"/>
      <c r="CB131" s="19"/>
      <c r="CC131" s="19"/>
      <c r="CD131" s="704"/>
      <c r="CE131" s="21"/>
    </row>
    <row r="132" spans="1:83">
      <c r="A132" s="21"/>
      <c r="B132" s="138" t="s">
        <v>320</v>
      </c>
      <c r="C132" s="19"/>
      <c r="D132" s="19"/>
      <c r="E132" s="19"/>
      <c r="F132" s="19"/>
      <c r="G132" s="688"/>
      <c r="H132" s="19"/>
      <c r="I132" s="19"/>
      <c r="J132" s="19"/>
      <c r="K132" s="19"/>
      <c r="L132" s="688"/>
      <c r="M132" s="19"/>
      <c r="N132" s="19"/>
      <c r="O132" s="19"/>
      <c r="P132" s="19"/>
      <c r="Q132" s="688"/>
      <c r="R132" s="19"/>
      <c r="S132" s="19"/>
      <c r="T132" s="19"/>
      <c r="U132" s="19"/>
      <c r="V132" s="688"/>
      <c r="W132" s="19"/>
      <c r="X132" s="19"/>
      <c r="Y132" s="19"/>
      <c r="Z132" s="19"/>
      <c r="AA132" s="688"/>
      <c r="AB132" s="19"/>
      <c r="AC132" s="19"/>
      <c r="AD132" s="19"/>
      <c r="AE132" s="19"/>
      <c r="AF132" s="688"/>
      <c r="AG132" s="19"/>
      <c r="AH132" s="19"/>
      <c r="AI132" s="19"/>
      <c r="AJ132" s="19"/>
      <c r="AK132" s="704"/>
      <c r="AL132" s="19"/>
      <c r="AM132" s="19"/>
      <c r="AN132" s="19"/>
      <c r="AO132" s="19"/>
      <c r="AP132" s="704"/>
      <c r="AQ132" s="19"/>
      <c r="AR132" s="19"/>
      <c r="AS132" s="19"/>
      <c r="AT132" s="19"/>
      <c r="AU132" s="704"/>
      <c r="AV132" s="173"/>
      <c r="AW132" s="173"/>
      <c r="AX132" s="173"/>
      <c r="AY132" s="173"/>
      <c r="AZ132" s="704"/>
      <c r="BA132" s="173"/>
      <c r="BB132" s="173"/>
      <c r="BC132" s="173"/>
      <c r="BD132" s="550">
        <v>0.17</v>
      </c>
      <c r="BE132" s="704"/>
      <c r="BF132" s="550">
        <v>0.18</v>
      </c>
      <c r="BG132" s="550"/>
      <c r="BH132" s="550">
        <v>0.22</v>
      </c>
      <c r="BI132" s="550">
        <v>0.21</v>
      </c>
      <c r="BJ132" s="704"/>
      <c r="BK132" s="19"/>
      <c r="BL132" s="19"/>
      <c r="BM132" s="19"/>
      <c r="BN132" s="19"/>
      <c r="BO132" s="704"/>
      <c r="BP132" s="19"/>
      <c r="BQ132" s="19"/>
      <c r="BR132" s="19"/>
      <c r="BS132" s="19"/>
      <c r="BT132" s="704"/>
      <c r="BU132" s="19"/>
      <c r="BV132" s="19"/>
      <c r="BW132" s="19"/>
      <c r="BX132" s="19"/>
      <c r="BY132" s="704"/>
      <c r="BZ132" s="19"/>
      <c r="CA132" s="19"/>
      <c r="CB132" s="19"/>
      <c r="CC132" s="19"/>
      <c r="CD132" s="704"/>
      <c r="CE132" s="21"/>
    </row>
    <row r="133" spans="1:83">
      <c r="A133" s="21"/>
      <c r="B133" s="705" t="s">
        <v>326</v>
      </c>
      <c r="C133" s="19"/>
      <c r="D133" s="19"/>
      <c r="E133" s="19"/>
      <c r="F133" s="19"/>
      <c r="G133" s="688"/>
      <c r="H133" s="19"/>
      <c r="I133" s="19"/>
      <c r="J133" s="19"/>
      <c r="K133" s="19"/>
      <c r="L133" s="688"/>
      <c r="M133" s="19"/>
      <c r="N133" s="19"/>
      <c r="O133" s="19"/>
      <c r="P133" s="19"/>
      <c r="Q133" s="688"/>
      <c r="R133" s="19"/>
      <c r="S133" s="19"/>
      <c r="T133" s="19"/>
      <c r="U133" s="19"/>
      <c r="V133" s="688"/>
      <c r="W133" s="19"/>
      <c r="X133" s="19"/>
      <c r="Y133" s="19"/>
      <c r="Z133" s="19"/>
      <c r="AA133" s="688"/>
      <c r="AB133" s="19"/>
      <c r="AC133" s="19"/>
      <c r="AD133" s="19"/>
      <c r="AE133" s="19"/>
      <c r="AF133" s="688"/>
      <c r="AG133" s="19"/>
      <c r="AH133" s="19"/>
      <c r="AI133" s="19"/>
      <c r="AJ133" s="19"/>
      <c r="AK133" s="316">
        <v>789</v>
      </c>
      <c r="AL133" s="19"/>
      <c r="AM133" s="19"/>
      <c r="AN133" s="19"/>
      <c r="AO133" s="19"/>
      <c r="AP133" s="316">
        <v>949</v>
      </c>
      <c r="AQ133" s="689">
        <f>553-AR133</f>
        <v>270</v>
      </c>
      <c r="AR133" s="689">
        <v>283</v>
      </c>
      <c r="AS133" s="689">
        <v>286</v>
      </c>
      <c r="AT133" s="19"/>
      <c r="AU133" s="316">
        <v>1155</v>
      </c>
      <c r="AV133" s="689">
        <f>563-AW133</f>
        <v>277</v>
      </c>
      <c r="AW133" s="689">
        <v>286</v>
      </c>
      <c r="AX133" s="689">
        <v>294</v>
      </c>
      <c r="AY133" s="689"/>
      <c r="AZ133" s="688"/>
      <c r="BA133" s="689"/>
      <c r="BB133" s="689"/>
      <c r="BC133" s="689"/>
      <c r="BD133" s="689"/>
      <c r="BE133" s="688"/>
      <c r="BF133" s="689"/>
      <c r="BG133" s="689"/>
      <c r="BH133" s="689"/>
      <c r="BI133" s="689"/>
      <c r="BJ133" s="688"/>
      <c r="BK133" s="19"/>
      <c r="BL133" s="19"/>
      <c r="BM133" s="19"/>
      <c r="BN133" s="19"/>
      <c r="BO133" s="688"/>
      <c r="BP133" s="19"/>
      <c r="BQ133" s="19"/>
      <c r="BR133" s="19"/>
      <c r="BS133" s="19"/>
      <c r="BT133" s="688"/>
      <c r="BU133" s="19"/>
      <c r="BV133" s="19"/>
      <c r="BW133" s="19"/>
      <c r="BX133" s="19"/>
      <c r="BY133" s="688"/>
      <c r="BZ133" s="19"/>
      <c r="CA133" s="19"/>
      <c r="CB133" s="19"/>
      <c r="CC133" s="19"/>
      <c r="CD133" s="688"/>
      <c r="CE133" s="21"/>
    </row>
    <row r="134" spans="1:83">
      <c r="A134" s="21"/>
      <c r="B134" s="706" t="s">
        <v>21</v>
      </c>
      <c r="C134" s="19"/>
      <c r="D134" s="19"/>
      <c r="E134" s="19"/>
      <c r="F134" s="19"/>
      <c r="G134" s="688"/>
      <c r="H134" s="19"/>
      <c r="I134" s="19"/>
      <c r="J134" s="19"/>
      <c r="K134" s="19"/>
      <c r="L134" s="688"/>
      <c r="M134" s="19"/>
      <c r="N134" s="19"/>
      <c r="O134" s="19"/>
      <c r="P134" s="19"/>
      <c r="Q134" s="688"/>
      <c r="R134" s="19"/>
      <c r="S134" s="19"/>
      <c r="T134" s="19"/>
      <c r="U134" s="19"/>
      <c r="V134" s="688"/>
      <c r="W134" s="19"/>
      <c r="X134" s="19"/>
      <c r="Y134" s="19"/>
      <c r="Z134" s="19"/>
      <c r="AA134" s="688"/>
      <c r="AB134" s="19"/>
      <c r="AC134" s="19"/>
      <c r="AD134" s="19"/>
      <c r="AE134" s="19"/>
      <c r="AF134" s="688"/>
      <c r="AG134" s="19"/>
      <c r="AH134" s="19"/>
      <c r="AI134" s="19"/>
      <c r="AJ134" s="19"/>
      <c r="AK134" s="704"/>
      <c r="AL134" s="19"/>
      <c r="AM134" s="19"/>
      <c r="AN134" s="19"/>
      <c r="AO134" s="19"/>
      <c r="AP134" s="704">
        <f>+AP133/AK133-1</f>
        <v>0.20278833967046905</v>
      </c>
      <c r="AQ134" s="19"/>
      <c r="AR134" s="19"/>
      <c r="AS134" s="19"/>
      <c r="AT134" s="19"/>
      <c r="AU134" s="704">
        <f>+AU133/AP133-1</f>
        <v>0.21707060063224448</v>
      </c>
      <c r="AV134" s="173">
        <f>AV133/AQ133-1</f>
        <v>2.5925925925925908E-2</v>
      </c>
      <c r="AW134" s="173">
        <f>AW133/AR133-1</f>
        <v>1.0600706713780994E-2</v>
      </c>
      <c r="AX134" s="173">
        <f>AX133/AS133-1</f>
        <v>2.7972027972027913E-2</v>
      </c>
      <c r="AY134" s="173"/>
      <c r="AZ134" s="704"/>
      <c r="BA134" s="173"/>
      <c r="BB134" s="173"/>
      <c r="BC134" s="173"/>
      <c r="BD134" s="173"/>
      <c r="BE134" s="704"/>
      <c r="BF134" s="173"/>
      <c r="BG134" s="173"/>
      <c r="BH134" s="173"/>
      <c r="BI134" s="173"/>
      <c r="BJ134" s="704"/>
      <c r="BK134" s="19"/>
      <c r="BL134" s="19"/>
      <c r="BM134" s="19"/>
      <c r="BN134" s="19"/>
      <c r="BO134" s="704"/>
      <c r="BP134" s="19"/>
      <c r="BQ134" s="19"/>
      <c r="BR134" s="19"/>
      <c r="BS134" s="19"/>
      <c r="BT134" s="704"/>
      <c r="BU134" s="19"/>
      <c r="BV134" s="19"/>
      <c r="BW134" s="19"/>
      <c r="BX134" s="19"/>
      <c r="BY134" s="704"/>
      <c r="BZ134" s="19"/>
      <c r="CA134" s="19"/>
      <c r="CB134" s="19"/>
      <c r="CC134" s="19"/>
      <c r="CD134" s="704"/>
      <c r="CE134" s="21"/>
    </row>
    <row r="135" spans="1:83">
      <c r="A135" s="21"/>
      <c r="B135" s="705" t="s">
        <v>327</v>
      </c>
      <c r="C135" s="19"/>
      <c r="D135" s="19"/>
      <c r="E135" s="19"/>
      <c r="F135" s="19"/>
      <c r="G135" s="688"/>
      <c r="H135" s="19"/>
      <c r="I135" s="19"/>
      <c r="J135" s="19"/>
      <c r="K135" s="19"/>
      <c r="L135" s="688"/>
      <c r="M135" s="19"/>
      <c r="N135" s="19"/>
      <c r="O135" s="19"/>
      <c r="P135" s="19"/>
      <c r="Q135" s="688"/>
      <c r="R135" s="19"/>
      <c r="S135" s="19"/>
      <c r="T135" s="19"/>
      <c r="U135" s="19"/>
      <c r="V135" s="688"/>
      <c r="W135" s="19"/>
      <c r="X135" s="19"/>
      <c r="Y135" s="19"/>
      <c r="Z135" s="19"/>
      <c r="AA135" s="688"/>
      <c r="AB135" s="19"/>
      <c r="AC135" s="19"/>
      <c r="AD135" s="19"/>
      <c r="AE135" s="19"/>
      <c r="AF135" s="688"/>
      <c r="AG135" s="19"/>
      <c r="AH135" s="19"/>
      <c r="AI135" s="19"/>
      <c r="AJ135" s="19"/>
      <c r="AK135" s="316">
        <v>2110</v>
      </c>
      <c r="AL135" s="19"/>
      <c r="AM135" s="19"/>
      <c r="AN135" s="19"/>
      <c r="AO135" s="19"/>
      <c r="AP135" s="316">
        <v>2538</v>
      </c>
      <c r="AQ135" s="689">
        <f>1419-AR135</f>
        <v>701</v>
      </c>
      <c r="AR135" s="689">
        <v>718</v>
      </c>
      <c r="AS135" s="689">
        <v>740</v>
      </c>
      <c r="AT135" s="19"/>
      <c r="AU135" s="316">
        <v>2993</v>
      </c>
      <c r="AV135" s="689">
        <f>1671-AW135</f>
        <v>830</v>
      </c>
      <c r="AW135" s="689">
        <v>841</v>
      </c>
      <c r="AX135" s="689">
        <v>826</v>
      </c>
      <c r="AY135" s="689"/>
      <c r="AZ135" s="688"/>
      <c r="BA135" s="689"/>
      <c r="BB135" s="689"/>
      <c r="BC135" s="689"/>
      <c r="BD135" s="689"/>
      <c r="BE135" s="688"/>
      <c r="BF135" s="689"/>
      <c r="BG135" s="689"/>
      <c r="BH135" s="689"/>
      <c r="BI135" s="689"/>
      <c r="BJ135" s="688"/>
      <c r="BK135" s="19"/>
      <c r="BL135" s="19"/>
      <c r="BM135" s="19"/>
      <c r="BN135" s="19"/>
      <c r="BO135" s="688"/>
      <c r="BP135" s="19"/>
      <c r="BQ135" s="19"/>
      <c r="BR135" s="19"/>
      <c r="BS135" s="19"/>
      <c r="BT135" s="688"/>
      <c r="BU135" s="19"/>
      <c r="BV135" s="19"/>
      <c r="BW135" s="19"/>
      <c r="BX135" s="19"/>
      <c r="BY135" s="688"/>
      <c r="BZ135" s="19"/>
      <c r="CA135" s="19"/>
      <c r="CB135" s="19"/>
      <c r="CC135" s="19"/>
      <c r="CD135" s="688"/>
      <c r="CE135" s="21"/>
    </row>
    <row r="136" spans="1:83">
      <c r="A136" s="21"/>
      <c r="B136" s="706" t="s">
        <v>21</v>
      </c>
      <c r="C136" s="19"/>
      <c r="D136" s="19"/>
      <c r="E136" s="19"/>
      <c r="F136" s="19"/>
      <c r="G136" s="688"/>
      <c r="H136" s="19"/>
      <c r="I136" s="19"/>
      <c r="J136" s="19"/>
      <c r="K136" s="19"/>
      <c r="L136" s="688"/>
      <c r="M136" s="19"/>
      <c r="N136" s="19"/>
      <c r="O136" s="19"/>
      <c r="P136" s="19"/>
      <c r="Q136" s="688"/>
      <c r="R136" s="19"/>
      <c r="S136" s="19"/>
      <c r="T136" s="19"/>
      <c r="U136" s="19"/>
      <c r="V136" s="688"/>
      <c r="W136" s="19"/>
      <c r="X136" s="19"/>
      <c r="Y136" s="19"/>
      <c r="Z136" s="19"/>
      <c r="AA136" s="688"/>
      <c r="AB136" s="19"/>
      <c r="AC136" s="19"/>
      <c r="AD136" s="19"/>
      <c r="AE136" s="19"/>
      <c r="AF136" s="688"/>
      <c r="AG136" s="19"/>
      <c r="AH136" s="19"/>
      <c r="AI136" s="19"/>
      <c r="AJ136" s="19"/>
      <c r="AK136" s="704"/>
      <c r="AL136" s="19"/>
      <c r="AM136" s="19"/>
      <c r="AN136" s="19"/>
      <c r="AO136" s="19"/>
      <c r="AP136" s="704">
        <f>+AP135/AK135-1</f>
        <v>0.20284360189573469</v>
      </c>
      <c r="AQ136" s="19"/>
      <c r="AR136" s="19"/>
      <c r="AS136" s="19"/>
      <c r="AT136" s="19"/>
      <c r="AU136" s="704">
        <f>+AU135/AP135-1</f>
        <v>0.17927501970055171</v>
      </c>
      <c r="AV136" s="173">
        <f>AV135/AQ135-1</f>
        <v>0.18402282453637664</v>
      </c>
      <c r="AW136" s="173">
        <f>AW135/AR135-1</f>
        <v>0.17130919220055718</v>
      </c>
      <c r="AX136" s="173">
        <f>AX135/AS135-1</f>
        <v>0.11621621621621614</v>
      </c>
      <c r="AY136" s="173"/>
      <c r="AZ136" s="704"/>
      <c r="BA136" s="173"/>
      <c r="BB136" s="173"/>
      <c r="BC136" s="173"/>
      <c r="BD136" s="173"/>
      <c r="BE136" s="704"/>
      <c r="BF136" s="173"/>
      <c r="BG136" s="173"/>
      <c r="BH136" s="173"/>
      <c r="BI136" s="173"/>
      <c r="BJ136" s="704"/>
      <c r="BK136" s="19"/>
      <c r="BL136" s="19"/>
      <c r="BM136" s="19"/>
      <c r="BN136" s="19"/>
      <c r="BO136" s="704"/>
      <c r="BP136" s="19"/>
      <c r="BQ136" s="19"/>
      <c r="BR136" s="19"/>
      <c r="BS136" s="19"/>
      <c r="BT136" s="704"/>
      <c r="BU136" s="19"/>
      <c r="BV136" s="19"/>
      <c r="BW136" s="19"/>
      <c r="BX136" s="19"/>
      <c r="BY136" s="704"/>
      <c r="BZ136" s="19"/>
      <c r="CA136" s="19"/>
      <c r="CB136" s="19"/>
      <c r="CC136" s="19"/>
      <c r="CD136" s="704"/>
      <c r="CE136" s="21"/>
    </row>
    <row r="137" spans="1:83">
      <c r="A137" s="21"/>
      <c r="B137" s="690" t="s">
        <v>328</v>
      </c>
      <c r="C137" s="19"/>
      <c r="D137" s="19"/>
      <c r="E137" s="19"/>
      <c r="F137" s="19"/>
      <c r="G137" s="688"/>
      <c r="H137" s="19"/>
      <c r="I137" s="19"/>
      <c r="J137" s="19"/>
      <c r="K137" s="19"/>
      <c r="L137" s="688"/>
      <c r="M137" s="19"/>
      <c r="N137" s="19"/>
      <c r="O137" s="19"/>
      <c r="P137" s="19"/>
      <c r="Q137" s="688"/>
      <c r="R137" s="19"/>
      <c r="S137" s="19"/>
      <c r="T137" s="19"/>
      <c r="U137" s="19"/>
      <c r="V137" s="688"/>
      <c r="W137" s="19"/>
      <c r="X137" s="19"/>
      <c r="Y137" s="19"/>
      <c r="Z137" s="19"/>
      <c r="AA137" s="688"/>
      <c r="AB137" s="19"/>
      <c r="AC137" s="19"/>
      <c r="AD137" s="19"/>
      <c r="AE137" s="19"/>
      <c r="AF137" s="688"/>
      <c r="AG137" s="19"/>
      <c r="AH137" s="19"/>
      <c r="AI137" s="19"/>
      <c r="AJ137" s="19"/>
      <c r="AK137" s="583">
        <f>+SUM(AK128,AK133,AK135)</f>
        <v>5662</v>
      </c>
      <c r="AL137" s="19"/>
      <c r="AM137" s="19"/>
      <c r="AN137" s="19"/>
      <c r="AO137" s="19"/>
      <c r="AP137" s="583">
        <f>+SUM(AP128,AP133,AP135)</f>
        <v>6727</v>
      </c>
      <c r="AQ137" s="19">
        <f>+SUM(AQ128,AQ133,AQ135)</f>
        <v>1875</v>
      </c>
      <c r="AR137" s="318">
        <f>AR128+AR130</f>
        <v>1981</v>
      </c>
      <c r="AS137" s="318">
        <f>AS128+AS130</f>
        <v>1971</v>
      </c>
      <c r="AT137" s="318">
        <f>AT128+AT130</f>
        <v>2189</v>
      </c>
      <c r="AU137" s="583">
        <f>+SUM(AU128,AU133,AU135)</f>
        <v>8025</v>
      </c>
      <c r="AV137" s="318">
        <f>AV128+AV130</f>
        <v>2134.9899999999998</v>
      </c>
      <c r="AW137" s="318">
        <f>AW128+AW130</f>
        <v>2293.9899999999998</v>
      </c>
      <c r="AX137" s="318">
        <f>AX128+AX130</f>
        <v>2258</v>
      </c>
      <c r="AY137" s="318">
        <f>AY128+AY130</f>
        <v>2556</v>
      </c>
      <c r="AZ137" s="688"/>
      <c r="BA137" s="318"/>
      <c r="BB137" s="318"/>
      <c r="BC137" s="318"/>
      <c r="BD137" s="318"/>
      <c r="BE137" s="688"/>
      <c r="BF137" s="318"/>
      <c r="BG137" s="318"/>
      <c r="BH137" s="318"/>
      <c r="BI137" s="318"/>
      <c r="BJ137" s="688"/>
      <c r="BK137" s="19"/>
      <c r="BL137" s="19"/>
      <c r="BM137" s="19"/>
      <c r="BN137" s="19"/>
      <c r="BO137" s="688"/>
      <c r="BP137" s="19"/>
      <c r="BQ137" s="19"/>
      <c r="BR137" s="19"/>
      <c r="BS137" s="19"/>
      <c r="BT137" s="688"/>
      <c r="BU137" s="19"/>
      <c r="BV137" s="19"/>
      <c r="BW137" s="19"/>
      <c r="BX137" s="19"/>
      <c r="BY137" s="688"/>
      <c r="BZ137" s="19"/>
      <c r="CA137" s="19"/>
      <c r="CB137" s="19"/>
      <c r="CC137" s="19"/>
      <c r="CD137" s="688"/>
      <c r="CE137" s="21"/>
    </row>
    <row r="138" spans="1:83">
      <c r="A138" s="21"/>
      <c r="B138" s="138"/>
      <c r="C138" s="19"/>
      <c r="D138" s="19"/>
      <c r="E138" s="19"/>
      <c r="F138" s="19"/>
      <c r="G138" s="688"/>
      <c r="H138" s="19"/>
      <c r="I138" s="19"/>
      <c r="J138" s="19"/>
      <c r="K138" s="19"/>
      <c r="L138" s="688"/>
      <c r="M138" s="19"/>
      <c r="N138" s="19"/>
      <c r="O138" s="19"/>
      <c r="P138" s="19"/>
      <c r="Q138" s="688"/>
      <c r="R138" s="19"/>
      <c r="S138" s="19"/>
      <c r="T138" s="19"/>
      <c r="U138" s="19"/>
      <c r="V138" s="688"/>
      <c r="W138" s="19"/>
      <c r="X138" s="19"/>
      <c r="Y138" s="19"/>
      <c r="Z138" s="19"/>
      <c r="AA138" s="688"/>
      <c r="AB138" s="19"/>
      <c r="AC138" s="19"/>
      <c r="AD138" s="19"/>
      <c r="AE138" s="19"/>
      <c r="AF138" s="688"/>
      <c r="AG138" s="19"/>
      <c r="AH138" s="19"/>
      <c r="AI138" s="19"/>
      <c r="AJ138" s="19"/>
      <c r="AK138" s="688"/>
      <c r="AL138" s="19"/>
      <c r="AM138" s="19"/>
      <c r="AN138" s="19"/>
      <c r="AO138" s="19"/>
      <c r="AP138" s="688"/>
      <c r="AQ138" s="19"/>
      <c r="AR138" s="19"/>
      <c r="AS138" s="19"/>
      <c r="AT138" s="19"/>
      <c r="AU138" s="688"/>
      <c r="AV138" s="19"/>
      <c r="AW138" s="19"/>
      <c r="AX138" s="19"/>
      <c r="AY138" s="19"/>
      <c r="AZ138" s="688"/>
      <c r="BA138" s="19"/>
      <c r="BB138" s="19"/>
      <c r="BC138" s="19"/>
      <c r="BD138" s="19"/>
      <c r="BE138" s="688"/>
      <c r="BF138" s="19"/>
      <c r="BG138" s="19"/>
      <c r="BH138" s="19"/>
      <c r="BI138" s="19"/>
      <c r="BJ138" s="688"/>
      <c r="BK138" s="19"/>
      <c r="BL138" s="19"/>
      <c r="BM138" s="19"/>
      <c r="BN138" s="19"/>
      <c r="BO138" s="688"/>
      <c r="BP138" s="19"/>
      <c r="BQ138" s="19"/>
      <c r="BR138" s="19"/>
      <c r="BS138" s="19"/>
      <c r="BT138" s="688"/>
      <c r="BU138" s="19"/>
      <c r="BV138" s="19"/>
      <c r="BW138" s="19"/>
      <c r="BX138" s="19"/>
      <c r="BY138" s="688"/>
      <c r="BZ138" s="19"/>
      <c r="CA138" s="19"/>
      <c r="CB138" s="19"/>
      <c r="CC138" s="19"/>
      <c r="CD138" s="688"/>
      <c r="CE138" s="21"/>
    </row>
    <row r="139" spans="1:83" ht="15.75">
      <c r="A139" s="21"/>
      <c r="B139" s="687" t="s">
        <v>329</v>
      </c>
      <c r="C139" s="19"/>
      <c r="D139" s="19"/>
      <c r="E139" s="19"/>
      <c r="F139" s="19"/>
      <c r="G139" s="688"/>
      <c r="H139" s="19"/>
      <c r="I139" s="19"/>
      <c r="J139" s="19"/>
      <c r="K139" s="19"/>
      <c r="L139" s="688"/>
      <c r="M139" s="19"/>
      <c r="N139" s="19"/>
      <c r="O139" s="19"/>
      <c r="P139" s="19"/>
      <c r="Q139" s="688"/>
      <c r="R139" s="19"/>
      <c r="S139" s="19"/>
      <c r="T139" s="19"/>
      <c r="U139" s="19"/>
      <c r="V139" s="688"/>
      <c r="W139" s="19"/>
      <c r="X139" s="19"/>
      <c r="Y139" s="19"/>
      <c r="Z139" s="19"/>
      <c r="AA139" s="688"/>
      <c r="AB139" s="19"/>
      <c r="AC139" s="19"/>
      <c r="AD139" s="19"/>
      <c r="AE139" s="19"/>
      <c r="AF139" s="688"/>
      <c r="AG139" s="19"/>
      <c r="AH139" s="19"/>
      <c r="AI139" s="19"/>
      <c r="AJ139" s="19"/>
      <c r="AK139" s="688"/>
      <c r="AL139" s="19"/>
      <c r="AM139" s="19"/>
      <c r="AN139" s="19"/>
      <c r="AO139" s="19"/>
      <c r="AP139" s="688"/>
      <c r="AQ139" s="19"/>
      <c r="AR139" s="19"/>
      <c r="AS139" s="19"/>
      <c r="AT139" s="19"/>
      <c r="AU139" s="688"/>
      <c r="AV139" s="19"/>
      <c r="AW139" s="19"/>
      <c r="AX139" s="19"/>
      <c r="AY139" s="19"/>
      <c r="AZ139" s="688"/>
      <c r="BA139" s="19"/>
      <c r="BB139" s="19"/>
      <c r="BC139" s="19"/>
      <c r="BD139" s="19"/>
      <c r="BE139" s="688"/>
      <c r="BF139" s="19"/>
      <c r="BG139" s="19"/>
      <c r="BH139" s="19"/>
      <c r="BI139" s="19"/>
      <c r="BJ139" s="688"/>
      <c r="BK139" s="19"/>
      <c r="BL139" s="19"/>
      <c r="BM139" s="19"/>
      <c r="BN139" s="19"/>
      <c r="BO139" s="688"/>
      <c r="BP139" s="19"/>
      <c r="BQ139" s="19"/>
      <c r="BR139" s="19"/>
      <c r="BS139" s="19"/>
      <c r="BT139" s="688"/>
      <c r="BU139" s="19"/>
      <c r="BV139" s="19"/>
      <c r="BW139" s="19"/>
      <c r="BX139" s="19"/>
      <c r="BY139" s="688"/>
      <c r="BZ139" s="19"/>
      <c r="CA139" s="19"/>
      <c r="CB139" s="19"/>
      <c r="CC139" s="19"/>
      <c r="CD139" s="688"/>
      <c r="CE139" s="21"/>
    </row>
    <row r="140" spans="1:83">
      <c r="A140" s="21"/>
      <c r="B140" s="239" t="s">
        <v>330</v>
      </c>
      <c r="C140" s="19"/>
      <c r="D140" s="19"/>
      <c r="E140" s="19"/>
      <c r="F140" s="19"/>
      <c r="G140" s="688"/>
      <c r="H140" s="19"/>
      <c r="I140" s="19"/>
      <c r="J140" s="19"/>
      <c r="K140" s="19"/>
      <c r="L140" s="688"/>
      <c r="M140" s="19"/>
      <c r="N140" s="19"/>
      <c r="O140" s="19"/>
      <c r="P140" s="19"/>
      <c r="Q140" s="688"/>
      <c r="R140" s="19"/>
      <c r="S140" s="19"/>
      <c r="T140" s="19"/>
      <c r="U140" s="19"/>
      <c r="V140" s="688"/>
      <c r="W140" s="19"/>
      <c r="X140" s="19"/>
      <c r="Y140" s="19"/>
      <c r="Z140" s="19"/>
      <c r="AA140" s="688"/>
      <c r="AB140" s="19"/>
      <c r="AC140" s="19"/>
      <c r="AD140" s="19"/>
      <c r="AE140" s="19"/>
      <c r="AF140" s="688"/>
      <c r="AG140" s="19"/>
      <c r="AH140" s="19"/>
      <c r="AI140" s="19"/>
      <c r="AJ140" s="19"/>
      <c r="AK140" s="549">
        <f>+AK128/AK137</f>
        <v>0.48799010950194277</v>
      </c>
      <c r="AL140" s="19"/>
      <c r="AM140" s="19"/>
      <c r="AN140" s="19"/>
      <c r="AO140" s="19"/>
      <c r="AP140" s="549">
        <f>+AP128/AP137</f>
        <v>0.48164114761409249</v>
      </c>
      <c r="AQ140" s="173">
        <f>+AQ128/AQ137</f>
        <v>0.48213333333333336</v>
      </c>
      <c r="AR140" s="173">
        <f>+AR128/AR137</f>
        <v>0.49520444220090865</v>
      </c>
      <c r="AS140" s="173">
        <f>+AS128/AS137</f>
        <v>0.47995941146626075</v>
      </c>
      <c r="AT140" s="19"/>
      <c r="AU140" s="549">
        <f>+AU128/AU137</f>
        <v>0.48311526479750777</v>
      </c>
      <c r="AV140" s="173">
        <f>+AV128/AV137</f>
        <v>0.48150108431421229</v>
      </c>
      <c r="AW140" s="173">
        <f>+AW128/AW137</f>
        <v>0.50872061342900365</v>
      </c>
      <c r="AX140" s="173">
        <f>+AX128/AX137</f>
        <v>0.50398582816651905</v>
      </c>
      <c r="AY140" s="173">
        <f>AY128/AY57</f>
        <v>0.50938967136150237</v>
      </c>
      <c r="AZ140" s="549"/>
      <c r="BA140" s="173">
        <f>BA128/BA57</f>
        <v>0.52790880503144655</v>
      </c>
      <c r="BB140" s="173">
        <f>BB128/BB57</f>
        <v>0.53094339622641507</v>
      </c>
      <c r="BC140" s="173">
        <f>BC128/BC57</f>
        <v>0.53843269591301091</v>
      </c>
      <c r="BD140" s="173"/>
      <c r="BE140" s="549"/>
      <c r="BF140" s="173"/>
      <c r="BG140" s="173"/>
      <c r="BH140" s="173"/>
      <c r="BI140" s="173"/>
      <c r="BJ140" s="549"/>
      <c r="BK140" s="19"/>
      <c r="BL140" s="19"/>
      <c r="BM140" s="19"/>
      <c r="BN140" s="19"/>
      <c r="BO140" s="549"/>
      <c r="BP140" s="19"/>
      <c r="BQ140" s="19"/>
      <c r="BR140" s="19"/>
      <c r="BS140" s="19"/>
      <c r="BT140" s="549"/>
      <c r="BU140" s="19"/>
      <c r="BV140" s="19"/>
      <c r="BW140" s="19"/>
      <c r="BX140" s="19"/>
      <c r="BY140" s="549"/>
      <c r="BZ140" s="19"/>
      <c r="CA140" s="19"/>
      <c r="CB140" s="19"/>
      <c r="CC140" s="19"/>
      <c r="CD140" s="549"/>
      <c r="CE140" s="21"/>
    </row>
    <row r="141" spans="1:83">
      <c r="A141" s="21"/>
      <c r="B141" s="239" t="s">
        <v>331</v>
      </c>
      <c r="C141" s="19"/>
      <c r="D141" s="19"/>
      <c r="E141" s="19"/>
      <c r="F141" s="19"/>
      <c r="G141" s="688"/>
      <c r="H141" s="19"/>
      <c r="I141" s="19"/>
      <c r="J141" s="19"/>
      <c r="K141" s="19"/>
      <c r="L141" s="688"/>
      <c r="M141" s="19"/>
      <c r="N141" s="19"/>
      <c r="O141" s="19"/>
      <c r="P141" s="19"/>
      <c r="Q141" s="688"/>
      <c r="R141" s="19"/>
      <c r="S141" s="19"/>
      <c r="T141" s="19"/>
      <c r="U141" s="19"/>
      <c r="V141" s="688"/>
      <c r="W141" s="19"/>
      <c r="X141" s="19"/>
      <c r="Y141" s="19"/>
      <c r="Z141" s="19"/>
      <c r="AA141" s="688"/>
      <c r="AB141" s="19"/>
      <c r="AC141" s="19"/>
      <c r="AD141" s="19"/>
      <c r="AE141" s="19"/>
      <c r="AF141" s="688"/>
      <c r="AG141" s="19"/>
      <c r="AH141" s="19"/>
      <c r="AI141" s="19"/>
      <c r="AJ141" s="19"/>
      <c r="AK141" s="549"/>
      <c r="AL141" s="19"/>
      <c r="AM141" s="19"/>
      <c r="AN141" s="19"/>
      <c r="AO141" s="19"/>
      <c r="AP141" s="549">
        <f t="shared" ref="AP141:AT141" si="32">1-AP140</f>
        <v>0.51835885238590751</v>
      </c>
      <c r="AQ141" s="173">
        <f t="shared" si="32"/>
        <v>0.5178666666666667</v>
      </c>
      <c r="AR141" s="173">
        <f t="shared" si="32"/>
        <v>0.50479555779909135</v>
      </c>
      <c r="AS141" s="173">
        <f t="shared" si="32"/>
        <v>0.52004058853373925</v>
      </c>
      <c r="AT141" s="19">
        <f t="shared" si="32"/>
        <v>1</v>
      </c>
      <c r="AU141" s="549">
        <f>1-AU140</f>
        <v>0.51688473520249223</v>
      </c>
      <c r="AV141" s="173">
        <f>AV130/AV57</f>
        <v>0.51873945641986885</v>
      </c>
      <c r="AW141" s="173">
        <f>AW130/AW57</f>
        <v>0.49149149585695595</v>
      </c>
      <c r="AX141" s="173">
        <f>AX130/AX57</f>
        <v>0.49601417183348095</v>
      </c>
      <c r="AY141" s="173">
        <f>AY130/AY57</f>
        <v>0.49061032863849763</v>
      </c>
      <c r="AZ141" s="549"/>
      <c r="BA141" s="173">
        <f>BA130/BA57</f>
        <v>0.47209119496855345</v>
      </c>
      <c r="BB141" s="173">
        <f>BB130/BB57</f>
        <v>0.46905660377358488</v>
      </c>
      <c r="BC141" s="173">
        <f>BC130/BC57</f>
        <v>0.46156730408698915</v>
      </c>
      <c r="BD141" s="173"/>
      <c r="BE141" s="549"/>
      <c r="BF141" s="173"/>
      <c r="BG141" s="173"/>
      <c r="BH141" s="173"/>
      <c r="BI141" s="173"/>
      <c r="BJ141" s="549"/>
      <c r="BK141" s="19"/>
      <c r="BL141" s="19"/>
      <c r="BM141" s="19"/>
      <c r="BN141" s="19"/>
      <c r="BO141" s="549"/>
      <c r="BP141" s="19"/>
      <c r="BQ141" s="19"/>
      <c r="BR141" s="19"/>
      <c r="BS141" s="19"/>
      <c r="BT141" s="549"/>
      <c r="BU141" s="19"/>
      <c r="BV141" s="19"/>
      <c r="BW141" s="19"/>
      <c r="BX141" s="19"/>
      <c r="BY141" s="549"/>
      <c r="BZ141" s="19"/>
      <c r="CA141" s="19"/>
      <c r="CB141" s="19"/>
      <c r="CC141" s="19"/>
      <c r="CD141" s="549"/>
      <c r="CE141" s="21"/>
    </row>
    <row r="142" spans="1:83">
      <c r="A142" s="21"/>
      <c r="B142" s="239" t="s">
        <v>332</v>
      </c>
      <c r="C142" s="19"/>
      <c r="D142" s="19"/>
      <c r="E142" s="19"/>
      <c r="F142" s="19"/>
      <c r="G142" s="688"/>
      <c r="H142" s="19"/>
      <c r="I142" s="19"/>
      <c r="J142" s="19"/>
      <c r="K142" s="19"/>
      <c r="L142" s="688"/>
      <c r="M142" s="19"/>
      <c r="N142" s="19"/>
      <c r="O142" s="19"/>
      <c r="P142" s="19"/>
      <c r="Q142" s="688"/>
      <c r="R142" s="19"/>
      <c r="S142" s="19"/>
      <c r="T142" s="19"/>
      <c r="U142" s="19"/>
      <c r="V142" s="688"/>
      <c r="W142" s="19"/>
      <c r="X142" s="19"/>
      <c r="Y142" s="19"/>
      <c r="Z142" s="19"/>
      <c r="AA142" s="688"/>
      <c r="AB142" s="19"/>
      <c r="AC142" s="19"/>
      <c r="AD142" s="19"/>
      <c r="AE142" s="19"/>
      <c r="AF142" s="688"/>
      <c r="AG142" s="19"/>
      <c r="AH142" s="19"/>
      <c r="AI142" s="19"/>
      <c r="AJ142" s="19"/>
      <c r="AK142" s="549">
        <f>+AK133/AK137</f>
        <v>0.13935005298481101</v>
      </c>
      <c r="AL142" s="19"/>
      <c r="AM142" s="19"/>
      <c r="AN142" s="19"/>
      <c r="AO142" s="19"/>
      <c r="AP142" s="549">
        <f>+AP133/AP137</f>
        <v>0.14107328675486844</v>
      </c>
      <c r="AQ142" s="173">
        <f>+AQ133/AQ137</f>
        <v>0.14399999999999999</v>
      </c>
      <c r="AR142" s="173">
        <f>+AR133/AR137</f>
        <v>0.14285714285714285</v>
      </c>
      <c r="AS142" s="173">
        <f>+AS133/AS137</f>
        <v>0.14510400811770674</v>
      </c>
      <c r="AT142" s="19"/>
      <c r="AU142" s="549">
        <f>+AU133/AU137</f>
        <v>0.14392523364485982</v>
      </c>
      <c r="AV142" s="173">
        <f>+AV133/AV137</f>
        <v>0.12974299645431595</v>
      </c>
      <c r="AW142" s="173">
        <f>+AW133/AW137</f>
        <v>0.12467360363384322</v>
      </c>
      <c r="AX142" s="173">
        <f>+AX133/AX137</f>
        <v>0.13020372010628875</v>
      </c>
      <c r="AY142" s="173"/>
      <c r="AZ142" s="549"/>
      <c r="BA142" s="19"/>
      <c r="BB142" s="173"/>
      <c r="BC142" s="173"/>
      <c r="BD142" s="173"/>
      <c r="BE142" s="549"/>
      <c r="BF142" s="19"/>
      <c r="BG142" s="19"/>
      <c r="BH142" s="19"/>
      <c r="BI142" s="173"/>
      <c r="BJ142" s="549"/>
      <c r="BK142" s="19"/>
      <c r="BL142" s="19"/>
      <c r="BM142" s="19"/>
      <c r="BN142" s="19"/>
      <c r="BO142" s="549"/>
      <c r="BP142" s="19"/>
      <c r="BQ142" s="19"/>
      <c r="BR142" s="19"/>
      <c r="BS142" s="19"/>
      <c r="BT142" s="549"/>
      <c r="BU142" s="19"/>
      <c r="BV142" s="19"/>
      <c r="BW142" s="19"/>
      <c r="BX142" s="19"/>
      <c r="BY142" s="549"/>
      <c r="BZ142" s="19"/>
      <c r="CA142" s="19"/>
      <c r="CB142" s="19"/>
      <c r="CC142" s="19"/>
      <c r="CD142" s="549"/>
      <c r="CE142" s="21"/>
    </row>
    <row r="143" spans="1:83">
      <c r="A143" s="21"/>
      <c r="B143" s="239" t="s">
        <v>333</v>
      </c>
      <c r="C143" s="19"/>
      <c r="D143" s="19"/>
      <c r="E143" s="19"/>
      <c r="F143" s="19"/>
      <c r="G143" s="688"/>
      <c r="H143" s="19"/>
      <c r="I143" s="19"/>
      <c r="J143" s="19"/>
      <c r="K143" s="19"/>
      <c r="L143" s="688"/>
      <c r="M143" s="19"/>
      <c r="N143" s="19"/>
      <c r="O143" s="19"/>
      <c r="P143" s="19"/>
      <c r="Q143" s="688"/>
      <c r="R143" s="19"/>
      <c r="S143" s="19"/>
      <c r="T143" s="19"/>
      <c r="U143" s="19"/>
      <c r="V143" s="688"/>
      <c r="W143" s="19"/>
      <c r="X143" s="19"/>
      <c r="Y143" s="19"/>
      <c r="Z143" s="19"/>
      <c r="AA143" s="688"/>
      <c r="AB143" s="19"/>
      <c r="AC143" s="19"/>
      <c r="AD143" s="19"/>
      <c r="AE143" s="19"/>
      <c r="AF143" s="688"/>
      <c r="AG143" s="19"/>
      <c r="AH143" s="19"/>
      <c r="AI143" s="19"/>
      <c r="AJ143" s="19"/>
      <c r="AK143" s="549">
        <f>+AK135/AK137</f>
        <v>0.37265983751324622</v>
      </c>
      <c r="AL143" s="19"/>
      <c r="AM143" s="19"/>
      <c r="AN143" s="19"/>
      <c r="AO143" s="19"/>
      <c r="AP143" s="549">
        <f>+AP135/AP137</f>
        <v>0.3772855656310391</v>
      </c>
      <c r="AQ143" s="173">
        <f>+AQ135/AQ137</f>
        <v>0.37386666666666668</v>
      </c>
      <c r="AR143" s="173">
        <f>+AR135/AR137</f>
        <v>0.36244321049974759</v>
      </c>
      <c r="AS143" s="173">
        <f>+AS135/AS137</f>
        <v>0.37544393708777268</v>
      </c>
      <c r="AT143" s="19"/>
      <c r="AU143" s="549">
        <f>+AU135/AU137</f>
        <v>0.37295950155763241</v>
      </c>
      <c r="AV143" s="173">
        <f>+AV135/AV137</f>
        <v>0.38876060309415972</v>
      </c>
      <c r="AW143" s="173">
        <f>+AW135/AW137</f>
        <v>0.36661014215406346</v>
      </c>
      <c r="AX143" s="173">
        <f>+AX135/AX137</f>
        <v>0.36581045172719223</v>
      </c>
      <c r="AY143" s="173"/>
      <c r="AZ143" s="549"/>
      <c r="BA143" s="19"/>
      <c r="BB143" s="173"/>
      <c r="BC143" s="173"/>
      <c r="BD143" s="173"/>
      <c r="BE143" s="549"/>
      <c r="BF143" s="19"/>
      <c r="BG143" s="19"/>
      <c r="BH143" s="19"/>
      <c r="BI143" s="173"/>
      <c r="BJ143" s="549"/>
      <c r="BK143" s="19"/>
      <c r="BL143" s="19"/>
      <c r="BM143" s="19"/>
      <c r="BN143" s="19"/>
      <c r="BO143" s="549"/>
      <c r="BP143" s="19"/>
      <c r="BQ143" s="19"/>
      <c r="BR143" s="19"/>
      <c r="BS143" s="19"/>
      <c r="BT143" s="549"/>
      <c r="BU143" s="19"/>
      <c r="BV143" s="19"/>
      <c r="BW143" s="19"/>
      <c r="BX143" s="19"/>
      <c r="BY143" s="549"/>
      <c r="BZ143" s="19"/>
      <c r="CA143" s="19"/>
      <c r="CB143" s="19"/>
      <c r="CC143" s="19"/>
      <c r="CD143" s="549"/>
      <c r="CE143" s="21"/>
    </row>
    <row r="144" spans="1:83">
      <c r="A144" s="21"/>
      <c r="B144" s="707"/>
      <c r="C144" s="708"/>
      <c r="D144" s="708"/>
      <c r="E144" s="708"/>
      <c r="F144" s="708"/>
      <c r="G144" s="709"/>
      <c r="H144" s="708"/>
      <c r="I144" s="708"/>
      <c r="J144" s="708"/>
      <c r="K144" s="708"/>
      <c r="L144" s="709"/>
      <c r="M144" s="708"/>
      <c r="N144" s="708"/>
      <c r="O144" s="708"/>
      <c r="P144" s="708"/>
      <c r="Q144" s="709"/>
      <c r="R144" s="708"/>
      <c r="S144" s="708"/>
      <c r="T144" s="708"/>
      <c r="U144" s="708"/>
      <c r="V144" s="709"/>
      <c r="W144" s="708"/>
      <c r="X144" s="708"/>
      <c r="Y144" s="708"/>
      <c r="Z144" s="708"/>
      <c r="AA144" s="709"/>
      <c r="AB144" s="708"/>
      <c r="AC144" s="708"/>
      <c r="AD144" s="708"/>
      <c r="AE144" s="708"/>
      <c r="AF144" s="709"/>
      <c r="AG144" s="708"/>
      <c r="AH144" s="708"/>
      <c r="AI144" s="708"/>
      <c r="AJ144" s="708"/>
      <c r="AK144" s="710"/>
      <c r="AL144" s="708"/>
      <c r="AM144" s="708"/>
      <c r="AN144" s="708"/>
      <c r="AO144" s="708"/>
      <c r="AP144" s="710"/>
      <c r="AQ144" s="711"/>
      <c r="AR144" s="711"/>
      <c r="AS144" s="711"/>
      <c r="AT144" s="708"/>
      <c r="AU144" s="710"/>
      <c r="AV144" s="711"/>
      <c r="AW144" s="711"/>
      <c r="AX144" s="711"/>
      <c r="AY144" s="711"/>
      <c r="AZ144" s="710"/>
      <c r="BA144" s="708"/>
      <c r="BB144" s="711"/>
      <c r="BC144" s="711"/>
      <c r="BD144" s="711"/>
      <c r="BE144" s="710"/>
      <c r="BF144" s="708"/>
      <c r="BG144" s="708"/>
      <c r="BH144" s="708"/>
      <c r="BI144" s="711"/>
      <c r="BJ144" s="710"/>
      <c r="BK144" s="708"/>
      <c r="BL144" s="708"/>
      <c r="BM144" s="708"/>
      <c r="BN144" s="708"/>
      <c r="BO144" s="710"/>
      <c r="BP144" s="708"/>
      <c r="BQ144" s="708"/>
      <c r="BR144" s="708"/>
      <c r="BS144" s="708"/>
      <c r="BT144" s="710"/>
      <c r="BU144" s="708"/>
      <c r="BV144" s="708"/>
      <c r="BW144" s="708"/>
      <c r="BX144" s="708"/>
      <c r="BY144" s="710"/>
      <c r="BZ144" s="708"/>
      <c r="CA144" s="708"/>
      <c r="CB144" s="708"/>
      <c r="CC144" s="708"/>
      <c r="CD144" s="710"/>
      <c r="CE144" s="21"/>
    </row>
    <row r="145" spans="2:82">
      <c r="B145" s="712"/>
      <c r="AV145" s="713"/>
      <c r="AW145" s="713"/>
      <c r="AX145" s="714"/>
      <c r="AY145" s="714"/>
      <c r="AZ145" s="351"/>
      <c r="BB145" s="713"/>
      <c r="BC145" s="713"/>
      <c r="BD145" s="713"/>
      <c r="BI145" s="713"/>
    </row>
    <row r="146" spans="2:82">
      <c r="B146" s="712"/>
      <c r="AV146" s="715"/>
      <c r="AW146" s="715"/>
      <c r="AX146" s="714"/>
      <c r="AY146" s="714"/>
      <c r="AZ146" s="351"/>
      <c r="BB146" s="715"/>
      <c r="BC146" s="715"/>
      <c r="BD146" s="715"/>
      <c r="BI146" s="715"/>
    </row>
    <row r="147" spans="2:82" ht="15.75">
      <c r="B147" s="716" t="s">
        <v>334</v>
      </c>
      <c r="AV147" s="713"/>
      <c r="AW147" s="713"/>
      <c r="AX147" s="714"/>
      <c r="AY147" s="714"/>
      <c r="AZ147" s="351"/>
      <c r="BB147" s="713"/>
      <c r="BC147" s="713"/>
      <c r="BD147" s="713"/>
      <c r="BI147" s="713"/>
    </row>
    <row r="148" spans="2:82">
      <c r="B148" s="717" t="s">
        <v>335</v>
      </c>
      <c r="C148" s="718"/>
      <c r="D148" s="718"/>
      <c r="E148" s="718"/>
      <c r="F148" s="718"/>
      <c r="G148" s="719"/>
      <c r="H148" s="718"/>
      <c r="I148" s="718"/>
      <c r="J148" s="718"/>
      <c r="K148" s="718"/>
      <c r="L148" s="719"/>
      <c r="M148" s="718"/>
      <c r="N148" s="718"/>
      <c r="O148" s="718"/>
      <c r="P148" s="718"/>
      <c r="Q148" s="719"/>
      <c r="R148" s="718"/>
      <c r="S148" s="718"/>
      <c r="T148" s="718"/>
      <c r="U148" s="718"/>
      <c r="V148" s="719"/>
      <c r="W148" s="718"/>
      <c r="X148" s="718"/>
      <c r="Y148" s="718"/>
      <c r="Z148" s="718"/>
      <c r="AA148" s="719"/>
      <c r="AB148" s="718"/>
      <c r="AC148" s="718"/>
      <c r="AD148" s="718"/>
      <c r="AE148" s="718"/>
      <c r="AF148" s="719"/>
      <c r="AG148" s="718"/>
      <c r="AH148" s="718"/>
      <c r="AI148" s="718"/>
      <c r="AJ148" s="718"/>
      <c r="AK148" s="719"/>
      <c r="AL148" s="720"/>
      <c r="AM148" s="718"/>
      <c r="AN148" s="718"/>
      <c r="AO148" s="718"/>
      <c r="AP148" s="721">
        <f>+AP149*AP$6</f>
        <v>25984.840000000004</v>
      </c>
      <c r="AQ148" s="722">
        <f t="shared" ref="AQ148:AX148" si="33">+AQ149*AQ$6</f>
        <v>7514.64</v>
      </c>
      <c r="AR148" s="723">
        <f t="shared" si="33"/>
        <v>7943.0400000000009</v>
      </c>
      <c r="AS148" s="723">
        <f t="shared" si="33"/>
        <v>8145.7600000000011</v>
      </c>
      <c r="AT148" s="723">
        <f t="shared" si="33"/>
        <v>9245.4600000000009</v>
      </c>
      <c r="AU148" s="721">
        <f t="shared" si="33"/>
        <v>32848.9</v>
      </c>
      <c r="AV148" s="722">
        <f t="shared" si="33"/>
        <v>8192.73</v>
      </c>
      <c r="AW148" s="723">
        <f t="shared" si="33"/>
        <v>8413.2241204190086</v>
      </c>
      <c r="AX148" s="723">
        <f t="shared" si="33"/>
        <v>9285.7387068201951</v>
      </c>
      <c r="AY148" s="723">
        <f>+AY151*AY193</f>
        <v>11432.059359150988</v>
      </c>
      <c r="AZ148" s="721">
        <f>+SUM(AV148:AY148)</f>
        <v>37323.752186390193</v>
      </c>
      <c r="BA148" s="723">
        <f>+BA151*BA193</f>
        <v>10144.850355373426</v>
      </c>
      <c r="BB148" s="723">
        <f>+BB151*BB193</f>
        <v>10167.5101860046</v>
      </c>
      <c r="BC148" s="723">
        <f>+BC151*BC193</f>
        <v>10622.621793759237</v>
      </c>
      <c r="BD148" s="723">
        <f>+BD151*BD193</f>
        <v>12622.779779026416</v>
      </c>
      <c r="BE148" s="721">
        <f>+SUM(BA148:BD148)</f>
        <v>43557.762114163677</v>
      </c>
      <c r="BF148" s="723">
        <f>+BF151*BF193</f>
        <v>11321.169362630024</v>
      </c>
      <c r="BG148" s="723">
        <f>+BG151*BG193</f>
        <v>11797.005881336361</v>
      </c>
      <c r="BH148" s="723">
        <f>+BH151*BH193</f>
        <v>13950.261779672688</v>
      </c>
      <c r="BI148" s="723">
        <f>+BI151*BI193</f>
        <v>17949.198901968928</v>
      </c>
      <c r="BJ148" s="721">
        <f>+SUM(BF148:BI148)</f>
        <v>55017.635925607996</v>
      </c>
      <c r="BK148" s="724">
        <f>+BK151*BK193</f>
        <v>16143.41569725891</v>
      </c>
      <c r="BL148" s="724">
        <f>+BL151*BL193</f>
        <v>16379.397760328733</v>
      </c>
      <c r="BM148" s="724">
        <f>+BM151*BM193</f>
        <v>18970.27791210949</v>
      </c>
      <c r="BN148" s="724">
        <f>+BN151*BN193</f>
        <v>23707.545112162792</v>
      </c>
      <c r="BO148" s="721">
        <f>+SUM(BK148:BN148)</f>
        <v>75200.636481859925</v>
      </c>
      <c r="BP148" s="724">
        <f>+BP151*BP193</f>
        <v>20137.492936844003</v>
      </c>
      <c r="BQ148" s="724">
        <f>+BQ151*BQ193</f>
        <v>20113.900449683686</v>
      </c>
      <c r="BR148" s="724">
        <f>+BR151*BR193</f>
        <v>23295.501276070452</v>
      </c>
      <c r="BS148" s="724">
        <f>+BS151*BS193</f>
        <v>29112.865397735906</v>
      </c>
      <c r="BT148" s="721">
        <f>+SUM(BP148:BS148)</f>
        <v>92659.760060334054</v>
      </c>
      <c r="BU148" s="724">
        <f>+BU151*BU193</f>
        <v>24164.991524212801</v>
      </c>
      <c r="BV148" s="724">
        <f>+BV151*BV193</f>
        <v>24136.680539620422</v>
      </c>
      <c r="BW148" s="724">
        <f>+BW151*BW193</f>
        <v>27488.69150576313</v>
      </c>
      <c r="BX148" s="724">
        <f>+BX151*BX193</f>
        <v>34353.181169328367</v>
      </c>
      <c r="BY148" s="721">
        <f>+SUM(BU148:BX148)</f>
        <v>110143.54473892471</v>
      </c>
      <c r="BZ148" s="724">
        <f>+BZ151*BZ193</f>
        <v>28273.040083328975</v>
      </c>
      <c r="CA148" s="724">
        <f>+CA151*CA193</f>
        <v>28239.916231355895</v>
      </c>
      <c r="CB148" s="724">
        <f>+CB151*CB193</f>
        <v>32161.769061742863</v>
      </c>
      <c r="CC148" s="724">
        <f>+CC151*CC193</f>
        <v>40193.221968114187</v>
      </c>
      <c r="CD148" s="721">
        <f>+SUM(BZ148:CC148)</f>
        <v>128867.94734454191</v>
      </c>
    </row>
    <row r="149" spans="2:82" ht="12" customHeight="1">
      <c r="B149" s="725" t="s">
        <v>336</v>
      </c>
      <c r="C149" s="129"/>
      <c r="D149" s="129"/>
      <c r="E149" s="129"/>
      <c r="F149" s="129"/>
      <c r="G149" s="667"/>
      <c r="H149" s="129"/>
      <c r="I149" s="129"/>
      <c r="J149" s="129"/>
      <c r="K149" s="129"/>
      <c r="L149" s="667"/>
      <c r="M149" s="129"/>
      <c r="N149" s="129"/>
      <c r="O149" s="129"/>
      <c r="P149" s="129"/>
      <c r="Q149" s="667"/>
      <c r="R149" s="129"/>
      <c r="S149" s="129"/>
      <c r="T149" s="129"/>
      <c r="U149" s="129"/>
      <c r="V149" s="667"/>
      <c r="W149" s="129"/>
      <c r="X149" s="129"/>
      <c r="Y149" s="129"/>
      <c r="Z149" s="129"/>
      <c r="AA149" s="667"/>
      <c r="AB149" s="129"/>
      <c r="AC149" s="129"/>
      <c r="AD149" s="129"/>
      <c r="AE149" s="129"/>
      <c r="AF149" s="667"/>
      <c r="AG149" s="129"/>
      <c r="AH149" s="129"/>
      <c r="AI149" s="129"/>
      <c r="AJ149" s="129"/>
      <c r="AK149" s="667"/>
      <c r="AL149" s="726"/>
      <c r="AM149" s="129"/>
      <c r="AN149" s="129"/>
      <c r="AO149" s="129"/>
      <c r="AP149" s="727">
        <v>0.14000000000000001</v>
      </c>
      <c r="AQ149" s="728">
        <v>0.14000000000000001</v>
      </c>
      <c r="AR149" s="728">
        <f>+AQ149</f>
        <v>0.14000000000000001</v>
      </c>
      <c r="AS149" s="728">
        <f>+AR149</f>
        <v>0.14000000000000001</v>
      </c>
      <c r="AT149" s="728">
        <f>+AS149</f>
        <v>0.14000000000000001</v>
      </c>
      <c r="AU149" s="729">
        <f>+AVERAGE(AQ149:AT149)</f>
        <v>0.14000000000000001</v>
      </c>
      <c r="AV149" s="728">
        <v>0.13</v>
      </c>
      <c r="AW149" s="730">
        <f>AW142</f>
        <v>0.12467360363384322</v>
      </c>
      <c r="AX149" s="730">
        <f>AX142</f>
        <v>0.13020372010628875</v>
      </c>
      <c r="AY149" s="730">
        <f t="shared" ref="AY149:CD149" si="34">AY148/AY$6</f>
        <v>0.13756659718359351</v>
      </c>
      <c r="AZ149" s="729">
        <f t="shared" si="34"/>
        <v>0.12957926449423407</v>
      </c>
      <c r="BA149" s="730">
        <f>BA148/BA$6</f>
        <v>0.12288000527348231</v>
      </c>
      <c r="BB149" s="730">
        <f t="shared" si="34"/>
        <v>0.11585189870451784</v>
      </c>
      <c r="BC149" s="730">
        <f t="shared" si="34"/>
        <v>0.11949627981055444</v>
      </c>
      <c r="BD149" s="730">
        <f t="shared" si="34"/>
        <v>0.1253366541790511</v>
      </c>
      <c r="BE149" s="729">
        <f t="shared" si="34"/>
        <v>0.12101798724790425</v>
      </c>
      <c r="BF149" s="730">
        <f t="shared" si="34"/>
        <v>0.11249286422390946</v>
      </c>
      <c r="BG149" s="730">
        <f t="shared" si="34"/>
        <v>0.10943419184913136</v>
      </c>
      <c r="BH149" s="730">
        <f t="shared" si="34"/>
        <v>0.12107079930980254</v>
      </c>
      <c r="BI149" s="730">
        <f t="shared" si="34"/>
        <v>0.13545031809205696</v>
      </c>
      <c r="BJ149" s="729">
        <f t="shared" si="34"/>
        <v>0.12060563184898876</v>
      </c>
      <c r="BK149" s="731">
        <f t="shared" si="34"/>
        <v>0.12196228353071009</v>
      </c>
      <c r="BL149" s="731">
        <f t="shared" si="34"/>
        <v>0.11652847083228611</v>
      </c>
      <c r="BM149" s="731">
        <f t="shared" si="34"/>
        <v>0.12899689770860528</v>
      </c>
      <c r="BN149" s="731">
        <f t="shared" si="34"/>
        <v>0.14146305236096632</v>
      </c>
      <c r="BO149" s="729">
        <f t="shared" si="34"/>
        <v>0.12798506280695299</v>
      </c>
      <c r="BP149" s="731">
        <f t="shared" si="34"/>
        <v>0.12394772225760906</v>
      </c>
      <c r="BQ149" s="731">
        <f t="shared" si="34"/>
        <v>0.11652847083228612</v>
      </c>
      <c r="BR149" s="731">
        <f t="shared" si="34"/>
        <v>0.12899689770860528</v>
      </c>
      <c r="BS149" s="731">
        <f t="shared" si="34"/>
        <v>0.14146305236096632</v>
      </c>
      <c r="BT149" s="729">
        <f t="shared" si="34"/>
        <v>0.12843279544560202</v>
      </c>
      <c r="BU149" s="731">
        <f t="shared" si="34"/>
        <v>0.12394772225760906</v>
      </c>
      <c r="BV149" s="731">
        <f t="shared" si="34"/>
        <v>0.11652847083228611</v>
      </c>
      <c r="BW149" s="731">
        <f t="shared" si="34"/>
        <v>0.12899689770860528</v>
      </c>
      <c r="BX149" s="731">
        <f t="shared" si="34"/>
        <v>0.14146305236096632</v>
      </c>
      <c r="BY149" s="729">
        <f t="shared" si="34"/>
        <v>0.12836791482240839</v>
      </c>
      <c r="BZ149" s="731">
        <f t="shared" si="34"/>
        <v>0.12394772225760907</v>
      </c>
      <c r="CA149" s="731">
        <f t="shared" si="34"/>
        <v>0.11652847083228612</v>
      </c>
      <c r="CB149" s="731">
        <f t="shared" si="34"/>
        <v>0.12899689770860528</v>
      </c>
      <c r="CC149" s="731">
        <f t="shared" si="34"/>
        <v>0.14146305236096632</v>
      </c>
      <c r="CD149" s="729">
        <f t="shared" si="34"/>
        <v>0.12836791482240839</v>
      </c>
    </row>
    <row r="150" spans="2:82">
      <c r="B150" s="725" t="s">
        <v>337</v>
      </c>
      <c r="C150" s="129"/>
      <c r="D150" s="129"/>
      <c r="E150" s="129"/>
      <c r="F150" s="129"/>
      <c r="G150" s="667"/>
      <c r="H150" s="129"/>
      <c r="I150" s="129"/>
      <c r="J150" s="129"/>
      <c r="K150" s="129"/>
      <c r="L150" s="667"/>
      <c r="M150" s="129"/>
      <c r="N150" s="129"/>
      <c r="O150" s="129"/>
      <c r="P150" s="129"/>
      <c r="Q150" s="667"/>
      <c r="R150" s="129"/>
      <c r="S150" s="129"/>
      <c r="T150" s="129"/>
      <c r="U150" s="129"/>
      <c r="V150" s="667"/>
      <c r="W150" s="129"/>
      <c r="X150" s="129"/>
      <c r="Y150" s="129"/>
      <c r="Z150" s="129"/>
      <c r="AA150" s="667"/>
      <c r="AB150" s="129"/>
      <c r="AC150" s="129"/>
      <c r="AD150" s="129"/>
      <c r="AE150" s="129"/>
      <c r="AF150" s="667"/>
      <c r="AG150" s="129"/>
      <c r="AH150" s="129"/>
      <c r="AI150" s="129"/>
      <c r="AJ150" s="129"/>
      <c r="AK150" s="667"/>
      <c r="AL150" s="726"/>
      <c r="AM150" s="129"/>
      <c r="AN150" s="129"/>
      <c r="AO150" s="129"/>
      <c r="AP150" s="667"/>
      <c r="AQ150" s="732"/>
      <c r="AR150" s="732"/>
      <c r="AS150" s="732"/>
      <c r="AT150" s="732"/>
      <c r="AU150" s="729">
        <f t="shared" ref="AU150:CD150" si="35">+AU148/AP148-1</f>
        <v>0.26415633115308768</v>
      </c>
      <c r="AV150" s="731">
        <f t="shared" si="35"/>
        <v>9.0235859602056712E-2</v>
      </c>
      <c r="AW150" s="733">
        <f t="shared" si="35"/>
        <v>5.9194479748182927E-2</v>
      </c>
      <c r="AX150" s="733">
        <f t="shared" si="35"/>
        <v>0.13994749499373826</v>
      </c>
      <c r="AY150" s="733">
        <f t="shared" si="35"/>
        <v>0.23650519921680324</v>
      </c>
      <c r="AZ150" s="729">
        <f t="shared" si="35"/>
        <v>0.13622532828771106</v>
      </c>
      <c r="BA150" s="733">
        <f t="shared" si="35"/>
        <v>0.23827470884228164</v>
      </c>
      <c r="BB150" s="733">
        <f t="shared" si="35"/>
        <v>0.20851531356782882</v>
      </c>
      <c r="BC150" s="733">
        <f t="shared" si="35"/>
        <v>0.14397164610685498</v>
      </c>
      <c r="BD150" s="733">
        <f t="shared" si="35"/>
        <v>0.1041562488846155</v>
      </c>
      <c r="BE150" s="729">
        <f t="shared" si="35"/>
        <v>0.1670252737892377</v>
      </c>
      <c r="BF150" s="733">
        <f t="shared" si="35"/>
        <v>0.11595232714630788</v>
      </c>
      <c r="BG150" s="733">
        <f t="shared" si="35"/>
        <v>0.16026496807199986</v>
      </c>
      <c r="BH150" s="733">
        <f t="shared" si="35"/>
        <v>0.31325976303405922</v>
      </c>
      <c r="BI150" s="733">
        <f t="shared" si="35"/>
        <v>0.42196879104178864</v>
      </c>
      <c r="BJ150" s="729">
        <f t="shared" si="35"/>
        <v>0.26309601906104141</v>
      </c>
      <c r="BK150" s="731">
        <f t="shared" si="35"/>
        <v>0.42594949162642237</v>
      </c>
      <c r="BL150" s="731">
        <f t="shared" si="35"/>
        <v>0.38843685635878322</v>
      </c>
      <c r="BM150" s="731">
        <f t="shared" si="35"/>
        <v>0.35985103446242173</v>
      </c>
      <c r="BN150" s="731">
        <f t="shared" si="35"/>
        <v>0.32081354948728125</v>
      </c>
      <c r="BO150" s="729">
        <f t="shared" si="35"/>
        <v>0.36684601613094281</v>
      </c>
      <c r="BP150" s="731">
        <f t="shared" si="35"/>
        <v>0.247412153319156</v>
      </c>
      <c r="BQ150" s="731">
        <f t="shared" si="35"/>
        <v>0.2280000000000002</v>
      </c>
      <c r="BR150" s="731">
        <f t="shared" si="35"/>
        <v>0.22799999999999998</v>
      </c>
      <c r="BS150" s="731">
        <f t="shared" si="35"/>
        <v>0.22799999999999998</v>
      </c>
      <c r="BT150" s="729">
        <f t="shared" si="35"/>
        <v>0.23216723149259066</v>
      </c>
      <c r="BU150" s="731">
        <f t="shared" si="35"/>
        <v>0.19999999999999996</v>
      </c>
      <c r="BV150" s="731">
        <f t="shared" si="35"/>
        <v>0.19999999999999996</v>
      </c>
      <c r="BW150" s="731">
        <f t="shared" si="35"/>
        <v>0.17999999999999994</v>
      </c>
      <c r="BX150" s="731">
        <f t="shared" si="35"/>
        <v>0.17999999999999994</v>
      </c>
      <c r="BY150" s="729">
        <f t="shared" si="35"/>
        <v>0.18868799862212415</v>
      </c>
      <c r="BZ150" s="731">
        <f t="shared" si="35"/>
        <v>0.16999999999999993</v>
      </c>
      <c r="CA150" s="731">
        <f t="shared" si="35"/>
        <v>0.17000000000000015</v>
      </c>
      <c r="CB150" s="731">
        <f t="shared" si="35"/>
        <v>0.16999999999999993</v>
      </c>
      <c r="CC150" s="731">
        <f t="shared" si="35"/>
        <v>0.16999999999999993</v>
      </c>
      <c r="CD150" s="729">
        <f t="shared" si="35"/>
        <v>0.16999999999999993</v>
      </c>
    </row>
    <row r="151" spans="2:82">
      <c r="B151" s="734" t="s">
        <v>338</v>
      </c>
      <c r="C151" s="129"/>
      <c r="D151" s="129"/>
      <c r="E151" s="129"/>
      <c r="F151" s="129"/>
      <c r="G151" s="667"/>
      <c r="H151" s="129"/>
      <c r="I151" s="129"/>
      <c r="J151" s="129"/>
      <c r="K151" s="129"/>
      <c r="L151" s="667"/>
      <c r="M151" s="129"/>
      <c r="N151" s="129"/>
      <c r="O151" s="129"/>
      <c r="P151" s="129"/>
      <c r="Q151" s="667"/>
      <c r="R151" s="129"/>
      <c r="S151" s="129"/>
      <c r="T151" s="129"/>
      <c r="U151" s="129"/>
      <c r="V151" s="667"/>
      <c r="W151" s="129"/>
      <c r="X151" s="129"/>
      <c r="Y151" s="129"/>
      <c r="Z151" s="129"/>
      <c r="AA151" s="667"/>
      <c r="AB151" s="129"/>
      <c r="AC151" s="129"/>
      <c r="AD151" s="129"/>
      <c r="AE151" s="129"/>
      <c r="AF151" s="667"/>
      <c r="AG151" s="129"/>
      <c r="AH151" s="129"/>
      <c r="AI151" s="129"/>
      <c r="AJ151" s="129"/>
      <c r="AK151" s="667"/>
      <c r="AL151" s="726"/>
      <c r="AM151" s="129"/>
      <c r="AN151" s="129"/>
      <c r="AO151" s="129"/>
      <c r="AP151" s="695">
        <f>+AP148/AP193</f>
        <v>16614.613404945736</v>
      </c>
      <c r="AQ151" s="735">
        <f>+AQ148/AQ193</f>
        <v>4541.1167512690354</v>
      </c>
      <c r="AR151" s="736">
        <f>+AR148/AR193</f>
        <v>4721.2553495007141</v>
      </c>
      <c r="AS151" s="736">
        <f>+AS148/AS193</f>
        <v>4875.65691027713</v>
      </c>
      <c r="AT151" s="736">
        <f>+AT148/AT193</f>
        <v>5840.0985408375982</v>
      </c>
      <c r="AU151" s="737">
        <f>SUM(AQ151:AT151)</f>
        <v>19978.127551884478</v>
      </c>
      <c r="AV151" s="735">
        <f>+AV148/AV193</f>
        <v>5405.9584295612003</v>
      </c>
      <c r="AW151" s="736">
        <f>+AW148/AW193</f>
        <v>5495.2476292743368</v>
      </c>
      <c r="AX151" s="736">
        <f>+AX148/AX193</f>
        <v>5992.0871875110715</v>
      </c>
      <c r="AY151" s="736">
        <f>+AT151*(1+AY152)</f>
        <v>7533.7271176805016</v>
      </c>
      <c r="AZ151" s="737">
        <f>SUM(AV151:AY151)</f>
        <v>24427.02036402711</v>
      </c>
      <c r="BA151" s="736">
        <f>+AV151*(1+BA152)</f>
        <v>7081.8055427251729</v>
      </c>
      <c r="BB151" s="736">
        <f>+AW151*(1+BB152)</f>
        <v>7088.8694417638944</v>
      </c>
      <c r="BC151" s="736">
        <f>+AX151*(1+BC152)</f>
        <v>8089.3177031399473</v>
      </c>
      <c r="BD151" s="736">
        <f>+AY151*(1+BD152)</f>
        <v>10170.531608868678</v>
      </c>
      <c r="BE151" s="737">
        <f>SUM(BA151:BD151)</f>
        <v>32430.524296497693</v>
      </c>
      <c r="BF151" s="736">
        <f>+BA151*(1+BF152)</f>
        <v>9135.5291501154734</v>
      </c>
      <c r="BG151" s="736">
        <f>+BB151*(1+BG152)</f>
        <v>9215.5302742930635</v>
      </c>
      <c r="BH151" s="736">
        <f>+BC151*(1+BH152)</f>
        <v>10758.792545176131</v>
      </c>
      <c r="BI151" s="736">
        <f>+BD151*(1+BI152)</f>
        <v>13526.807039795342</v>
      </c>
      <c r="BJ151" s="737">
        <f>SUM(BF151:BI151)</f>
        <v>42636.659009380011</v>
      </c>
      <c r="BK151" s="738">
        <f>+BF151*(1+BK152)</f>
        <v>11602.122020646651</v>
      </c>
      <c r="BL151" s="738">
        <f>+BG151*(1+BL152)</f>
        <v>11588.529319923528</v>
      </c>
      <c r="BM151" s="738">
        <f>+BH151*(1+BM152)</f>
        <v>13421.593700107223</v>
      </c>
      <c r="BN151" s="738">
        <f>+BI151*(1+BN152)</f>
        <v>16773.240729346224</v>
      </c>
      <c r="BO151" s="737">
        <f>SUM(BK151:BN151)</f>
        <v>53385.485770023624</v>
      </c>
      <c r="BP151" s="738">
        <f>+BK151*(1+BP152)</f>
        <v>14247.405841354088</v>
      </c>
      <c r="BQ151" s="738">
        <f>+BL151*(1+BQ152)</f>
        <v>14230.714004866091</v>
      </c>
      <c r="BR151" s="738">
        <f>+BM151*(1+BR152)</f>
        <v>16481.71706373167</v>
      </c>
      <c r="BS151" s="738">
        <f>+BN151*(1+BS152)</f>
        <v>20597.539615637161</v>
      </c>
      <c r="BT151" s="737">
        <f>SUM(BP151:BS151)</f>
        <v>65557.376525589003</v>
      </c>
      <c r="BU151" s="738">
        <f>+BP151*(1+BU152)</f>
        <v>17096.887009624905</v>
      </c>
      <c r="BV151" s="738">
        <f>+BQ151*(1+BV152)</f>
        <v>17076.85680583931</v>
      </c>
      <c r="BW151" s="738">
        <f>+BR151*(1+BW152)</f>
        <v>19448.426135203368</v>
      </c>
      <c r="BX151" s="738">
        <f>+BS151*(1+BX152)</f>
        <v>24305.096746451847</v>
      </c>
      <c r="BY151" s="737">
        <f>SUM(BU151:BX151)</f>
        <v>77927.266697119427</v>
      </c>
      <c r="BZ151" s="738">
        <f>+BU151*(1+BZ152)</f>
        <v>20003.357801261136</v>
      </c>
      <c r="CA151" s="738">
        <f>+BV151*(1+CA152)</f>
        <v>19979.922462831993</v>
      </c>
      <c r="CB151" s="738">
        <f>+BW151*(1+CB152)</f>
        <v>22754.65857818794</v>
      </c>
      <c r="CC151" s="738">
        <f>+BX151*(1+CC152)</f>
        <v>28436.96319334866</v>
      </c>
      <c r="CD151" s="737">
        <f>SUM(BZ151:CC151)</f>
        <v>91174.902035629726</v>
      </c>
    </row>
    <row r="152" spans="2:82">
      <c r="B152" s="725" t="s">
        <v>339</v>
      </c>
      <c r="C152" s="129"/>
      <c r="D152" s="129"/>
      <c r="E152" s="129"/>
      <c r="F152" s="129"/>
      <c r="G152" s="667"/>
      <c r="H152" s="129"/>
      <c r="I152" s="129"/>
      <c r="J152" s="129"/>
      <c r="K152" s="129"/>
      <c r="L152" s="667"/>
      <c r="M152" s="129"/>
      <c r="N152" s="129"/>
      <c r="O152" s="129"/>
      <c r="P152" s="129"/>
      <c r="Q152" s="667"/>
      <c r="R152" s="129"/>
      <c r="S152" s="129"/>
      <c r="T152" s="129"/>
      <c r="U152" s="129"/>
      <c r="V152" s="667"/>
      <c r="W152" s="129"/>
      <c r="X152" s="129"/>
      <c r="Y152" s="129"/>
      <c r="Z152" s="129"/>
      <c r="AA152" s="667"/>
      <c r="AB152" s="129"/>
      <c r="AC152" s="129"/>
      <c r="AD152" s="129"/>
      <c r="AE152" s="129"/>
      <c r="AF152" s="667"/>
      <c r="AG152" s="129"/>
      <c r="AH152" s="129"/>
      <c r="AI152" s="129"/>
      <c r="AJ152" s="129"/>
      <c r="AK152" s="667"/>
      <c r="AL152" s="726"/>
      <c r="AM152" s="129"/>
      <c r="AN152" s="129"/>
      <c r="AO152" s="129"/>
      <c r="AP152" s="667"/>
      <c r="AQ152" s="732"/>
      <c r="AR152" s="732"/>
      <c r="AS152" s="732"/>
      <c r="AT152" s="732"/>
      <c r="AU152" s="699">
        <f>+AU151/AP151-1</f>
        <v>0.20244311829353268</v>
      </c>
      <c r="AV152" s="731">
        <f>+AV151/AQ151-1</f>
        <v>0.19044691551928961</v>
      </c>
      <c r="AW152" s="733">
        <f>+AW151/AR151-1</f>
        <v>0.16393781366972116</v>
      </c>
      <c r="AX152" s="733">
        <f>+AX151/AS151-1</f>
        <v>0.22898048361046053</v>
      </c>
      <c r="AY152" s="733">
        <f>AY$8</f>
        <v>0.28999999999999998</v>
      </c>
      <c r="AZ152" s="739">
        <f>+AZ151/AU151-1</f>
        <v>0.22268817738742386</v>
      </c>
      <c r="BA152" s="733">
        <f>BA$8</f>
        <v>0.31</v>
      </c>
      <c r="BB152" s="733">
        <f>BB$8</f>
        <v>0.28999999999999998</v>
      </c>
      <c r="BC152" s="733">
        <v>0.35</v>
      </c>
      <c r="BD152" s="733">
        <v>0.35</v>
      </c>
      <c r="BE152" s="739">
        <f>+BE151/AZ151-1</f>
        <v>0.32764961969152351</v>
      </c>
      <c r="BF152" s="733">
        <f>BF$8+5%</f>
        <v>0.28999999999999998</v>
      </c>
      <c r="BG152" s="733">
        <f>BG$8+5%</f>
        <v>0.3</v>
      </c>
      <c r="BH152" s="733">
        <f>BH$8+5%</f>
        <v>0.33</v>
      </c>
      <c r="BI152" s="733">
        <v>0.33</v>
      </c>
      <c r="BJ152" s="739">
        <f>+BJ151/BE151-1</f>
        <v>0.31470766921842586</v>
      </c>
      <c r="BK152" s="728">
        <f>BK$8</f>
        <v>0.27</v>
      </c>
      <c r="BL152" s="728">
        <f>BL$8</f>
        <v>0.25750000000000001</v>
      </c>
      <c r="BM152" s="728">
        <f>BM$8</f>
        <v>0.2475</v>
      </c>
      <c r="BN152" s="728">
        <f>BN$8</f>
        <v>0.24</v>
      </c>
      <c r="BO152" s="739">
        <f>+BO151/BJ151-1</f>
        <v>0.25210293232119541</v>
      </c>
      <c r="BP152" s="728">
        <f>BP$8</f>
        <v>0.22799999999999998</v>
      </c>
      <c r="BQ152" s="728">
        <f>BQ$8</f>
        <v>0.22799999999999998</v>
      </c>
      <c r="BR152" s="728">
        <f>BR$8</f>
        <v>0.22799999999999998</v>
      </c>
      <c r="BS152" s="728">
        <f>BS$8</f>
        <v>0.22799999999999998</v>
      </c>
      <c r="BT152" s="739">
        <f>+BT151/BO151-1</f>
        <v>0.22799999999999976</v>
      </c>
      <c r="BU152" s="728">
        <f>BU$8</f>
        <v>0.2</v>
      </c>
      <c r="BV152" s="728">
        <f>BV$8</f>
        <v>0.2</v>
      </c>
      <c r="BW152" s="728">
        <f>BW$8</f>
        <v>0.18000000000000002</v>
      </c>
      <c r="BX152" s="728">
        <f>BX$8</f>
        <v>0.18000000000000002</v>
      </c>
      <c r="BY152" s="739">
        <f>+BY151/BT151-1</f>
        <v>0.18868799862212438</v>
      </c>
      <c r="BZ152" s="728">
        <f>BZ$8</f>
        <v>0.17</v>
      </c>
      <c r="CA152" s="728">
        <f>CA$8</f>
        <v>0.17</v>
      </c>
      <c r="CB152" s="728">
        <f>CB$8</f>
        <v>0.17</v>
      </c>
      <c r="CC152" s="728">
        <f>CC$8</f>
        <v>0.17</v>
      </c>
      <c r="CD152" s="739">
        <f>+CD151/BY151-1</f>
        <v>0.16999999999999993</v>
      </c>
    </row>
    <row r="153" spans="2:82">
      <c r="B153" s="734" t="s">
        <v>340</v>
      </c>
      <c r="C153" s="129"/>
      <c r="D153" s="129"/>
      <c r="E153" s="129"/>
      <c r="F153" s="129"/>
      <c r="G153" s="667"/>
      <c r="H153" s="129"/>
      <c r="I153" s="129"/>
      <c r="J153" s="129"/>
      <c r="K153" s="129"/>
      <c r="L153" s="667"/>
      <c r="M153" s="129"/>
      <c r="N153" s="129"/>
      <c r="O153" s="129"/>
      <c r="P153" s="129"/>
      <c r="Q153" s="667"/>
      <c r="R153" s="129"/>
      <c r="S153" s="129"/>
      <c r="T153" s="129"/>
      <c r="U153" s="129"/>
      <c r="V153" s="667"/>
      <c r="W153" s="129"/>
      <c r="X153" s="129"/>
      <c r="Y153" s="129"/>
      <c r="Z153" s="129"/>
      <c r="AA153" s="667"/>
      <c r="AB153" s="129"/>
      <c r="AC153" s="129"/>
      <c r="AD153" s="129"/>
      <c r="AE153" s="129"/>
      <c r="AF153" s="667"/>
      <c r="AG153" s="129"/>
      <c r="AH153" s="129"/>
      <c r="AI153" s="129"/>
      <c r="AJ153" s="129"/>
      <c r="AK153" s="667"/>
      <c r="AL153" s="726"/>
      <c r="AM153" s="129"/>
      <c r="AN153" s="129"/>
      <c r="AO153" s="129"/>
      <c r="AP153" s="667"/>
      <c r="AQ153" s="735">
        <f t="shared" ref="AQ153:CD153" si="36">+AQ151*AL193</f>
        <v>7053.7166497461922</v>
      </c>
      <c r="AR153" s="736">
        <f t="shared" si="36"/>
        <v>7249.9597146932974</v>
      </c>
      <c r="AS153" s="736">
        <f t="shared" si="36"/>
        <v>7550.4422912551636</v>
      </c>
      <c r="AT153" s="736">
        <f t="shared" si="36"/>
        <v>9451.6154784915689</v>
      </c>
      <c r="AU153" s="737">
        <f t="shared" si="36"/>
        <v>31245.292037958523</v>
      </c>
      <c r="AV153" s="738">
        <f t="shared" si="36"/>
        <v>8945.7800092378748</v>
      </c>
      <c r="AW153" s="738">
        <f t="shared" si="36"/>
        <v>9245.2046114911427</v>
      </c>
      <c r="AX153" s="738">
        <f t="shared" si="36"/>
        <v>10010.980064174748</v>
      </c>
      <c r="AY153" s="738">
        <f t="shared" si="36"/>
        <v>11926.643400000001</v>
      </c>
      <c r="AZ153" s="737">
        <f t="shared" si="36"/>
        <v>40249.622804825674</v>
      </c>
      <c r="BA153" s="738">
        <f t="shared" si="36"/>
        <v>10732.4763</v>
      </c>
      <c r="BB153" s="738">
        <f t="shared" si="36"/>
        <v>10853.059115340522</v>
      </c>
      <c r="BC153" s="738">
        <f t="shared" si="36"/>
        <v>12535.747254207265</v>
      </c>
      <c r="BD153" s="738">
        <f t="shared" si="36"/>
        <v>15433.280134853834</v>
      </c>
      <c r="BE153" s="737">
        <f t="shared" si="36"/>
        <v>49566.955254682973</v>
      </c>
      <c r="BF153" s="738">
        <f t="shared" si="36"/>
        <v>13086.856958431719</v>
      </c>
      <c r="BG153" s="738">
        <f t="shared" si="36"/>
        <v>13217.76324180598</v>
      </c>
      <c r="BH153" s="738">
        <f t="shared" si="36"/>
        <v>14128.086985699789</v>
      </c>
      <c r="BI153" s="738">
        <f t="shared" si="36"/>
        <v>16788.297106105136</v>
      </c>
      <c r="BJ153" s="737">
        <f t="shared" si="36"/>
        <v>57784.345005240066</v>
      </c>
      <c r="BK153" s="738">
        <f t="shared" si="36"/>
        <v>14377.88509054013</v>
      </c>
      <c r="BL153" s="738">
        <f t="shared" si="36"/>
        <v>14834.734895780473</v>
      </c>
      <c r="BM153" s="738">
        <f t="shared" si="36"/>
        <v>17402.951570141679</v>
      </c>
      <c r="BN153" s="738">
        <f t="shared" si="36"/>
        <v>22257.006638441471</v>
      </c>
      <c r="BO153" s="737">
        <f t="shared" si="36"/>
        <v>68639.615326298997</v>
      </c>
      <c r="BP153" s="738">
        <f t="shared" si="36"/>
        <v>19824.114476233943</v>
      </c>
      <c r="BQ153" s="738">
        <f t="shared" si="36"/>
        <v>20113.900449683686</v>
      </c>
      <c r="BR153" s="738">
        <f t="shared" si="36"/>
        <v>23295.501276070452</v>
      </c>
      <c r="BS153" s="738">
        <f t="shared" si="36"/>
        <v>29112.865397735906</v>
      </c>
      <c r="BT153" s="737">
        <f t="shared" si="36"/>
        <v>92299.268649371486</v>
      </c>
      <c r="BU153" s="738">
        <f t="shared" si="36"/>
        <v>24164.991524212801</v>
      </c>
      <c r="BV153" s="738">
        <f t="shared" si="36"/>
        <v>24136.680539620422</v>
      </c>
      <c r="BW153" s="738">
        <f t="shared" si="36"/>
        <v>27488.69150576313</v>
      </c>
      <c r="BX153" s="738">
        <f t="shared" si="36"/>
        <v>34353.181169328367</v>
      </c>
      <c r="BY153" s="737">
        <f t="shared" si="36"/>
        <v>110143.54473892471</v>
      </c>
      <c r="BZ153" s="738">
        <f t="shared" si="36"/>
        <v>28273.040083328975</v>
      </c>
      <c r="CA153" s="738">
        <f t="shared" si="36"/>
        <v>28239.916231355895</v>
      </c>
      <c r="CB153" s="738">
        <f t="shared" si="36"/>
        <v>32161.769061742863</v>
      </c>
      <c r="CC153" s="738">
        <f t="shared" si="36"/>
        <v>40193.221968114187</v>
      </c>
      <c r="CD153" s="737">
        <f t="shared" si="36"/>
        <v>128867.94734454191</v>
      </c>
    </row>
    <row r="154" spans="2:82">
      <c r="B154" s="734" t="s">
        <v>341</v>
      </c>
      <c r="C154" s="129"/>
      <c r="D154" s="129"/>
      <c r="E154" s="129"/>
      <c r="F154" s="129"/>
      <c r="G154" s="667"/>
      <c r="H154" s="129"/>
      <c r="I154" s="129"/>
      <c r="J154" s="129"/>
      <c r="K154" s="129"/>
      <c r="L154" s="667"/>
      <c r="M154" s="129"/>
      <c r="N154" s="129"/>
      <c r="O154" s="129"/>
      <c r="P154" s="129"/>
      <c r="Q154" s="667"/>
      <c r="R154" s="129"/>
      <c r="S154" s="129"/>
      <c r="T154" s="129"/>
      <c r="U154" s="129"/>
      <c r="V154" s="667"/>
      <c r="W154" s="129"/>
      <c r="X154" s="129"/>
      <c r="Y154" s="129"/>
      <c r="Z154" s="129"/>
      <c r="AA154" s="667"/>
      <c r="AB154" s="129"/>
      <c r="AC154" s="129"/>
      <c r="AD154" s="129"/>
      <c r="AE154" s="129"/>
      <c r="AF154" s="667"/>
      <c r="AG154" s="129"/>
      <c r="AH154" s="129"/>
      <c r="AI154" s="129"/>
      <c r="AJ154" s="129"/>
      <c r="AK154" s="667"/>
      <c r="AL154" s="726"/>
      <c r="AM154" s="129"/>
      <c r="AN154" s="129"/>
      <c r="AO154" s="129"/>
      <c r="AP154" s="667"/>
      <c r="AQ154" s="740">
        <f>+AQ148-AQ153</f>
        <v>460.92335025380817</v>
      </c>
      <c r="AR154" s="740">
        <f>+AR148-AR153</f>
        <v>693.08028530670344</v>
      </c>
      <c r="AS154" s="740">
        <f>+AS148-AS153</f>
        <v>595.31770874483755</v>
      </c>
      <c r="AT154" s="740">
        <f>+AT148-AT153</f>
        <v>-206.15547849156792</v>
      </c>
      <c r="AU154" s="741">
        <f>+SUM(AQ154:AT154)</f>
        <v>1543.1658658137812</v>
      </c>
      <c r="AV154" s="740">
        <f>+AV148-AV153</f>
        <v>-753.0500092378752</v>
      </c>
      <c r="AW154" s="740">
        <f>+AW148-AW153</f>
        <v>-831.9804910721341</v>
      </c>
      <c r="AX154" s="740">
        <f>+AX148-AX153</f>
        <v>-725.24135735455275</v>
      </c>
      <c r="AY154" s="740">
        <f>+AY148-AY153</f>
        <v>-494.58404084901304</v>
      </c>
      <c r="AZ154" s="741">
        <f>+SUM(AV154:AY154)</f>
        <v>-2804.8558985135751</v>
      </c>
      <c r="BA154" s="740">
        <f>+BA148-BA153</f>
        <v>-587.62594462657398</v>
      </c>
      <c r="BB154" s="740">
        <f>+BB148-BB153</f>
        <v>-685.54892933592237</v>
      </c>
      <c r="BC154" s="740">
        <f>+BC148-BC153</f>
        <v>-1913.1254604480273</v>
      </c>
      <c r="BD154" s="740">
        <f>+BD148-BD153</f>
        <v>-2810.5003558274184</v>
      </c>
      <c r="BE154" s="741">
        <f>+SUM(BA154:BD154)</f>
        <v>-5996.800690237942</v>
      </c>
      <c r="BF154" s="740">
        <f>+BF148-BF153</f>
        <v>-1765.6875958016954</v>
      </c>
      <c r="BG154" s="740">
        <f>+BG148-BG153</f>
        <v>-1420.757360469619</v>
      </c>
      <c r="BH154" s="740">
        <f>+BH148-BH153</f>
        <v>-177.82520602710065</v>
      </c>
      <c r="BI154" s="740">
        <f>+BI148-BI153</f>
        <v>1160.9017958637924</v>
      </c>
      <c r="BJ154" s="741">
        <f>+SUM(BF154:BI154)</f>
        <v>-2203.3683664346227</v>
      </c>
      <c r="BK154" s="740">
        <f>+BK148-BK153</f>
        <v>1765.5306067187794</v>
      </c>
      <c r="BL154" s="740">
        <f>+BL148-BL153</f>
        <v>1544.6628645482597</v>
      </c>
      <c r="BM154" s="740">
        <f>+BM148-BM153</f>
        <v>1567.3263419678115</v>
      </c>
      <c r="BN154" s="740">
        <f>+BN148-BN153</f>
        <v>1450.5384737213208</v>
      </c>
      <c r="BO154" s="741">
        <f>+SUM(BK154:BN154)</f>
        <v>6328.0582869561713</v>
      </c>
      <c r="BP154" s="740">
        <f>+BP148-BP153</f>
        <v>313.37846061005985</v>
      </c>
      <c r="BQ154" s="740">
        <f>+BQ148-BQ153</f>
        <v>0</v>
      </c>
      <c r="BR154" s="740">
        <f>+BR148-BR153</f>
        <v>0</v>
      </c>
      <c r="BS154" s="740">
        <f>+BS148-BS153</f>
        <v>0</v>
      </c>
      <c r="BT154" s="741">
        <f>+SUM(BP154:BS154)</f>
        <v>313.37846061005985</v>
      </c>
      <c r="BU154" s="740">
        <f>+BU148-BU153</f>
        <v>0</v>
      </c>
      <c r="BV154" s="740">
        <f>+BV148-BV153</f>
        <v>0</v>
      </c>
      <c r="BW154" s="740">
        <f>+BW148-BW153</f>
        <v>0</v>
      </c>
      <c r="BX154" s="740">
        <f>+BX148-BX153</f>
        <v>0</v>
      </c>
      <c r="BY154" s="741">
        <f>+SUM(BU154:BX154)</f>
        <v>0</v>
      </c>
      <c r="BZ154" s="740">
        <f>+BZ148-BZ153</f>
        <v>0</v>
      </c>
      <c r="CA154" s="740">
        <f>+CA148-CA153</f>
        <v>0</v>
      </c>
      <c r="CB154" s="740">
        <f>+CB148-CB153</f>
        <v>0</v>
      </c>
      <c r="CC154" s="740">
        <f>+CC148-CC153</f>
        <v>0</v>
      </c>
      <c r="CD154" s="741">
        <f>+SUM(BZ154:CC154)</f>
        <v>0</v>
      </c>
    </row>
    <row r="155" spans="2:82">
      <c r="B155" s="734"/>
      <c r="C155" s="129"/>
      <c r="D155" s="129"/>
      <c r="E155" s="129"/>
      <c r="F155" s="129"/>
      <c r="G155" s="667"/>
      <c r="H155" s="129"/>
      <c r="I155" s="129"/>
      <c r="J155" s="129"/>
      <c r="K155" s="129"/>
      <c r="L155" s="667"/>
      <c r="M155" s="129"/>
      <c r="N155" s="129"/>
      <c r="O155" s="129"/>
      <c r="P155" s="129"/>
      <c r="Q155" s="667"/>
      <c r="R155" s="129"/>
      <c r="S155" s="129"/>
      <c r="T155" s="129"/>
      <c r="U155" s="129"/>
      <c r="V155" s="667"/>
      <c r="W155" s="129"/>
      <c r="X155" s="129"/>
      <c r="Y155" s="129"/>
      <c r="Z155" s="129"/>
      <c r="AA155" s="667"/>
      <c r="AB155" s="129"/>
      <c r="AC155" s="129"/>
      <c r="AD155" s="129"/>
      <c r="AE155" s="129"/>
      <c r="AF155" s="667"/>
      <c r="AG155" s="129"/>
      <c r="AH155" s="129"/>
      <c r="AI155" s="129"/>
      <c r="AJ155" s="129"/>
      <c r="AK155" s="667"/>
      <c r="AL155" s="726"/>
      <c r="AM155" s="129"/>
      <c r="AN155" s="129"/>
      <c r="AO155" s="129"/>
      <c r="AP155" s="667"/>
      <c r="AQ155" s="129"/>
      <c r="AR155" s="129"/>
      <c r="AS155" s="129"/>
      <c r="AT155" s="129"/>
      <c r="AU155" s="667"/>
      <c r="AV155" s="129"/>
      <c r="AW155" s="129"/>
      <c r="AX155" s="129"/>
      <c r="AY155" s="129"/>
      <c r="AZ155" s="667"/>
      <c r="BA155" s="129"/>
      <c r="BB155" s="129"/>
      <c r="BC155" s="129"/>
      <c r="BD155" s="129"/>
      <c r="BE155" s="667"/>
      <c r="BF155" s="129"/>
      <c r="BG155" s="129"/>
      <c r="BH155" s="129"/>
      <c r="BI155" s="129"/>
      <c r="BJ155" s="667"/>
      <c r="BK155" s="129"/>
      <c r="BL155" s="129"/>
      <c r="BM155" s="129"/>
      <c r="BN155" s="129"/>
      <c r="BO155" s="667"/>
      <c r="BP155" s="129"/>
      <c r="BQ155" s="129"/>
      <c r="BR155" s="129"/>
      <c r="BS155" s="129"/>
      <c r="BT155" s="667"/>
      <c r="BU155" s="129"/>
      <c r="BV155" s="129"/>
      <c r="BW155" s="129"/>
      <c r="BX155" s="129"/>
      <c r="BY155" s="667"/>
      <c r="BZ155" s="129"/>
      <c r="CA155" s="129"/>
      <c r="CB155" s="129"/>
      <c r="CC155" s="129"/>
      <c r="CD155" s="667"/>
    </row>
    <row r="156" spans="2:82">
      <c r="B156" s="725"/>
      <c r="C156" s="129"/>
      <c r="D156" s="129"/>
      <c r="E156" s="129"/>
      <c r="F156" s="129"/>
      <c r="G156" s="667"/>
      <c r="H156" s="129"/>
      <c r="I156" s="129"/>
      <c r="J156" s="129"/>
      <c r="K156" s="129"/>
      <c r="L156" s="667"/>
      <c r="M156" s="129"/>
      <c r="N156" s="129"/>
      <c r="O156" s="129"/>
      <c r="P156" s="129"/>
      <c r="Q156" s="667"/>
      <c r="R156" s="129"/>
      <c r="S156" s="129"/>
      <c r="T156" s="129"/>
      <c r="U156" s="129"/>
      <c r="V156" s="667"/>
      <c r="W156" s="129"/>
      <c r="X156" s="129"/>
      <c r="Y156" s="129"/>
      <c r="Z156" s="129"/>
      <c r="AA156" s="667"/>
      <c r="AB156" s="129"/>
      <c r="AC156" s="129"/>
      <c r="AD156" s="129"/>
      <c r="AE156" s="129"/>
      <c r="AF156" s="667"/>
      <c r="AG156" s="129"/>
      <c r="AH156" s="129"/>
      <c r="AI156" s="129"/>
      <c r="AJ156" s="129"/>
      <c r="AK156" s="667"/>
      <c r="AL156" s="726"/>
      <c r="AM156" s="129"/>
      <c r="AN156" s="129"/>
      <c r="AO156" s="129"/>
      <c r="AP156" s="667"/>
      <c r="AQ156" s="742"/>
      <c r="AR156" s="742"/>
      <c r="AS156" s="742"/>
      <c r="AT156" s="742"/>
      <c r="AU156" s="743"/>
      <c r="AV156" s="742"/>
      <c r="AW156" s="742"/>
      <c r="AX156" s="742"/>
      <c r="AY156" s="742"/>
      <c r="AZ156" s="743"/>
      <c r="BA156" s="742"/>
      <c r="BB156" s="742"/>
      <c r="BC156" s="742"/>
      <c r="BD156" s="742"/>
      <c r="BE156" s="667"/>
      <c r="BF156" s="742"/>
      <c r="BG156" s="742"/>
      <c r="BH156" s="742"/>
      <c r="BI156" s="742"/>
      <c r="BJ156" s="667"/>
      <c r="BK156" s="129"/>
      <c r="BL156" s="129"/>
      <c r="BM156" s="129"/>
      <c r="BN156" s="129"/>
      <c r="BO156" s="667"/>
      <c r="BP156" s="129"/>
      <c r="BQ156" s="129"/>
      <c r="BR156" s="129"/>
      <c r="BS156" s="129"/>
      <c r="BT156" s="667"/>
      <c r="BU156" s="129"/>
      <c r="BV156" s="129"/>
      <c r="BW156" s="129"/>
      <c r="BX156" s="129"/>
      <c r="BY156" s="667"/>
      <c r="BZ156" s="129"/>
      <c r="CA156" s="129"/>
      <c r="CB156" s="129"/>
      <c r="CC156" s="129"/>
      <c r="CD156" s="667"/>
    </row>
    <row r="157" spans="2:82">
      <c r="B157" s="734" t="s">
        <v>342</v>
      </c>
      <c r="C157" s="129"/>
      <c r="D157" s="129"/>
      <c r="E157" s="129"/>
      <c r="F157" s="129"/>
      <c r="G157" s="667"/>
      <c r="H157" s="129"/>
      <c r="I157" s="129"/>
      <c r="J157" s="129"/>
      <c r="K157" s="129"/>
      <c r="L157" s="667"/>
      <c r="M157" s="129"/>
      <c r="N157" s="129"/>
      <c r="O157" s="129"/>
      <c r="P157" s="129"/>
      <c r="Q157" s="667"/>
      <c r="R157" s="129"/>
      <c r="S157" s="129"/>
      <c r="T157" s="129"/>
      <c r="U157" s="129"/>
      <c r="V157" s="667"/>
      <c r="W157" s="129"/>
      <c r="X157" s="129"/>
      <c r="Y157" s="129"/>
      <c r="Z157" s="129"/>
      <c r="AA157" s="667"/>
      <c r="AB157" s="129"/>
      <c r="AC157" s="129"/>
      <c r="AD157" s="129"/>
      <c r="AE157" s="129"/>
      <c r="AF157" s="667"/>
      <c r="AG157" s="129"/>
      <c r="AH157" s="129"/>
      <c r="AI157" s="129"/>
      <c r="AJ157" s="129"/>
      <c r="AK157" s="667"/>
      <c r="AL157" s="726"/>
      <c r="AM157" s="129"/>
      <c r="AN157" s="129"/>
      <c r="AO157" s="129"/>
      <c r="AP157" s="737">
        <f t="shared" ref="AP157:AX157" si="37">+AP158*AP$6</f>
        <v>46401.5</v>
      </c>
      <c r="AQ157" s="735">
        <f t="shared" si="37"/>
        <v>13419</v>
      </c>
      <c r="AR157" s="736">
        <f t="shared" si="37"/>
        <v>14184</v>
      </c>
      <c r="AS157" s="736">
        <f t="shared" si="37"/>
        <v>14546</v>
      </c>
      <c r="AT157" s="736">
        <f t="shared" si="37"/>
        <v>16509.75</v>
      </c>
      <c r="AU157" s="737">
        <f t="shared" si="37"/>
        <v>58658.75</v>
      </c>
      <c r="AV157" s="735">
        <f t="shared" si="37"/>
        <v>11343.779999999999</v>
      </c>
      <c r="AW157" s="736">
        <f t="shared" si="37"/>
        <v>12146.76</v>
      </c>
      <c r="AX157" s="736">
        <f t="shared" si="37"/>
        <v>12837.06</v>
      </c>
      <c r="AY157" s="736">
        <f>+AY160*AY194</f>
        <v>18673.96922958432</v>
      </c>
      <c r="AZ157" s="737">
        <f>+SUM(AV157:AY157)</f>
        <v>55001.569229584318</v>
      </c>
      <c r="BA157" s="736">
        <f>+BA160*BA194</f>
        <v>14526.949178893363</v>
      </c>
      <c r="BB157" s="736">
        <f>+BB160*BB194</f>
        <v>16004.691289395338</v>
      </c>
      <c r="BC157" s="736">
        <f>+BC160*BC194</f>
        <v>15452.86427158138</v>
      </c>
      <c r="BD157" s="736">
        <f>+BD160*BD194</f>
        <v>22053.946685591018</v>
      </c>
      <c r="BE157" s="737">
        <f>+SUM(BA157:BD157)</f>
        <v>68038.451425461099</v>
      </c>
      <c r="BF157" s="736">
        <f>+BF160*BF194</f>
        <v>17685.788756338807</v>
      </c>
      <c r="BG157" s="736">
        <f>+BG160*BG194</f>
        <v>19818.819330374874</v>
      </c>
      <c r="BH157" s="736">
        <f>+BH160*BH194</f>
        <v>20658.075643133525</v>
      </c>
      <c r="BI157" s="736">
        <f>+BI160*BI194</f>
        <v>31565.989209750394</v>
      </c>
      <c r="BJ157" s="737">
        <f>+SUM(BF157:BI157)</f>
        <v>89728.6729395976</v>
      </c>
      <c r="BK157" s="738">
        <f>+BK160*BK194</f>
        <v>25895.924747191668</v>
      </c>
      <c r="BL157" s="738">
        <f>+BL160*BL194</f>
        <v>27852.052822010097</v>
      </c>
      <c r="BM157" s="738">
        <f>+BM160*BM194</f>
        <v>27638.471683342414</v>
      </c>
      <c r="BN157" s="738">
        <f>+BN160*BN194</f>
        <v>40911.809521225332</v>
      </c>
      <c r="BO157" s="737">
        <f>+SUM(BK157:BN157)</f>
        <v>122298.25877376951</v>
      </c>
      <c r="BP157" s="738">
        <f>+BP160*BP194</f>
        <v>31852.905693770401</v>
      </c>
      <c r="BQ157" s="738">
        <f>+BQ160*BQ194</f>
        <v>34202.320865428395</v>
      </c>
      <c r="BR157" s="738">
        <f>+BR160*BR194</f>
        <v>33940.043227144488</v>
      </c>
      <c r="BS157" s="738">
        <f>+BS160*BS194</f>
        <v>50239.702092064712</v>
      </c>
      <c r="BT157" s="737">
        <f>+SUM(BP157:BS157)</f>
        <v>150234.97187840799</v>
      </c>
      <c r="BU157" s="738">
        <f>+BU160*BU194</f>
        <v>38223.486832524475</v>
      </c>
      <c r="BV157" s="738">
        <f>+BV160*BV194</f>
        <v>41042.78503851407</v>
      </c>
      <c r="BW157" s="738">
        <f>+BW160*BW194</f>
        <v>40049.251008030493</v>
      </c>
      <c r="BX157" s="738">
        <f>+BX160*BX194</f>
        <v>59282.848468636352</v>
      </c>
      <c r="BY157" s="737">
        <f>+SUM(BU157:BX157)</f>
        <v>178598.37134770537</v>
      </c>
      <c r="BZ157" s="738">
        <f>+BZ160*BZ194</f>
        <v>44721.479594053635</v>
      </c>
      <c r="CA157" s="738">
        <f>+CA160*CA194</f>
        <v>48020.058495061458</v>
      </c>
      <c r="CB157" s="738">
        <f>+CB160*CB194</f>
        <v>46857.62367939567</v>
      </c>
      <c r="CC157" s="738">
        <f>+CC160*CC194</f>
        <v>69360.932708304535</v>
      </c>
      <c r="CD157" s="737">
        <f>+SUM(BZ157:CC157)</f>
        <v>208960.09447681531</v>
      </c>
    </row>
    <row r="158" spans="2:82">
      <c r="B158" s="725" t="s">
        <v>343</v>
      </c>
      <c r="C158" s="129"/>
      <c r="D158" s="129"/>
      <c r="E158" s="129"/>
      <c r="F158" s="129"/>
      <c r="G158" s="667"/>
      <c r="H158" s="129"/>
      <c r="I158" s="129"/>
      <c r="J158" s="129"/>
      <c r="K158" s="129"/>
      <c r="L158" s="667"/>
      <c r="M158" s="129"/>
      <c r="N158" s="129"/>
      <c r="O158" s="129"/>
      <c r="P158" s="129"/>
      <c r="Q158" s="667"/>
      <c r="R158" s="129"/>
      <c r="S158" s="129"/>
      <c r="T158" s="129"/>
      <c r="U158" s="129"/>
      <c r="V158" s="667"/>
      <c r="W158" s="129"/>
      <c r="X158" s="129"/>
      <c r="Y158" s="129"/>
      <c r="Z158" s="129"/>
      <c r="AA158" s="667"/>
      <c r="AB158" s="129"/>
      <c r="AC158" s="129"/>
      <c r="AD158" s="129"/>
      <c r="AE158" s="129"/>
      <c r="AF158" s="667"/>
      <c r="AG158" s="129"/>
      <c r="AH158" s="129"/>
      <c r="AI158" s="129"/>
      <c r="AJ158" s="129"/>
      <c r="AK158" s="667"/>
      <c r="AL158" s="726"/>
      <c r="AM158" s="129"/>
      <c r="AN158" s="129"/>
      <c r="AO158" s="129"/>
      <c r="AP158" s="727">
        <v>0.25</v>
      </c>
      <c r="AQ158" s="730">
        <v>0.25</v>
      </c>
      <c r="AR158" s="730">
        <f>+AQ158</f>
        <v>0.25</v>
      </c>
      <c r="AS158" s="730">
        <f>+AR158</f>
        <v>0.25</v>
      </c>
      <c r="AT158" s="730">
        <f>+AS158</f>
        <v>0.25</v>
      </c>
      <c r="AU158" s="729">
        <f>+AVERAGE(AQ158:AT158)</f>
        <v>0.25</v>
      </c>
      <c r="AV158" s="730">
        <v>0.18</v>
      </c>
      <c r="AW158" s="730">
        <v>0.18</v>
      </c>
      <c r="AX158" s="730">
        <v>0.18</v>
      </c>
      <c r="AY158" s="730">
        <v>0.18</v>
      </c>
      <c r="AZ158" s="729">
        <f t="shared" ref="AZ158:CD158" si="38">AZ157/AZ$6</f>
        <v>0.1909524758177196</v>
      </c>
      <c r="BA158" s="730">
        <v>0.18</v>
      </c>
      <c r="BB158" s="730">
        <v>0.2</v>
      </c>
      <c r="BC158" s="730">
        <f t="shared" si="38"/>
        <v>0.17383277205221193</v>
      </c>
      <c r="BD158" s="730">
        <f>BD157/BD$6</f>
        <v>0.21898250127186719</v>
      </c>
      <c r="BE158" s="729">
        <f t="shared" si="38"/>
        <v>0.18903350510507963</v>
      </c>
      <c r="BF158" s="730">
        <f>BF157/BF$6</f>
        <v>0.17573494128855421</v>
      </c>
      <c r="BG158" s="730">
        <f t="shared" si="38"/>
        <v>0.18384804573631608</v>
      </c>
      <c r="BH158" s="730">
        <f t="shared" si="38"/>
        <v>0.17928622199484071</v>
      </c>
      <c r="BI158" s="730">
        <f t="shared" si="38"/>
        <v>0.23820691400785116</v>
      </c>
      <c r="BJ158" s="729">
        <f t="shared" si="38"/>
        <v>0.19669662486923437</v>
      </c>
      <c r="BK158" s="733">
        <f t="shared" si="38"/>
        <v>0.19564175113468668</v>
      </c>
      <c r="BL158" s="733">
        <f t="shared" si="38"/>
        <v>0.19814874590503609</v>
      </c>
      <c r="BM158" s="733">
        <f t="shared" si="38"/>
        <v>0.18794016203012218</v>
      </c>
      <c r="BN158" s="733">
        <f t="shared" si="38"/>
        <v>0.24412099292025757</v>
      </c>
      <c r="BO158" s="729">
        <f t="shared" si="38"/>
        <v>0.20814119484371088</v>
      </c>
      <c r="BP158" s="733">
        <f t="shared" si="38"/>
        <v>0.19605693322457959</v>
      </c>
      <c r="BQ158" s="733">
        <f t="shared" si="38"/>
        <v>0.19814874590503609</v>
      </c>
      <c r="BR158" s="733">
        <f t="shared" si="38"/>
        <v>0.1879401620301222</v>
      </c>
      <c r="BS158" s="733">
        <f t="shared" si="38"/>
        <v>0.2441209929202576</v>
      </c>
      <c r="BT158" s="729">
        <f t="shared" si="38"/>
        <v>0.20823599585701089</v>
      </c>
      <c r="BU158" s="733">
        <f t="shared" si="38"/>
        <v>0.19605693322457959</v>
      </c>
      <c r="BV158" s="733">
        <f t="shared" si="38"/>
        <v>0.19814874590503606</v>
      </c>
      <c r="BW158" s="733">
        <f t="shared" si="38"/>
        <v>0.1879401620301222</v>
      </c>
      <c r="BX158" s="733">
        <f t="shared" si="38"/>
        <v>0.24412099292025757</v>
      </c>
      <c r="BY158" s="729">
        <f t="shared" si="38"/>
        <v>0.2081492889567495</v>
      </c>
      <c r="BZ158" s="733">
        <f t="shared" si="38"/>
        <v>0.19605693322457959</v>
      </c>
      <c r="CA158" s="733">
        <f t="shared" si="38"/>
        <v>0.19814874590503603</v>
      </c>
      <c r="CB158" s="733">
        <f t="shared" si="38"/>
        <v>0.18794016203012218</v>
      </c>
      <c r="CC158" s="733">
        <f t="shared" si="38"/>
        <v>0.24412099292025763</v>
      </c>
      <c r="CD158" s="729">
        <f t="shared" si="38"/>
        <v>0.20814928895674953</v>
      </c>
    </row>
    <row r="159" spans="2:82">
      <c r="B159" s="725" t="s">
        <v>337</v>
      </c>
      <c r="C159" s="129"/>
      <c r="D159" s="129"/>
      <c r="E159" s="129"/>
      <c r="F159" s="129"/>
      <c r="G159" s="667"/>
      <c r="H159" s="129"/>
      <c r="I159" s="129"/>
      <c r="J159" s="129"/>
      <c r="K159" s="129"/>
      <c r="L159" s="667"/>
      <c r="M159" s="129"/>
      <c r="N159" s="129"/>
      <c r="O159" s="129"/>
      <c r="P159" s="129"/>
      <c r="Q159" s="667"/>
      <c r="R159" s="129"/>
      <c r="S159" s="129"/>
      <c r="T159" s="129"/>
      <c r="U159" s="129"/>
      <c r="V159" s="667"/>
      <c r="W159" s="129"/>
      <c r="X159" s="129"/>
      <c r="Y159" s="129"/>
      <c r="Z159" s="129"/>
      <c r="AA159" s="667"/>
      <c r="AB159" s="129"/>
      <c r="AC159" s="129"/>
      <c r="AD159" s="129"/>
      <c r="AE159" s="129"/>
      <c r="AF159" s="667"/>
      <c r="AG159" s="129"/>
      <c r="AH159" s="129"/>
      <c r="AI159" s="129"/>
      <c r="AJ159" s="129"/>
      <c r="AK159" s="667"/>
      <c r="AL159" s="726"/>
      <c r="AM159" s="129"/>
      <c r="AN159" s="129"/>
      <c r="AO159" s="129"/>
      <c r="AP159" s="743"/>
      <c r="AQ159" s="742"/>
      <c r="AR159" s="742"/>
      <c r="AS159" s="742"/>
      <c r="AT159" s="742"/>
      <c r="AU159" s="744">
        <f>+AU157/AP157-1</f>
        <v>0.26415633115308768</v>
      </c>
      <c r="AV159" s="745">
        <f t="shared" ref="AV159:CD159" si="39">+AV157/AQ157-1</f>
        <v>-0.15464788732394374</v>
      </c>
      <c r="AW159" s="745">
        <f t="shared" si="39"/>
        <v>-0.14362944162436542</v>
      </c>
      <c r="AX159" s="745">
        <f t="shared" si="39"/>
        <v>-0.11748521930427613</v>
      </c>
      <c r="AY159" s="745">
        <f t="shared" si="39"/>
        <v>0.13108734109143505</v>
      </c>
      <c r="AZ159" s="744">
        <f t="shared" si="39"/>
        <v>-6.2346721851653575E-2</v>
      </c>
      <c r="BA159" s="745">
        <f t="shared" si="39"/>
        <v>0.28060921305714359</v>
      </c>
      <c r="BB159" s="745">
        <f t="shared" si="39"/>
        <v>0.31760990497839248</v>
      </c>
      <c r="BC159" s="745">
        <f t="shared" si="39"/>
        <v>0.20376973166608092</v>
      </c>
      <c r="BD159" s="745">
        <f t="shared" si="39"/>
        <v>0.18099941230769256</v>
      </c>
      <c r="BE159" s="699">
        <f t="shared" si="39"/>
        <v>0.23702745900683286</v>
      </c>
      <c r="BF159" s="745">
        <f t="shared" si="39"/>
        <v>0.21744686640984567</v>
      </c>
      <c r="BG159" s="745">
        <f t="shared" si="39"/>
        <v>0.23831312782063896</v>
      </c>
      <c r="BH159" s="745">
        <f t="shared" si="39"/>
        <v>0.33684443738529413</v>
      </c>
      <c r="BI159" s="745">
        <f t="shared" si="39"/>
        <v>0.4313079495369454</v>
      </c>
      <c r="BJ159" s="699">
        <f t="shared" si="39"/>
        <v>0.3187935800963817</v>
      </c>
      <c r="BK159" s="746">
        <f t="shared" si="39"/>
        <v>0.46422221275883135</v>
      </c>
      <c r="BL159" s="746">
        <f t="shared" si="39"/>
        <v>0.40533360528309914</v>
      </c>
      <c r="BM159" s="746">
        <f t="shared" si="39"/>
        <v>0.33790156260411797</v>
      </c>
      <c r="BN159" s="746">
        <f t="shared" si="39"/>
        <v>0.29607246740704429</v>
      </c>
      <c r="BO159" s="699">
        <f t="shared" si="39"/>
        <v>0.36297857493219232</v>
      </c>
      <c r="BP159" s="746">
        <f t="shared" si="39"/>
        <v>0.23003545942976023</v>
      </c>
      <c r="BQ159" s="746">
        <f t="shared" si="39"/>
        <v>0.22799999999999998</v>
      </c>
      <c r="BR159" s="746">
        <f t="shared" si="39"/>
        <v>0.2280000000000002</v>
      </c>
      <c r="BS159" s="746">
        <f t="shared" si="39"/>
        <v>0.2280000000000002</v>
      </c>
      <c r="BT159" s="699">
        <f t="shared" si="39"/>
        <v>0.2284309963587996</v>
      </c>
      <c r="BU159" s="746">
        <f t="shared" si="39"/>
        <v>0.19999999999999973</v>
      </c>
      <c r="BV159" s="746">
        <f t="shared" si="39"/>
        <v>0.19999999999999996</v>
      </c>
      <c r="BW159" s="746">
        <f t="shared" si="39"/>
        <v>0.17999999999999994</v>
      </c>
      <c r="BX159" s="746">
        <f t="shared" si="39"/>
        <v>0.17999999999999994</v>
      </c>
      <c r="BY159" s="699">
        <f t="shared" si="39"/>
        <v>0.18879358856773498</v>
      </c>
      <c r="BZ159" s="746">
        <f t="shared" si="39"/>
        <v>0.16999999999999993</v>
      </c>
      <c r="CA159" s="746">
        <f t="shared" si="39"/>
        <v>0.16999999999999993</v>
      </c>
      <c r="CB159" s="746">
        <f t="shared" si="39"/>
        <v>0.16999999999999993</v>
      </c>
      <c r="CC159" s="746">
        <f t="shared" si="39"/>
        <v>0.17000000000000015</v>
      </c>
      <c r="CD159" s="699">
        <f t="shared" si="39"/>
        <v>0.17000000000000015</v>
      </c>
    </row>
    <row r="160" spans="2:82">
      <c r="B160" s="734" t="s">
        <v>344</v>
      </c>
      <c r="C160" s="129"/>
      <c r="D160" s="129"/>
      <c r="E160" s="129"/>
      <c r="F160" s="129"/>
      <c r="G160" s="667"/>
      <c r="H160" s="129"/>
      <c r="I160" s="129"/>
      <c r="J160" s="129"/>
      <c r="K160" s="129"/>
      <c r="L160" s="667"/>
      <c r="M160" s="129"/>
      <c r="N160" s="129"/>
      <c r="O160" s="129"/>
      <c r="P160" s="129"/>
      <c r="Q160" s="667"/>
      <c r="R160" s="129"/>
      <c r="S160" s="129"/>
      <c r="T160" s="129"/>
      <c r="U160" s="129"/>
      <c r="V160" s="667"/>
      <c r="W160" s="129"/>
      <c r="X160" s="129"/>
      <c r="Y160" s="129"/>
      <c r="Z160" s="129"/>
      <c r="AA160" s="667"/>
      <c r="AB160" s="129"/>
      <c r="AC160" s="129"/>
      <c r="AD160" s="129"/>
      <c r="AE160" s="129"/>
      <c r="AF160" s="667"/>
      <c r="AG160" s="129"/>
      <c r="AH160" s="129"/>
      <c r="AI160" s="129"/>
      <c r="AJ160" s="129"/>
      <c r="AK160" s="667"/>
      <c r="AL160" s="726"/>
      <c r="AM160" s="129"/>
      <c r="AN160" s="129"/>
      <c r="AO160" s="129"/>
      <c r="AP160" s="743"/>
      <c r="AQ160" s="735">
        <f>+AQ157/AQ194</f>
        <v>9793.4608086410735</v>
      </c>
      <c r="AR160" s="736">
        <f>+AR157/AR194</f>
        <v>10341.961356179367</v>
      </c>
      <c r="AS160" s="736">
        <f>+AS157/AS194</f>
        <v>10964.872606663652</v>
      </c>
      <c r="AT160" s="736">
        <f>+AT157/AT194</f>
        <v>13219.433101128994</v>
      </c>
      <c r="AU160" s="737">
        <f>SUM(AQ160:AT160)</f>
        <v>44319.72787261309</v>
      </c>
      <c r="AV160" s="735">
        <f>+AV157/AV194</f>
        <v>10053.868651954266</v>
      </c>
      <c r="AW160" s="736">
        <f>+AW157/AW194</f>
        <v>10984.590341833968</v>
      </c>
      <c r="AX160" s="736">
        <f>+AX157/AX194</f>
        <v>11539.233234000001</v>
      </c>
      <c r="AY160" s="736">
        <f>+AT160*(1+AY161)</f>
        <v>17053.068700456402</v>
      </c>
      <c r="AZ160" s="737">
        <f>SUM(AV160:AY160)</f>
        <v>49630.760928244636</v>
      </c>
      <c r="BA160" s="736">
        <f>+AV160*(1+BA161)</f>
        <v>13170.567934060089</v>
      </c>
      <c r="BB160" s="736">
        <f>+AW160*(1+BB161)</f>
        <v>14170.121540965818</v>
      </c>
      <c r="BC160" s="736">
        <f>+AX160*(1+BC161)</f>
        <v>13847.079880800002</v>
      </c>
      <c r="BD160" s="736">
        <f>+AY160*(1+BD161)</f>
        <v>20463.682440547684</v>
      </c>
      <c r="BE160" s="737">
        <f>SUM(BA160:BD160)</f>
        <v>61651.4517963736</v>
      </c>
      <c r="BF160" s="736">
        <f>+BA160*(1+BF161)</f>
        <v>16594.915596915711</v>
      </c>
      <c r="BG160" s="736">
        <f>+BB160*(1+BG161)</f>
        <v>17996.054357026591</v>
      </c>
      <c r="BH160" s="736">
        <f>+BC160*(1+BH161)</f>
        <v>18001.203845040003</v>
      </c>
      <c r="BI160" s="736">
        <f>+BD160*(1+BI161)</f>
        <v>26807.423997117468</v>
      </c>
      <c r="BJ160" s="737">
        <f>SUM(BF160:BI160)</f>
        <v>79399.59779609977</v>
      </c>
      <c r="BK160" s="738">
        <f>+BF160*(1+BK161)</f>
        <v>21075.542808082952</v>
      </c>
      <c r="BL160" s="738">
        <f>+BG160*(1+BL161)</f>
        <v>22630.038353960939</v>
      </c>
      <c r="BM160" s="738">
        <f>+BH160*(1+BM161)</f>
        <v>22456.501796687404</v>
      </c>
      <c r="BN160" s="738">
        <f>+BI160*(1+BN161)</f>
        <v>33241.205756425661</v>
      </c>
      <c r="BO160" s="737">
        <f>SUM(BK160:BN160)</f>
        <v>99403.288715156959</v>
      </c>
      <c r="BP160" s="738">
        <f>+BK160*(1+BP161)</f>
        <v>25880.766568325864</v>
      </c>
      <c r="BQ160" s="738">
        <f>+BL160*(1+BQ161)</f>
        <v>27789.687098664032</v>
      </c>
      <c r="BR160" s="738">
        <f>+BM160*(1+BR161)</f>
        <v>27576.584206332132</v>
      </c>
      <c r="BS160" s="738">
        <f>+BN160*(1+BS161)</f>
        <v>40820.200668890713</v>
      </c>
      <c r="BT160" s="737">
        <f>SUM(BP160:BS160)</f>
        <v>122067.23854221274</v>
      </c>
      <c r="BU160" s="738">
        <f>+BP160*(1+BU161)</f>
        <v>31056.919881991034</v>
      </c>
      <c r="BV160" s="738">
        <f>+BQ160*(1+BV161)</f>
        <v>33347.624518396835</v>
      </c>
      <c r="BW160" s="738">
        <f>+BR160*(1+BW161)</f>
        <v>32540.369363471913</v>
      </c>
      <c r="BX160" s="738">
        <f>+BS160*(1+BX161)</f>
        <v>48167.836789291039</v>
      </c>
      <c r="BY160" s="737">
        <f>SUM(BU160:BX160)</f>
        <v>145112.75055315081</v>
      </c>
      <c r="BZ160" s="738">
        <f>+BU160*(1+BZ161)</f>
        <v>36336.59626192951</v>
      </c>
      <c r="CA160" s="738">
        <f>+BV160*(1+CA161)</f>
        <v>39016.720686524292</v>
      </c>
      <c r="CB160" s="738">
        <f>+BW160*(1+CB161)</f>
        <v>38072.232155262136</v>
      </c>
      <c r="CC160" s="738">
        <f>+BX160*(1+CC161)</f>
        <v>56356.369043470513</v>
      </c>
      <c r="CD160" s="737">
        <f>SUM(BZ160:CC160)</f>
        <v>169781.91814718646</v>
      </c>
    </row>
    <row r="161" spans="2:82">
      <c r="B161" s="725" t="s">
        <v>339</v>
      </c>
      <c r="C161" s="129"/>
      <c r="D161" s="129"/>
      <c r="E161" s="129"/>
      <c r="F161" s="129"/>
      <c r="G161" s="667"/>
      <c r="H161" s="129"/>
      <c r="I161" s="129"/>
      <c r="J161" s="129"/>
      <c r="K161" s="129"/>
      <c r="L161" s="667"/>
      <c r="M161" s="129"/>
      <c r="N161" s="129"/>
      <c r="O161" s="129"/>
      <c r="P161" s="129"/>
      <c r="Q161" s="667"/>
      <c r="R161" s="129"/>
      <c r="S161" s="129"/>
      <c r="T161" s="129"/>
      <c r="U161" s="129"/>
      <c r="V161" s="667"/>
      <c r="W161" s="129"/>
      <c r="X161" s="129"/>
      <c r="Y161" s="129"/>
      <c r="Z161" s="129"/>
      <c r="AA161" s="667"/>
      <c r="AB161" s="129"/>
      <c r="AC161" s="129"/>
      <c r="AD161" s="129"/>
      <c r="AE161" s="129"/>
      <c r="AF161" s="667"/>
      <c r="AG161" s="129"/>
      <c r="AH161" s="129"/>
      <c r="AI161" s="129"/>
      <c r="AJ161" s="129"/>
      <c r="AK161" s="667"/>
      <c r="AL161" s="726"/>
      <c r="AM161" s="129"/>
      <c r="AN161" s="129"/>
      <c r="AO161" s="129"/>
      <c r="AP161" s="743"/>
      <c r="AQ161" s="742"/>
      <c r="AR161" s="742"/>
      <c r="AS161" s="742"/>
      <c r="AT161" s="742"/>
      <c r="AU161" s="699"/>
      <c r="AV161" s="733">
        <f>+AV160/AQ160-1</f>
        <v>2.6589971451504324E-2</v>
      </c>
      <c r="AW161" s="733">
        <f>+AW160/AR160-1</f>
        <v>6.2138018459199529E-2</v>
      </c>
      <c r="AX161" s="733">
        <f>+AX160/AS160-1</f>
        <v>5.2381878744974575E-2</v>
      </c>
      <c r="AY161" s="733">
        <f>AY$8</f>
        <v>0.28999999999999998</v>
      </c>
      <c r="AZ161" s="739">
        <f>+AZ160/AU160-1</f>
        <v>0.1198345141219479</v>
      </c>
      <c r="BA161" s="733">
        <f>BA$8</f>
        <v>0.31</v>
      </c>
      <c r="BB161" s="733">
        <f>BB$8</f>
        <v>0.28999999999999998</v>
      </c>
      <c r="BC161" s="733">
        <v>0.2</v>
      </c>
      <c r="BD161" s="733">
        <v>0.2</v>
      </c>
      <c r="BE161" s="739">
        <f>+BE160/AZ160-1</f>
        <v>0.24220242936650282</v>
      </c>
      <c r="BF161" s="733">
        <f>BF$8+2%</f>
        <v>0.26</v>
      </c>
      <c r="BG161" s="733">
        <f>BG$8+2%</f>
        <v>0.27</v>
      </c>
      <c r="BH161" s="733">
        <f>BH$8+2%</f>
        <v>0.30000000000000004</v>
      </c>
      <c r="BI161" s="733">
        <f>BI$8+2%</f>
        <v>0.31</v>
      </c>
      <c r="BJ161" s="739">
        <f>+BJ160/BE160-1</f>
        <v>0.28787880062169324</v>
      </c>
      <c r="BK161" s="730">
        <f>BK$8</f>
        <v>0.27</v>
      </c>
      <c r="BL161" s="730">
        <f>BL$8</f>
        <v>0.25750000000000001</v>
      </c>
      <c r="BM161" s="730">
        <f>BM$8</f>
        <v>0.2475</v>
      </c>
      <c r="BN161" s="730">
        <f>BN$8</f>
        <v>0.24</v>
      </c>
      <c r="BO161" s="739">
        <f>+BO160/BJ160-1</f>
        <v>0.25193693008908169</v>
      </c>
      <c r="BP161" s="730">
        <f>BP$8</f>
        <v>0.22799999999999998</v>
      </c>
      <c r="BQ161" s="730">
        <f>BQ$8</f>
        <v>0.22799999999999998</v>
      </c>
      <c r="BR161" s="730">
        <f>BR$8</f>
        <v>0.22799999999999998</v>
      </c>
      <c r="BS161" s="730">
        <f>BS$8</f>
        <v>0.22799999999999998</v>
      </c>
      <c r="BT161" s="739">
        <f>+BT160/BO160-1</f>
        <v>0.22799999999999998</v>
      </c>
      <c r="BU161" s="730">
        <f>BU$8</f>
        <v>0.2</v>
      </c>
      <c r="BV161" s="730">
        <f>BV$8</f>
        <v>0.2</v>
      </c>
      <c r="BW161" s="730">
        <f>BW$8</f>
        <v>0.18000000000000002</v>
      </c>
      <c r="BX161" s="730">
        <f>BX$8</f>
        <v>0.18000000000000002</v>
      </c>
      <c r="BY161" s="739">
        <f>+BY160/BT160-1</f>
        <v>0.18879358856773498</v>
      </c>
      <c r="BZ161" s="730">
        <f>BZ$8</f>
        <v>0.17</v>
      </c>
      <c r="CA161" s="730">
        <f>CA$8</f>
        <v>0.17</v>
      </c>
      <c r="CB161" s="730">
        <f>CB$8</f>
        <v>0.17</v>
      </c>
      <c r="CC161" s="730">
        <f>CC$8</f>
        <v>0.17</v>
      </c>
      <c r="CD161" s="739">
        <f>+CD160/BY160-1</f>
        <v>0.17000000000000015</v>
      </c>
    </row>
    <row r="162" spans="2:82">
      <c r="B162" s="734" t="s">
        <v>345</v>
      </c>
      <c r="C162" s="129"/>
      <c r="D162" s="129"/>
      <c r="E162" s="129"/>
      <c r="F162" s="129"/>
      <c r="G162" s="667"/>
      <c r="H162" s="129"/>
      <c r="I162" s="129"/>
      <c r="J162" s="129"/>
      <c r="K162" s="129"/>
      <c r="L162" s="667"/>
      <c r="M162" s="129"/>
      <c r="N162" s="129"/>
      <c r="O162" s="129"/>
      <c r="P162" s="129"/>
      <c r="Q162" s="667"/>
      <c r="R162" s="129"/>
      <c r="S162" s="129"/>
      <c r="T162" s="129"/>
      <c r="U162" s="129"/>
      <c r="V162" s="667"/>
      <c r="W162" s="129"/>
      <c r="X162" s="129"/>
      <c r="Y162" s="129"/>
      <c r="Z162" s="129"/>
      <c r="AA162" s="667"/>
      <c r="AB162" s="129"/>
      <c r="AC162" s="129"/>
      <c r="AD162" s="129"/>
      <c r="AE162" s="129"/>
      <c r="AF162" s="667"/>
      <c r="AG162" s="129"/>
      <c r="AH162" s="129"/>
      <c r="AI162" s="129"/>
      <c r="AJ162" s="129"/>
      <c r="AK162" s="667"/>
      <c r="AL162" s="726"/>
      <c r="AM162" s="129"/>
      <c r="AN162" s="129"/>
      <c r="AO162" s="129"/>
      <c r="AP162" s="743"/>
      <c r="AQ162" s="735">
        <f t="shared" ref="AQ162:CD162" si="40">+AQ160*AL194</f>
        <v>12934.223689972265</v>
      </c>
      <c r="AR162" s="736">
        <f t="shared" si="40"/>
        <v>13502.464746627782</v>
      </c>
      <c r="AS162" s="736">
        <f t="shared" si="40"/>
        <v>14521.87728026534</v>
      </c>
      <c r="AT162" s="736">
        <f t="shared" si="40"/>
        <v>17990.326507326448</v>
      </c>
      <c r="AU162" s="737">
        <f t="shared" si="40"/>
        <v>58852.166642042925</v>
      </c>
      <c r="AV162" s="735">
        <f t="shared" si="40"/>
        <v>13775.810826907737</v>
      </c>
      <c r="AW162" s="736">
        <f t="shared" si="40"/>
        <v>15065.365653825285</v>
      </c>
      <c r="AX162" s="736">
        <f t="shared" si="40"/>
        <v>15307.946808224402</v>
      </c>
      <c r="AY162" s="736">
        <f t="shared" si="40"/>
        <v>21297.577499999999</v>
      </c>
      <c r="AZ162" s="737">
        <f t="shared" si="40"/>
        <v>65974.170501915592</v>
      </c>
      <c r="BA162" s="736">
        <f t="shared" si="40"/>
        <v>14860.3518</v>
      </c>
      <c r="BB162" s="736">
        <f t="shared" si="40"/>
        <v>15669.320400000001</v>
      </c>
      <c r="BC162" s="736">
        <f t="shared" si="40"/>
        <v>15404.472</v>
      </c>
      <c r="BD162" s="736">
        <f t="shared" si="40"/>
        <v>22408.763075501185</v>
      </c>
      <c r="BE162" s="737">
        <f t="shared" si="40"/>
        <v>68458.098364365156</v>
      </c>
      <c r="BF162" s="736">
        <f t="shared" si="40"/>
        <v>18303.955965405636</v>
      </c>
      <c r="BG162" s="736">
        <f t="shared" si="40"/>
        <v>20325.957937532079</v>
      </c>
      <c r="BH162" s="736">
        <f t="shared" si="40"/>
        <v>20088.723553055795</v>
      </c>
      <c r="BI162" s="736">
        <f t="shared" si="40"/>
        <v>28890.670158124234</v>
      </c>
      <c r="BJ162" s="737">
        <f t="shared" si="40"/>
        <v>87858.24238905606</v>
      </c>
      <c r="BK162" s="735">
        <f t="shared" si="40"/>
        <v>22460.951720550282</v>
      </c>
      <c r="BL162" s="736">
        <f t="shared" si="40"/>
        <v>24922.165307946405</v>
      </c>
      <c r="BM162" s="736">
        <f t="shared" si="40"/>
        <v>25770.949364809072</v>
      </c>
      <c r="BN162" s="736">
        <f t="shared" si="40"/>
        <v>39141.826620090491</v>
      </c>
      <c r="BO162" s="737">
        <f t="shared" si="40"/>
        <v>111633.01588473168</v>
      </c>
      <c r="BP162" s="735">
        <f t="shared" si="40"/>
        <v>31800.195589551367</v>
      </c>
      <c r="BQ162" s="736">
        <f t="shared" si="40"/>
        <v>34202.320865428395</v>
      </c>
      <c r="BR162" s="736">
        <f t="shared" si="40"/>
        <v>33940.043227144488</v>
      </c>
      <c r="BS162" s="736">
        <f t="shared" si="40"/>
        <v>50239.702092064712</v>
      </c>
      <c r="BT162" s="737">
        <f t="shared" si="40"/>
        <v>150172.81976973393</v>
      </c>
      <c r="BU162" s="735">
        <f t="shared" si="40"/>
        <v>38223.486832524475</v>
      </c>
      <c r="BV162" s="736">
        <f t="shared" si="40"/>
        <v>41042.78503851407</v>
      </c>
      <c r="BW162" s="736">
        <f t="shared" si="40"/>
        <v>40049.251008030493</v>
      </c>
      <c r="BX162" s="736">
        <f t="shared" si="40"/>
        <v>59282.848468636352</v>
      </c>
      <c r="BY162" s="737">
        <f t="shared" si="40"/>
        <v>178598.37134770537</v>
      </c>
      <c r="BZ162" s="735">
        <f t="shared" si="40"/>
        <v>44721.479594053635</v>
      </c>
      <c r="CA162" s="736">
        <f t="shared" si="40"/>
        <v>48020.058495061458</v>
      </c>
      <c r="CB162" s="736">
        <f t="shared" si="40"/>
        <v>46857.62367939567</v>
      </c>
      <c r="CC162" s="736">
        <f t="shared" si="40"/>
        <v>69360.932708304535</v>
      </c>
      <c r="CD162" s="737">
        <f t="shared" si="40"/>
        <v>208960.09447681531</v>
      </c>
    </row>
    <row r="163" spans="2:82">
      <c r="B163" s="734" t="s">
        <v>346</v>
      </c>
      <c r="C163" s="129"/>
      <c r="D163" s="129"/>
      <c r="E163" s="129"/>
      <c r="F163" s="129"/>
      <c r="G163" s="667"/>
      <c r="H163" s="129"/>
      <c r="I163" s="129"/>
      <c r="J163" s="129"/>
      <c r="K163" s="129"/>
      <c r="L163" s="667"/>
      <c r="M163" s="129"/>
      <c r="N163" s="129"/>
      <c r="O163" s="129"/>
      <c r="P163" s="129"/>
      <c r="Q163" s="667"/>
      <c r="R163" s="129"/>
      <c r="S163" s="129"/>
      <c r="T163" s="129"/>
      <c r="U163" s="129"/>
      <c r="V163" s="667"/>
      <c r="W163" s="129"/>
      <c r="X163" s="129"/>
      <c r="Y163" s="129"/>
      <c r="Z163" s="129"/>
      <c r="AA163" s="667"/>
      <c r="AB163" s="129"/>
      <c r="AC163" s="129"/>
      <c r="AD163" s="129"/>
      <c r="AE163" s="129"/>
      <c r="AF163" s="667"/>
      <c r="AG163" s="129"/>
      <c r="AH163" s="129"/>
      <c r="AI163" s="129"/>
      <c r="AJ163" s="129"/>
      <c r="AK163" s="667"/>
      <c r="AL163" s="726"/>
      <c r="AM163" s="129"/>
      <c r="AN163" s="129"/>
      <c r="AO163" s="129"/>
      <c r="AP163" s="667"/>
      <c r="AQ163" s="740">
        <f>+AQ157-AQ162</f>
        <v>484.77631002773524</v>
      </c>
      <c r="AR163" s="740">
        <f>+AR157-AR162</f>
        <v>681.53525337221799</v>
      </c>
      <c r="AS163" s="740">
        <f>+AS157-AS162</f>
        <v>24.122719734659768</v>
      </c>
      <c r="AT163" s="740">
        <f>+AT157-AT162</f>
        <v>-1480.5765073264483</v>
      </c>
      <c r="AU163" s="741">
        <f>+SUM(AQ163:AT163)</f>
        <v>-290.14222419183534</v>
      </c>
      <c r="AV163" s="740">
        <f t="shared" ref="AV163:CD163" si="41">+AV157-AV162</f>
        <v>-2432.0308269077377</v>
      </c>
      <c r="AW163" s="740">
        <f>+AW157-AW162</f>
        <v>-2918.6056538252851</v>
      </c>
      <c r="AX163" s="740">
        <f t="shared" si="41"/>
        <v>-2470.8868082244026</v>
      </c>
      <c r="AY163" s="740">
        <f t="shared" si="41"/>
        <v>-2623.6082704156797</v>
      </c>
      <c r="AZ163" s="741">
        <f t="shared" si="41"/>
        <v>-10972.601272331274</v>
      </c>
      <c r="BA163" s="740">
        <f>+BA157-BA162</f>
        <v>-333.40262110663753</v>
      </c>
      <c r="BB163" s="740">
        <f>+BB157-BB162</f>
        <v>335.37088939533714</v>
      </c>
      <c r="BC163" s="740">
        <f t="shared" si="41"/>
        <v>48.392271581380555</v>
      </c>
      <c r="BD163" s="740">
        <f t="shared" si="41"/>
        <v>-354.81638991016735</v>
      </c>
      <c r="BE163" s="741">
        <f t="shared" si="41"/>
        <v>-419.64693890405761</v>
      </c>
      <c r="BF163" s="740">
        <f t="shared" si="41"/>
        <v>-618.16720906682895</v>
      </c>
      <c r="BG163" s="740">
        <f t="shared" si="41"/>
        <v>-507.13860715720512</v>
      </c>
      <c r="BH163" s="740">
        <f t="shared" si="41"/>
        <v>569.35209007772937</v>
      </c>
      <c r="BI163" s="740">
        <f t="shared" si="41"/>
        <v>2675.3190516261602</v>
      </c>
      <c r="BJ163" s="741">
        <f t="shared" si="41"/>
        <v>1870.4305505415396</v>
      </c>
      <c r="BK163" s="740">
        <f t="shared" si="41"/>
        <v>3434.9730266413862</v>
      </c>
      <c r="BL163" s="740">
        <f t="shared" si="41"/>
        <v>2929.8875140636919</v>
      </c>
      <c r="BM163" s="740">
        <f t="shared" si="41"/>
        <v>1867.5223185333416</v>
      </c>
      <c r="BN163" s="740">
        <f t="shared" si="41"/>
        <v>1769.9829011348411</v>
      </c>
      <c r="BO163" s="741">
        <f t="shared" si="41"/>
        <v>10665.242889037836</v>
      </c>
      <c r="BP163" s="740">
        <f t="shared" si="41"/>
        <v>52.710104219033383</v>
      </c>
      <c r="BQ163" s="740">
        <f t="shared" si="41"/>
        <v>0</v>
      </c>
      <c r="BR163" s="740">
        <f t="shared" si="41"/>
        <v>0</v>
      </c>
      <c r="BS163" s="740">
        <f t="shared" si="41"/>
        <v>0</v>
      </c>
      <c r="BT163" s="741">
        <f t="shared" si="41"/>
        <v>62.152108674054034</v>
      </c>
      <c r="BU163" s="740">
        <f t="shared" si="41"/>
        <v>0</v>
      </c>
      <c r="BV163" s="740">
        <f t="shared" si="41"/>
        <v>0</v>
      </c>
      <c r="BW163" s="740">
        <f t="shared" si="41"/>
        <v>0</v>
      </c>
      <c r="BX163" s="740">
        <f t="shared" si="41"/>
        <v>0</v>
      </c>
      <c r="BY163" s="741">
        <f t="shared" si="41"/>
        <v>0</v>
      </c>
      <c r="BZ163" s="740">
        <f t="shared" si="41"/>
        <v>0</v>
      </c>
      <c r="CA163" s="740">
        <f t="shared" si="41"/>
        <v>0</v>
      </c>
      <c r="CB163" s="740">
        <f t="shared" si="41"/>
        <v>0</v>
      </c>
      <c r="CC163" s="740">
        <f t="shared" si="41"/>
        <v>0</v>
      </c>
      <c r="CD163" s="741">
        <f t="shared" si="41"/>
        <v>0</v>
      </c>
    </row>
    <row r="164" spans="2:82">
      <c r="B164" s="734"/>
      <c r="C164" s="129"/>
      <c r="D164" s="129"/>
      <c r="E164" s="129"/>
      <c r="F164" s="129"/>
      <c r="G164" s="667"/>
      <c r="H164" s="129"/>
      <c r="I164" s="129"/>
      <c r="J164" s="129"/>
      <c r="K164" s="129"/>
      <c r="L164" s="667"/>
      <c r="M164" s="129"/>
      <c r="N164" s="129"/>
      <c r="O164" s="129"/>
      <c r="P164" s="129"/>
      <c r="Q164" s="667"/>
      <c r="R164" s="129"/>
      <c r="S164" s="129"/>
      <c r="T164" s="129"/>
      <c r="U164" s="129"/>
      <c r="V164" s="667"/>
      <c r="W164" s="129"/>
      <c r="X164" s="129"/>
      <c r="Y164" s="129"/>
      <c r="Z164" s="129"/>
      <c r="AA164" s="667"/>
      <c r="AB164" s="129"/>
      <c r="AC164" s="129"/>
      <c r="AD164" s="129"/>
      <c r="AE164" s="129"/>
      <c r="AF164" s="667"/>
      <c r="AG164" s="129"/>
      <c r="AH164" s="129"/>
      <c r="AI164" s="129"/>
      <c r="AJ164" s="129"/>
      <c r="AK164" s="667"/>
      <c r="AL164" s="726"/>
      <c r="AM164" s="129"/>
      <c r="AN164" s="129"/>
      <c r="AO164" s="129"/>
      <c r="AP164" s="743"/>
      <c r="AQ164" s="742"/>
      <c r="AR164" s="742"/>
      <c r="AS164" s="742"/>
      <c r="AT164" s="742"/>
      <c r="AU164" s="743"/>
      <c r="AV164" s="742"/>
      <c r="AW164" s="742"/>
      <c r="AX164" s="742"/>
      <c r="AY164" s="742"/>
      <c r="AZ164" s="743"/>
      <c r="BA164" s="742"/>
      <c r="BB164" s="742"/>
      <c r="BC164" s="742"/>
      <c r="BD164" s="742"/>
      <c r="BE164" s="667"/>
      <c r="BF164" s="742"/>
      <c r="BG164" s="742"/>
      <c r="BH164" s="742"/>
      <c r="BI164" s="742"/>
      <c r="BJ164" s="667"/>
      <c r="BK164" s="129"/>
      <c r="BL164" s="129"/>
      <c r="BM164" s="129"/>
      <c r="BN164" s="129"/>
      <c r="BO164" s="667"/>
      <c r="BP164" s="129"/>
      <c r="BQ164" s="129"/>
      <c r="BR164" s="129"/>
      <c r="BS164" s="129"/>
      <c r="BT164" s="667"/>
      <c r="BU164" s="129"/>
      <c r="BV164" s="129"/>
      <c r="BW164" s="129"/>
      <c r="BX164" s="129"/>
      <c r="BY164" s="667"/>
      <c r="BZ164" s="129"/>
      <c r="CA164" s="129"/>
      <c r="CB164" s="129"/>
      <c r="CC164" s="129"/>
      <c r="CD164" s="667"/>
    </row>
    <row r="165" spans="2:82">
      <c r="B165" s="725"/>
      <c r="C165" s="129"/>
      <c r="D165" s="129"/>
      <c r="E165" s="129"/>
      <c r="F165" s="129"/>
      <c r="G165" s="667"/>
      <c r="H165" s="129"/>
      <c r="I165" s="129"/>
      <c r="J165" s="129"/>
      <c r="K165" s="129"/>
      <c r="L165" s="667"/>
      <c r="M165" s="129"/>
      <c r="N165" s="129"/>
      <c r="O165" s="129"/>
      <c r="P165" s="129"/>
      <c r="Q165" s="667"/>
      <c r="R165" s="129"/>
      <c r="S165" s="129"/>
      <c r="T165" s="129"/>
      <c r="U165" s="129"/>
      <c r="V165" s="667"/>
      <c r="W165" s="129"/>
      <c r="X165" s="129"/>
      <c r="Y165" s="129"/>
      <c r="Z165" s="129"/>
      <c r="AA165" s="667"/>
      <c r="AB165" s="129"/>
      <c r="AC165" s="129"/>
      <c r="AD165" s="129"/>
      <c r="AE165" s="129"/>
      <c r="AF165" s="667"/>
      <c r="AG165" s="129"/>
      <c r="AH165" s="129"/>
      <c r="AI165" s="129"/>
      <c r="AJ165" s="129"/>
      <c r="AK165" s="667"/>
      <c r="AL165" s="726"/>
      <c r="AM165" s="129"/>
      <c r="AN165" s="129"/>
      <c r="AO165" s="129"/>
      <c r="AP165" s="667"/>
      <c r="AQ165" s="129"/>
      <c r="AR165" s="129"/>
      <c r="AS165" s="129"/>
      <c r="AT165" s="129"/>
      <c r="AU165" s="667"/>
      <c r="AV165" s="129"/>
      <c r="AW165" s="129"/>
      <c r="AX165" s="129"/>
      <c r="AY165" s="129"/>
      <c r="AZ165" s="667"/>
      <c r="BA165" s="129"/>
      <c r="BB165" s="129"/>
      <c r="BC165" s="129"/>
      <c r="BD165" s="129"/>
      <c r="BE165" s="667"/>
      <c r="BF165" s="129"/>
      <c r="BG165" s="129"/>
      <c r="BH165" s="129"/>
      <c r="BI165" s="129"/>
      <c r="BJ165" s="667"/>
      <c r="BK165" s="129"/>
      <c r="BL165" s="129"/>
      <c r="BM165" s="129"/>
      <c r="BN165" s="129"/>
      <c r="BO165" s="667"/>
      <c r="BP165" s="129"/>
      <c r="BQ165" s="129"/>
      <c r="BR165" s="129"/>
      <c r="BS165" s="129"/>
      <c r="BT165" s="667"/>
      <c r="BU165" s="129"/>
      <c r="BV165" s="129"/>
      <c r="BW165" s="129"/>
      <c r="BX165" s="129"/>
      <c r="BY165" s="667"/>
      <c r="BZ165" s="129"/>
      <c r="CA165" s="129"/>
      <c r="CB165" s="129"/>
      <c r="CC165" s="129"/>
      <c r="CD165" s="667"/>
    </row>
    <row r="166" spans="2:82">
      <c r="B166" s="734" t="s">
        <v>347</v>
      </c>
      <c r="C166" s="129"/>
      <c r="D166" s="129"/>
      <c r="E166" s="129"/>
      <c r="F166" s="129"/>
      <c r="G166" s="667"/>
      <c r="H166" s="129"/>
      <c r="I166" s="129"/>
      <c r="J166" s="129"/>
      <c r="K166" s="129"/>
      <c r="L166" s="667"/>
      <c r="M166" s="129"/>
      <c r="N166" s="129"/>
      <c r="O166" s="129"/>
      <c r="P166" s="129"/>
      <c r="Q166" s="667"/>
      <c r="R166" s="129"/>
      <c r="S166" s="129"/>
      <c r="T166" s="129"/>
      <c r="U166" s="129"/>
      <c r="V166" s="667"/>
      <c r="W166" s="129"/>
      <c r="X166" s="129"/>
      <c r="Y166" s="129"/>
      <c r="Z166" s="129"/>
      <c r="AA166" s="667"/>
      <c r="AB166" s="129"/>
      <c r="AC166" s="129"/>
      <c r="AD166" s="129"/>
      <c r="AE166" s="129"/>
      <c r="AF166" s="667"/>
      <c r="AG166" s="129"/>
      <c r="AH166" s="129"/>
      <c r="AI166" s="129"/>
      <c r="AJ166" s="129"/>
      <c r="AK166" s="667"/>
      <c r="AL166" s="726"/>
      <c r="AM166" s="129"/>
      <c r="AN166" s="129"/>
      <c r="AO166" s="129"/>
      <c r="AP166" s="737">
        <f t="shared" ref="AP166:AX166" si="42">+AP167*AP$6</f>
        <v>16704.54</v>
      </c>
      <c r="AQ166" s="735">
        <f t="shared" si="42"/>
        <v>4830.84</v>
      </c>
      <c r="AR166" s="736">
        <f t="shared" si="42"/>
        <v>5106.24</v>
      </c>
      <c r="AS166" s="736">
        <f t="shared" si="42"/>
        <v>5236.5599999999995</v>
      </c>
      <c r="AT166" s="736">
        <f t="shared" si="42"/>
        <v>5943.51</v>
      </c>
      <c r="AU166" s="737">
        <f t="shared" si="42"/>
        <v>21117.149999999998</v>
      </c>
      <c r="AV166" s="735">
        <f t="shared" si="42"/>
        <v>9453.1500000000015</v>
      </c>
      <c r="AW166" s="736">
        <f t="shared" si="42"/>
        <v>9806.9158795809926</v>
      </c>
      <c r="AX166" s="736">
        <f t="shared" si="42"/>
        <v>9969.8512931798086</v>
      </c>
      <c r="AY166" s="736">
        <f>+AY169*AY195</f>
        <v>6237.4900628523828</v>
      </c>
      <c r="AZ166" s="737">
        <f>+SUM(AV166:AY166)</f>
        <v>35467.407235613187</v>
      </c>
      <c r="BA166" s="736">
        <f>+BA169*BA195</f>
        <v>11349.227396967879</v>
      </c>
      <c r="BB166" s="736">
        <f>+BB169*BB195</f>
        <v>12134.5755868867</v>
      </c>
      <c r="BC166" s="736">
        <f>+BC169*BC195</f>
        <v>13224.155254634466</v>
      </c>
      <c r="BD166" s="736">
        <f>+BD169*BD195</f>
        <v>8107.1224696205327</v>
      </c>
      <c r="BE166" s="737">
        <f>+SUM(BA166:BD166)</f>
        <v>44815.080708109577</v>
      </c>
      <c r="BF166" s="736">
        <f>+BF169*BF195</f>
        <v>14783.577163312812</v>
      </c>
      <c r="BG166" s="736">
        <f>+BG169*BG195</f>
        <v>15277.744417343587</v>
      </c>
      <c r="BH166" s="736">
        <f>+BH169*BH195</f>
        <v>17321.439837291411</v>
      </c>
      <c r="BI166" s="736">
        <f>+BI169*BI195</f>
        <v>10733.311028958602</v>
      </c>
      <c r="BJ166" s="737">
        <f>+SUM(BF166:BI166)</f>
        <v>58116.072446906415</v>
      </c>
      <c r="BK166" s="738">
        <f>+BK169*BK195</f>
        <v>19470.067009981831</v>
      </c>
      <c r="BL166" s="738">
        <f>+BL169*BL195</f>
        <v>19740.05109789097</v>
      </c>
      <c r="BM166" s="738">
        <f>+BM169*BM195</f>
        <v>21491.662070945807</v>
      </c>
      <c r="BN166" s="738">
        <f>+BN169*BN195</f>
        <v>13358.432373553276</v>
      </c>
      <c r="BO166" s="737">
        <f>+SUM(BK166:BN166)</f>
        <v>74060.212552371886</v>
      </c>
      <c r="BP166" s="738">
        <f>+BP169*BP195</f>
        <v>23467.793802950546</v>
      </c>
      <c r="BQ166" s="738">
        <f>+BQ169*BQ195</f>
        <v>24240.782748210109</v>
      </c>
      <c r="BR166" s="738">
        <f>+BR169*BR195</f>
        <v>26391.761023121453</v>
      </c>
      <c r="BS166" s="738">
        <f>+BS169*BS195</f>
        <v>16404.154954723421</v>
      </c>
      <c r="BT166" s="737">
        <f>+SUM(BP166:BS166)</f>
        <v>90504.492529005525</v>
      </c>
      <c r="BU166" s="738">
        <f>+BU169*BU195</f>
        <v>28161.352563540651</v>
      </c>
      <c r="BV166" s="738">
        <f>+BV169*BV195</f>
        <v>29088.939297852135</v>
      </c>
      <c r="BW166" s="738">
        <f>+BW169*BW195</f>
        <v>31142.278007283312</v>
      </c>
      <c r="BX166" s="738">
        <f>+BX169*BX195</f>
        <v>19356.902846573637</v>
      </c>
      <c r="BY166" s="737">
        <f>+SUM(BU166:BX166)</f>
        <v>107749.47271524974</v>
      </c>
      <c r="BZ166" s="738">
        <f>+BZ169*BZ195</f>
        <v>32948.78249934256</v>
      </c>
      <c r="CA166" s="738">
        <f>+CA169*CA195</f>
        <v>34034.058978486995</v>
      </c>
      <c r="CB166" s="738">
        <f>+CB169*CB195</f>
        <v>36436.465268521468</v>
      </c>
      <c r="CC166" s="738">
        <f>+CC169*CC195</f>
        <v>22647.576330491156</v>
      </c>
      <c r="CD166" s="737">
        <f>+SUM(BZ166:CC166)</f>
        <v>126066.88307684218</v>
      </c>
    </row>
    <row r="167" spans="2:82">
      <c r="B167" s="725" t="s">
        <v>348</v>
      </c>
      <c r="C167" s="129"/>
      <c r="D167" s="129"/>
      <c r="E167" s="129"/>
      <c r="F167" s="129"/>
      <c r="G167" s="667"/>
      <c r="H167" s="129"/>
      <c r="I167" s="129"/>
      <c r="J167" s="129"/>
      <c r="K167" s="129"/>
      <c r="L167" s="667"/>
      <c r="M167" s="129"/>
      <c r="N167" s="129"/>
      <c r="O167" s="129"/>
      <c r="P167" s="129"/>
      <c r="Q167" s="667"/>
      <c r="R167" s="129"/>
      <c r="S167" s="129"/>
      <c r="T167" s="129"/>
      <c r="U167" s="129"/>
      <c r="V167" s="667"/>
      <c r="W167" s="129"/>
      <c r="X167" s="129"/>
      <c r="Y167" s="129"/>
      <c r="Z167" s="129"/>
      <c r="AA167" s="667"/>
      <c r="AB167" s="129"/>
      <c r="AC167" s="129"/>
      <c r="AD167" s="129"/>
      <c r="AE167" s="129"/>
      <c r="AF167" s="667"/>
      <c r="AG167" s="129"/>
      <c r="AH167" s="129"/>
      <c r="AI167" s="129"/>
      <c r="AJ167" s="129"/>
      <c r="AK167" s="667"/>
      <c r="AL167" s="726"/>
      <c r="AM167" s="129"/>
      <c r="AN167" s="129"/>
      <c r="AO167" s="129"/>
      <c r="AP167" s="727">
        <v>0.09</v>
      </c>
      <c r="AQ167" s="728">
        <v>0.09</v>
      </c>
      <c r="AR167" s="728">
        <f>+AQ167</f>
        <v>0.09</v>
      </c>
      <c r="AS167" s="728">
        <f>+AR167</f>
        <v>0.09</v>
      </c>
      <c r="AT167" s="728">
        <f>+AS167</f>
        <v>0.09</v>
      </c>
      <c r="AU167" s="729">
        <f>+AVERAGE(AQ167:AT167)</f>
        <v>0.09</v>
      </c>
      <c r="AV167" s="728">
        <f>AV123-AV149-AV158</f>
        <v>0.15000000000000002</v>
      </c>
      <c r="AW167" s="730">
        <f>AW123-AW149-AW158</f>
        <v>0.1453263963661568</v>
      </c>
      <c r="AX167" s="730">
        <f>AX123-AX149-AX158</f>
        <v>0.13979627989371129</v>
      </c>
      <c r="AY167" s="730">
        <f>AY123-AY149-AY158</f>
        <v>0.13243340281640653</v>
      </c>
      <c r="AZ167" s="729">
        <f t="shared" ref="AZ167:CD167" si="43">AZ166/AZ$6</f>
        <v>0.12313447265851446</v>
      </c>
      <c r="BA167" s="730">
        <f>BA123-BA149-BA158</f>
        <v>0.14711999472651771</v>
      </c>
      <c r="BB167" s="730">
        <f>BB123-BB149-BB158</f>
        <v>0.13414810129548216</v>
      </c>
      <c r="BC167" s="730">
        <f t="shared" si="43"/>
        <v>0.1487615192601886</v>
      </c>
      <c r="BD167" s="730">
        <f t="shared" si="43"/>
        <v>8.0498877675929462E-2</v>
      </c>
      <c r="BE167" s="729">
        <f t="shared" si="43"/>
        <v>0.12451123754781394</v>
      </c>
      <c r="BF167" s="730">
        <f t="shared" si="43"/>
        <v>0.14689709916943541</v>
      </c>
      <c r="BG167" s="730">
        <f t="shared" si="43"/>
        <v>0.14172304654307594</v>
      </c>
      <c r="BH167" s="730">
        <f t="shared" si="43"/>
        <v>0.15032840239265613</v>
      </c>
      <c r="BI167" s="730">
        <f t="shared" si="43"/>
        <v>8.0996951507064124E-2</v>
      </c>
      <c r="BJ167" s="729">
        <f t="shared" si="43"/>
        <v>0.12739779745385885</v>
      </c>
      <c r="BK167" s="731">
        <f t="shared" si="43"/>
        <v>0.1470948823696914</v>
      </c>
      <c r="BL167" s="731">
        <f t="shared" si="43"/>
        <v>0.14043727383919755</v>
      </c>
      <c r="BM167" s="731">
        <f t="shared" si="43"/>
        <v>0.14614217812718502</v>
      </c>
      <c r="BN167" s="731">
        <f t="shared" si="43"/>
        <v>7.9709839605067362E-2</v>
      </c>
      <c r="BO167" s="729">
        <f t="shared" si="43"/>
        <v>0.12604415864615792</v>
      </c>
      <c r="BP167" s="731">
        <f t="shared" si="43"/>
        <v>0.14444596442117111</v>
      </c>
      <c r="BQ167" s="731">
        <f t="shared" si="43"/>
        <v>0.14043727383919755</v>
      </c>
      <c r="BR167" s="731">
        <f t="shared" si="43"/>
        <v>0.14614217812718502</v>
      </c>
      <c r="BS167" s="731">
        <f t="shared" si="43"/>
        <v>7.9709839605067348E-2</v>
      </c>
      <c r="BT167" s="729">
        <f t="shared" si="43"/>
        <v>0.12544544652735071</v>
      </c>
      <c r="BU167" s="731">
        <f t="shared" si="43"/>
        <v>0.14444596442117111</v>
      </c>
      <c r="BV167" s="731">
        <f t="shared" si="43"/>
        <v>0.14043727383919755</v>
      </c>
      <c r="BW167" s="731">
        <f t="shared" si="43"/>
        <v>0.14614217812718502</v>
      </c>
      <c r="BX167" s="731">
        <f t="shared" si="43"/>
        <v>7.9709839605067362E-2</v>
      </c>
      <c r="BY167" s="729">
        <f t="shared" si="43"/>
        <v>0.12557771922499711</v>
      </c>
      <c r="BZ167" s="731">
        <f t="shared" si="43"/>
        <v>0.14444596442117111</v>
      </c>
      <c r="CA167" s="731">
        <f t="shared" si="43"/>
        <v>0.14043727383919755</v>
      </c>
      <c r="CB167" s="731">
        <f t="shared" si="43"/>
        <v>0.146142178127185</v>
      </c>
      <c r="CC167" s="731">
        <f t="shared" si="43"/>
        <v>7.9709839605067376E-2</v>
      </c>
      <c r="CD167" s="729">
        <f t="shared" si="43"/>
        <v>0.12557771922499708</v>
      </c>
    </row>
    <row r="168" spans="2:82">
      <c r="B168" s="725" t="s">
        <v>337</v>
      </c>
      <c r="C168" s="129"/>
      <c r="D168" s="129"/>
      <c r="E168" s="129"/>
      <c r="F168" s="129"/>
      <c r="G168" s="667"/>
      <c r="H168" s="129"/>
      <c r="I168" s="129"/>
      <c r="J168" s="129"/>
      <c r="K168" s="129"/>
      <c r="L168" s="667"/>
      <c r="M168" s="129"/>
      <c r="N168" s="129"/>
      <c r="O168" s="129"/>
      <c r="P168" s="129"/>
      <c r="Q168" s="667"/>
      <c r="R168" s="129"/>
      <c r="S168" s="129"/>
      <c r="T168" s="129"/>
      <c r="U168" s="129"/>
      <c r="V168" s="667"/>
      <c r="W168" s="129"/>
      <c r="X168" s="129"/>
      <c r="Y168" s="129"/>
      <c r="Z168" s="129"/>
      <c r="AA168" s="667"/>
      <c r="AB168" s="129"/>
      <c r="AC168" s="129"/>
      <c r="AD168" s="129"/>
      <c r="AE168" s="129"/>
      <c r="AF168" s="667"/>
      <c r="AG168" s="129"/>
      <c r="AH168" s="129"/>
      <c r="AI168" s="129"/>
      <c r="AJ168" s="129"/>
      <c r="AK168" s="667"/>
      <c r="AL168" s="726"/>
      <c r="AM168" s="129"/>
      <c r="AN168" s="129"/>
      <c r="AO168" s="129"/>
      <c r="AP168" s="743"/>
      <c r="AQ168" s="732"/>
      <c r="AR168" s="732"/>
      <c r="AS168" s="732"/>
      <c r="AT168" s="732"/>
      <c r="AU168" s="744">
        <f t="shared" ref="AU168:CD168" si="44">+AU166/AP166-1</f>
        <v>0.26415633115308745</v>
      </c>
      <c r="AV168" s="747">
        <f t="shared" si="44"/>
        <v>0.9568335941575381</v>
      </c>
      <c r="AW168" s="745">
        <f t="shared" si="44"/>
        <v>0.92057480251241475</v>
      </c>
      <c r="AX168" s="745">
        <f t="shared" si="44"/>
        <v>0.90389326068636855</v>
      </c>
      <c r="AY168" s="745">
        <f t="shared" si="44"/>
        <v>4.946236531147119E-2</v>
      </c>
      <c r="AZ168" s="744">
        <f t="shared" si="44"/>
        <v>0.67955463855743758</v>
      </c>
      <c r="BA168" s="745">
        <f t="shared" si="44"/>
        <v>0.20057625203957175</v>
      </c>
      <c r="BB168" s="745">
        <f t="shared" si="44"/>
        <v>0.23734879914205598</v>
      </c>
      <c r="BC168" s="745">
        <f t="shared" si="44"/>
        <v>0.32641449363250463</v>
      </c>
      <c r="BD168" s="745">
        <f t="shared" si="44"/>
        <v>0.29974114394230766</v>
      </c>
      <c r="BE168" s="699">
        <f t="shared" si="44"/>
        <v>0.26355671871921604</v>
      </c>
      <c r="BF168" s="745">
        <f t="shared" si="44"/>
        <v>0.30260648114800071</v>
      </c>
      <c r="BG168" s="745">
        <f t="shared" si="44"/>
        <v>0.2590258561538461</v>
      </c>
      <c r="BH168" s="745">
        <f t="shared" si="44"/>
        <v>0.30983336960000019</v>
      </c>
      <c r="BI168" s="745">
        <f t="shared" si="44"/>
        <v>0.3239359673150457</v>
      </c>
      <c r="BJ168" s="699">
        <f t="shared" si="44"/>
        <v>0.29679722826851762</v>
      </c>
      <c r="BK168" s="746">
        <f t="shared" si="44"/>
        <v>0.3170064859741184</v>
      </c>
      <c r="BL168" s="746">
        <f t="shared" si="44"/>
        <v>0.29207889323516145</v>
      </c>
      <c r="BM168" s="746">
        <f t="shared" si="44"/>
        <v>0.24075494143831544</v>
      </c>
      <c r="BN168" s="746">
        <f t="shared" si="44"/>
        <v>0.24457703103097117</v>
      </c>
      <c r="BO168" s="699">
        <f t="shared" si="44"/>
        <v>0.27434992479974785</v>
      </c>
      <c r="BP168" s="746">
        <f t="shared" si="44"/>
        <v>0.20532681222510307</v>
      </c>
      <c r="BQ168" s="746">
        <f t="shared" si="44"/>
        <v>0.22799999999999998</v>
      </c>
      <c r="BR168" s="746">
        <f t="shared" si="44"/>
        <v>0.22799999999999998</v>
      </c>
      <c r="BS168" s="746">
        <f t="shared" si="44"/>
        <v>0.22799999999999976</v>
      </c>
      <c r="BT168" s="699">
        <f t="shared" si="44"/>
        <v>0.22203933002494458</v>
      </c>
      <c r="BU168" s="746">
        <f t="shared" si="44"/>
        <v>0.19999999999999996</v>
      </c>
      <c r="BV168" s="746">
        <f t="shared" si="44"/>
        <v>0.20000000000000018</v>
      </c>
      <c r="BW168" s="746">
        <f t="shared" si="44"/>
        <v>0.17999999999999994</v>
      </c>
      <c r="BX168" s="746">
        <f t="shared" si="44"/>
        <v>0.17999999999999994</v>
      </c>
      <c r="BY168" s="699">
        <f t="shared" si="44"/>
        <v>0.19054280847679927</v>
      </c>
      <c r="BZ168" s="746">
        <f t="shared" si="44"/>
        <v>0.16999999999999993</v>
      </c>
      <c r="CA168" s="746">
        <f t="shared" si="44"/>
        <v>0.16999999999999993</v>
      </c>
      <c r="CB168" s="746">
        <f t="shared" si="44"/>
        <v>0.16999999999999971</v>
      </c>
      <c r="CC168" s="746">
        <f t="shared" si="44"/>
        <v>0.16999999999999993</v>
      </c>
      <c r="CD168" s="699">
        <f t="shared" si="44"/>
        <v>0.16999999999999993</v>
      </c>
    </row>
    <row r="169" spans="2:82">
      <c r="B169" s="734" t="s">
        <v>349</v>
      </c>
      <c r="C169" s="129"/>
      <c r="D169" s="129"/>
      <c r="E169" s="129"/>
      <c r="F169" s="129"/>
      <c r="G169" s="667"/>
      <c r="H169" s="129"/>
      <c r="I169" s="129"/>
      <c r="J169" s="129"/>
      <c r="K169" s="129"/>
      <c r="L169" s="667"/>
      <c r="M169" s="129"/>
      <c r="N169" s="129"/>
      <c r="O169" s="129"/>
      <c r="P169" s="129"/>
      <c r="Q169" s="667"/>
      <c r="R169" s="129"/>
      <c r="S169" s="129"/>
      <c r="T169" s="129"/>
      <c r="U169" s="129"/>
      <c r="V169" s="667"/>
      <c r="W169" s="129"/>
      <c r="X169" s="129"/>
      <c r="Y169" s="129"/>
      <c r="Z169" s="129"/>
      <c r="AA169" s="667"/>
      <c r="AB169" s="129"/>
      <c r="AC169" s="129"/>
      <c r="AD169" s="129"/>
      <c r="AE169" s="129"/>
      <c r="AF169" s="667"/>
      <c r="AG169" s="129"/>
      <c r="AH169" s="129"/>
      <c r="AI169" s="129"/>
      <c r="AJ169" s="129"/>
      <c r="AK169" s="667"/>
      <c r="AL169" s="748"/>
      <c r="AM169" s="742"/>
      <c r="AN169" s="742"/>
      <c r="AO169" s="742"/>
      <c r="AP169" s="667"/>
      <c r="AQ169" s="735">
        <f t="shared" ref="AQ169:AV169" si="45">+AQ166/AQ195</f>
        <v>5392.7662424648361</v>
      </c>
      <c r="AR169" s="736">
        <f t="shared" si="45"/>
        <v>5474.6863943390154</v>
      </c>
      <c r="AS169" s="736">
        <f t="shared" si="45"/>
        <v>5656.254050550875</v>
      </c>
      <c r="AT169" s="736">
        <f t="shared" si="45"/>
        <v>6712.7964761689636</v>
      </c>
      <c r="AU169" s="737">
        <f t="shared" si="45"/>
        <v>23207.572052641703</v>
      </c>
      <c r="AV169" s="735">
        <f t="shared" si="45"/>
        <v>12007.049409373811</v>
      </c>
      <c r="AW169" s="736">
        <f>+AW166/AW195</f>
        <v>12618.265413768648</v>
      </c>
      <c r="AX169" s="736">
        <f>+AX166/AX195</f>
        <v>13736.46111174314</v>
      </c>
      <c r="AY169" s="736">
        <f>+AT169*(1+AY170)</f>
        <v>8659.5074542579641</v>
      </c>
      <c r="AZ169" s="737">
        <f>SUM(AV169:AY169)</f>
        <v>47021.283389143558</v>
      </c>
      <c r="BA169" s="736">
        <f>+AV169*(1+BA170)</f>
        <v>15729.234726279692</v>
      </c>
      <c r="BB169" s="736">
        <f>+AW169*(1+BB170)</f>
        <v>16277.562383761557</v>
      </c>
      <c r="BC169" s="736">
        <f>+AX169*(1+BC170)</f>
        <v>17445.305611913787</v>
      </c>
      <c r="BD169" s="736">
        <f>+AY169*(1+BD170)</f>
        <v>10824.384317822456</v>
      </c>
      <c r="BE169" s="737">
        <f>SUM(BA169:BD169)</f>
        <v>60276.487039777487</v>
      </c>
      <c r="BF169" s="736">
        <f>+BA169*(1+BF170)</f>
        <v>19504.251060586819</v>
      </c>
      <c r="BG169" s="736">
        <f>+BB169*(1+BG170)</f>
        <v>20346.952979701946</v>
      </c>
      <c r="BH169" s="736">
        <f>+BC169*(1+BH170)</f>
        <v>22329.991183249647</v>
      </c>
      <c r="BI169" s="736">
        <f>+BD169*(1+BI170)</f>
        <v>13963.455769990969</v>
      </c>
      <c r="BJ169" s="737">
        <f>+BJ166/BJ195</f>
        <v>76137.844180790577</v>
      </c>
      <c r="BK169" s="738">
        <f>+BF169*(1+BK170)</f>
        <v>24770.39884694526</v>
      </c>
      <c r="BL169" s="738">
        <f>+BG169*(1+BL170)</f>
        <v>25586.2933719752</v>
      </c>
      <c r="BM169" s="738">
        <f>+BH169*(1+BM170)</f>
        <v>27856.664001103934</v>
      </c>
      <c r="BN169" s="738">
        <f>+BI169*(1+BN170)</f>
        <v>17314.6851547888</v>
      </c>
      <c r="BO169" s="737">
        <f>+BO166/BO195</f>
        <v>95544.674472006212</v>
      </c>
      <c r="BP169" s="738">
        <f>+BK169*(1+BP170)</f>
        <v>30418.049784048777</v>
      </c>
      <c r="BQ169" s="738">
        <f>+BL169*(1+BQ170)</f>
        <v>31419.968260785547</v>
      </c>
      <c r="BR169" s="738">
        <f>+BM169*(1+BR170)</f>
        <v>34207.983393355629</v>
      </c>
      <c r="BS169" s="738">
        <f>+BN169*(1+BS170)</f>
        <v>21262.433370080646</v>
      </c>
      <c r="BT169" s="737">
        <f>+BT166/BT195</f>
        <v>117308.4348082706</v>
      </c>
      <c r="BU169" s="738">
        <f>+BP169*(1+BU170)</f>
        <v>36501.659740858529</v>
      </c>
      <c r="BV169" s="738">
        <f>+BQ169*(1+BV170)</f>
        <v>37703.961912942657</v>
      </c>
      <c r="BW169" s="738">
        <f>+BR169*(1+BW170)</f>
        <v>40365.420404159639</v>
      </c>
      <c r="BX169" s="738">
        <f>+BS169*(1+BX170)</f>
        <v>25089.671376695162</v>
      </c>
      <c r="BY169" s="737">
        <f>+BY166/BY195</f>
        <v>139660.71343465598</v>
      </c>
      <c r="BZ169" s="738">
        <f>+BU169*(1+BZ170)</f>
        <v>42706.941896804477</v>
      </c>
      <c r="CA169" s="738">
        <f>+BV169*(1+CA170)</f>
        <v>44113.635438142905</v>
      </c>
      <c r="CB169" s="738">
        <f>+BW169*(1+CB170)</f>
        <v>47227.541872866772</v>
      </c>
      <c r="CC169" s="738">
        <f>+BX169*(1+CC170)</f>
        <v>29354.915510733339</v>
      </c>
      <c r="CD169" s="737">
        <f>+CD166/CD195</f>
        <v>163403.03471854748</v>
      </c>
    </row>
    <row r="170" spans="2:82">
      <c r="B170" s="725" t="s">
        <v>339</v>
      </c>
      <c r="C170" s="129"/>
      <c r="D170" s="129"/>
      <c r="E170" s="129"/>
      <c r="F170" s="129"/>
      <c r="G170" s="667"/>
      <c r="H170" s="129"/>
      <c r="I170" s="129"/>
      <c r="J170" s="129"/>
      <c r="K170" s="129"/>
      <c r="L170" s="667"/>
      <c r="M170" s="129"/>
      <c r="N170" s="129"/>
      <c r="O170" s="129"/>
      <c r="P170" s="129"/>
      <c r="Q170" s="667"/>
      <c r="R170" s="129"/>
      <c r="S170" s="129"/>
      <c r="T170" s="129"/>
      <c r="U170" s="129"/>
      <c r="V170" s="667"/>
      <c r="W170" s="129"/>
      <c r="X170" s="129"/>
      <c r="Y170" s="129"/>
      <c r="Z170" s="129"/>
      <c r="AA170" s="667"/>
      <c r="AB170" s="129"/>
      <c r="AC170" s="129"/>
      <c r="AD170" s="129"/>
      <c r="AE170" s="129"/>
      <c r="AF170" s="667"/>
      <c r="AG170" s="129"/>
      <c r="AH170" s="129"/>
      <c r="AI170" s="129"/>
      <c r="AJ170" s="129"/>
      <c r="AK170" s="667"/>
      <c r="AL170" s="732"/>
      <c r="AM170" s="732"/>
      <c r="AN170" s="732"/>
      <c r="AO170" s="732"/>
      <c r="AP170" s="667"/>
      <c r="AQ170" s="732"/>
      <c r="AR170" s="732"/>
      <c r="AS170" s="732"/>
      <c r="AT170" s="732"/>
      <c r="AU170" s="667"/>
      <c r="AV170" s="731">
        <f>+AV169/AQ169-1</f>
        <v>1.2265102675553443</v>
      </c>
      <c r="AW170" s="733">
        <f>+AW169/AR169-1</f>
        <v>1.3048380317850352</v>
      </c>
      <c r="AX170" s="733">
        <f>+AX169/AS169-1</f>
        <v>1.4285438717883112</v>
      </c>
      <c r="AY170" s="733">
        <f>AY$8</f>
        <v>0.28999999999999998</v>
      </c>
      <c r="AZ170" s="739">
        <f>+AZ169/AU169-1</f>
        <v>1.0261181687806569</v>
      </c>
      <c r="BA170" s="733">
        <f>BA$8</f>
        <v>0.31</v>
      </c>
      <c r="BB170" s="733">
        <f>BB$8</f>
        <v>0.28999999999999998</v>
      </c>
      <c r="BC170" s="733">
        <f>BC$8</f>
        <v>0.27</v>
      </c>
      <c r="BD170" s="733">
        <f>BD$8</f>
        <v>0.25</v>
      </c>
      <c r="BE170" s="739">
        <f>+BE169/AZ169-1</f>
        <v>0.28189795546274565</v>
      </c>
      <c r="BF170" s="733">
        <f>BF$8</f>
        <v>0.24</v>
      </c>
      <c r="BG170" s="733">
        <f>BG$8</f>
        <v>0.25</v>
      </c>
      <c r="BH170" s="733">
        <f>BH$8</f>
        <v>0.28000000000000003</v>
      </c>
      <c r="BI170" s="733">
        <f>BI$8</f>
        <v>0.28999999999999998</v>
      </c>
      <c r="BJ170" s="739">
        <f>+BJ169/BE169-1</f>
        <v>0.26314335688717083</v>
      </c>
      <c r="BK170" s="728">
        <f>BK$8</f>
        <v>0.27</v>
      </c>
      <c r="BL170" s="728">
        <f>BL$8</f>
        <v>0.25750000000000001</v>
      </c>
      <c r="BM170" s="728">
        <f>BM$8</f>
        <v>0.2475</v>
      </c>
      <c r="BN170" s="728">
        <f>BN$8</f>
        <v>0.24</v>
      </c>
      <c r="BO170" s="739">
        <f>+BO169/BJ169-1</f>
        <v>0.25489072484287578</v>
      </c>
      <c r="BP170" s="728">
        <f>BP$8</f>
        <v>0.22799999999999998</v>
      </c>
      <c r="BQ170" s="728">
        <f>BQ$8</f>
        <v>0.22799999999999998</v>
      </c>
      <c r="BR170" s="728">
        <f>BR$8</f>
        <v>0.22799999999999998</v>
      </c>
      <c r="BS170" s="728">
        <f>BS$8</f>
        <v>0.22799999999999998</v>
      </c>
      <c r="BT170" s="739">
        <f>+BT169/BO169-1</f>
        <v>0.22778622101686041</v>
      </c>
      <c r="BU170" s="728">
        <f>BU$8</f>
        <v>0.2</v>
      </c>
      <c r="BV170" s="728">
        <f>BV$8</f>
        <v>0.2</v>
      </c>
      <c r="BW170" s="728">
        <f>BW$8</f>
        <v>0.18000000000000002</v>
      </c>
      <c r="BX170" s="728">
        <f>BX$8</f>
        <v>0.18000000000000002</v>
      </c>
      <c r="BY170" s="739">
        <f>+BY169/BT169-1</f>
        <v>0.19054280847679905</v>
      </c>
      <c r="BZ170" s="728">
        <f>BZ$8</f>
        <v>0.17</v>
      </c>
      <c r="CA170" s="728">
        <f>CA$8</f>
        <v>0.17</v>
      </c>
      <c r="CB170" s="728">
        <f>CB$8</f>
        <v>0.17</v>
      </c>
      <c r="CC170" s="728">
        <f>CC$8</f>
        <v>0.17</v>
      </c>
      <c r="CD170" s="739">
        <f>+CD169/BY169-1</f>
        <v>0.16999999999999993</v>
      </c>
    </row>
    <row r="171" spans="2:82">
      <c r="B171" s="734" t="s">
        <v>350</v>
      </c>
      <c r="C171" s="129"/>
      <c r="D171" s="129"/>
      <c r="E171" s="129"/>
      <c r="F171" s="129"/>
      <c r="G171" s="667"/>
      <c r="H171" s="129"/>
      <c r="I171" s="129"/>
      <c r="J171" s="129"/>
      <c r="K171" s="129"/>
      <c r="L171" s="667"/>
      <c r="M171" s="129"/>
      <c r="N171" s="129"/>
      <c r="O171" s="129"/>
      <c r="P171" s="129"/>
      <c r="Q171" s="667"/>
      <c r="R171" s="129"/>
      <c r="S171" s="129"/>
      <c r="T171" s="129"/>
      <c r="U171" s="129"/>
      <c r="V171" s="667"/>
      <c r="W171" s="129"/>
      <c r="X171" s="129"/>
      <c r="Y171" s="129"/>
      <c r="Z171" s="129"/>
      <c r="AA171" s="667"/>
      <c r="AB171" s="129"/>
      <c r="AC171" s="129"/>
      <c r="AD171" s="129"/>
      <c r="AE171" s="129"/>
      <c r="AF171" s="667"/>
      <c r="AG171" s="129"/>
      <c r="AH171" s="129"/>
      <c r="AI171" s="129"/>
      <c r="AJ171" s="129"/>
      <c r="AK171" s="667"/>
      <c r="AL171" s="732"/>
      <c r="AM171" s="732"/>
      <c r="AN171" s="732"/>
      <c r="AO171" s="732"/>
      <c r="AP171" s="667"/>
      <c r="AQ171" s="735">
        <f t="shared" ref="AQ171:CD171" si="46">+AQ169*AL195</f>
        <v>5600.9270194239789</v>
      </c>
      <c r="AR171" s="736">
        <f t="shared" si="46"/>
        <v>5429.7939659054355</v>
      </c>
      <c r="AS171" s="736">
        <f t="shared" si="46"/>
        <v>5176.038081659106</v>
      </c>
      <c r="AT171" s="736">
        <f t="shared" si="46"/>
        <v>6226.7900112943307</v>
      </c>
      <c r="AU171" s="737">
        <f t="shared" si="46"/>
        <v>22471.311829271646</v>
      </c>
      <c r="AV171" s="735">
        <f t="shared" si="46"/>
        <v>10755.914860917061</v>
      </c>
      <c r="AW171" s="736">
        <f t="shared" si="46"/>
        <v>11769.056151422017</v>
      </c>
      <c r="AX171" s="736">
        <f t="shared" si="46"/>
        <v>12717.215697251799</v>
      </c>
      <c r="AY171" s="736">
        <f t="shared" si="46"/>
        <v>7667.1279000000013</v>
      </c>
      <c r="AZ171" s="737">
        <f t="shared" si="46"/>
        <v>42785.841287866446</v>
      </c>
      <c r="BA171" s="736">
        <f t="shared" si="46"/>
        <v>12383.626500000002</v>
      </c>
      <c r="BB171" s="736">
        <f t="shared" si="46"/>
        <v>12650.921484659482</v>
      </c>
      <c r="BC171" s="736">
        <f t="shared" si="46"/>
        <v>12661.711142338358</v>
      </c>
      <c r="BD171" s="736">
        <f t="shared" si="46"/>
        <v>7796.8625785654795</v>
      </c>
      <c r="BE171" s="737">
        <f t="shared" si="46"/>
        <v>45367.100302279454</v>
      </c>
      <c r="BF171" s="736">
        <f t="shared" si="46"/>
        <v>14073.041972240169</v>
      </c>
      <c r="BG171" s="736">
        <f t="shared" si="46"/>
        <v>15168.219483608375</v>
      </c>
      <c r="BH171" s="736">
        <f t="shared" si="46"/>
        <v>16926.918725932119</v>
      </c>
      <c r="BI171" s="736">
        <f t="shared" si="46"/>
        <v>10458.187985810488</v>
      </c>
      <c r="BJ171" s="737">
        <f t="shared" si="46"/>
        <v>56608.857730287491</v>
      </c>
      <c r="BK171" s="735">
        <f t="shared" si="46"/>
        <v>18775.142997407271</v>
      </c>
      <c r="BL171" s="736">
        <f t="shared" si="46"/>
        <v>19211.763604809563</v>
      </c>
      <c r="BM171" s="736">
        <f t="shared" si="46"/>
        <v>21608.496197021032</v>
      </c>
      <c r="BN171" s="736">
        <f t="shared" si="46"/>
        <v>13309.305675908667</v>
      </c>
      <c r="BO171" s="737">
        <f t="shared" si="46"/>
        <v>72929.320277919469</v>
      </c>
      <c r="BP171" s="735">
        <f t="shared" si="46"/>
        <v>23909.242288257687</v>
      </c>
      <c r="BQ171" s="736">
        <f t="shared" si="46"/>
        <v>24240.782748210109</v>
      </c>
      <c r="BR171" s="736">
        <f t="shared" si="46"/>
        <v>26391.761023121453</v>
      </c>
      <c r="BS171" s="736">
        <f t="shared" si="46"/>
        <v>16404.154954723421</v>
      </c>
      <c r="BT171" s="737">
        <f t="shared" si="46"/>
        <v>90930.108497382127</v>
      </c>
      <c r="BU171" s="735">
        <f t="shared" si="46"/>
        <v>28161.352563540651</v>
      </c>
      <c r="BV171" s="736">
        <f t="shared" si="46"/>
        <v>29088.939297852135</v>
      </c>
      <c r="BW171" s="736">
        <f t="shared" si="46"/>
        <v>31142.278007283312</v>
      </c>
      <c r="BX171" s="736">
        <f t="shared" si="46"/>
        <v>19356.902846573637</v>
      </c>
      <c r="BY171" s="737">
        <f t="shared" si="46"/>
        <v>107749.47271524972</v>
      </c>
      <c r="BZ171" s="735">
        <f t="shared" si="46"/>
        <v>32948.78249934256</v>
      </c>
      <c r="CA171" s="736">
        <f t="shared" si="46"/>
        <v>34034.058978486995</v>
      </c>
      <c r="CB171" s="736">
        <f t="shared" si="46"/>
        <v>36436.465268521468</v>
      </c>
      <c r="CC171" s="736">
        <f t="shared" si="46"/>
        <v>22647.576330491156</v>
      </c>
      <c r="CD171" s="737">
        <f t="shared" si="46"/>
        <v>126066.88307684218</v>
      </c>
    </row>
    <row r="172" spans="2:82">
      <c r="B172" s="734" t="s">
        <v>351</v>
      </c>
      <c r="C172" s="129"/>
      <c r="D172" s="129"/>
      <c r="E172" s="129"/>
      <c r="F172" s="129"/>
      <c r="G172" s="667"/>
      <c r="H172" s="129"/>
      <c r="I172" s="129"/>
      <c r="J172" s="129"/>
      <c r="K172" s="129"/>
      <c r="L172" s="667"/>
      <c r="M172" s="129"/>
      <c r="N172" s="129"/>
      <c r="O172" s="129"/>
      <c r="P172" s="129"/>
      <c r="Q172" s="667"/>
      <c r="R172" s="129"/>
      <c r="S172" s="129"/>
      <c r="T172" s="129"/>
      <c r="U172" s="129"/>
      <c r="V172" s="667"/>
      <c r="W172" s="129"/>
      <c r="X172" s="129"/>
      <c r="Y172" s="129"/>
      <c r="Z172" s="129"/>
      <c r="AA172" s="667"/>
      <c r="AB172" s="129"/>
      <c r="AC172" s="129"/>
      <c r="AD172" s="129"/>
      <c r="AE172" s="129"/>
      <c r="AF172" s="667"/>
      <c r="AG172" s="129"/>
      <c r="AH172" s="129"/>
      <c r="AI172" s="129"/>
      <c r="AJ172" s="129"/>
      <c r="AK172" s="667"/>
      <c r="AL172" s="726"/>
      <c r="AM172" s="129"/>
      <c r="AN172" s="129"/>
      <c r="AO172" s="129"/>
      <c r="AP172" s="667"/>
      <c r="AQ172" s="740">
        <f>+AQ166-AQ171</f>
        <v>-770.08701942397875</v>
      </c>
      <c r="AR172" s="740">
        <f>+AR166-AR171</f>
        <v>-323.55396590543569</v>
      </c>
      <c r="AS172" s="740">
        <f>+AS166-AS171</f>
        <v>60.521918340893535</v>
      </c>
      <c r="AT172" s="740">
        <f>+AT166-AT171</f>
        <v>-283.28001129433051</v>
      </c>
      <c r="AU172" s="741">
        <f>+SUM(AQ172:AT172)</f>
        <v>-1316.3990782828514</v>
      </c>
      <c r="AV172" s="740">
        <f t="shared" ref="AV172:CD172" si="47">+AV166-AV171</f>
        <v>-1302.7648609170592</v>
      </c>
      <c r="AW172" s="740">
        <f>+AW166-AW171</f>
        <v>-1962.1402718410245</v>
      </c>
      <c r="AX172" s="740">
        <f t="shared" si="47"/>
        <v>-2747.3644040719901</v>
      </c>
      <c r="AY172" s="740">
        <f t="shared" si="47"/>
        <v>-1429.6378371476185</v>
      </c>
      <c r="AZ172" s="741">
        <f t="shared" si="47"/>
        <v>-7318.4340522532584</v>
      </c>
      <c r="BA172" s="740">
        <f>+BA166-BA171</f>
        <v>-1034.3991030321231</v>
      </c>
      <c r="BB172" s="740">
        <f>+BB166-BB171</f>
        <v>-516.34589777278234</v>
      </c>
      <c r="BC172" s="740">
        <f t="shared" si="47"/>
        <v>562.44411229610887</v>
      </c>
      <c r="BD172" s="740">
        <f t="shared" si="47"/>
        <v>310.25989105505323</v>
      </c>
      <c r="BE172" s="741">
        <f>+BE166-BE171</f>
        <v>-552.01959416987665</v>
      </c>
      <c r="BF172" s="740">
        <f t="shared" si="47"/>
        <v>710.53519107264219</v>
      </c>
      <c r="BG172" s="740">
        <f t="shared" si="47"/>
        <v>109.52493373521247</v>
      </c>
      <c r="BH172" s="740">
        <f t="shared" si="47"/>
        <v>394.52111135929226</v>
      </c>
      <c r="BI172" s="740">
        <f t="shared" si="47"/>
        <v>275.12304314811445</v>
      </c>
      <c r="BJ172" s="741">
        <f t="shared" si="47"/>
        <v>1507.2147166189243</v>
      </c>
      <c r="BK172" s="740">
        <f t="shared" si="47"/>
        <v>694.92401257456004</v>
      </c>
      <c r="BL172" s="740">
        <f t="shared" si="47"/>
        <v>528.28749308140686</v>
      </c>
      <c r="BM172" s="740">
        <f t="shared" si="47"/>
        <v>-116.83412607522405</v>
      </c>
      <c r="BN172" s="740">
        <f t="shared" si="47"/>
        <v>49.126697644609521</v>
      </c>
      <c r="BO172" s="741">
        <f t="shared" si="47"/>
        <v>1130.892274452417</v>
      </c>
      <c r="BP172" s="740">
        <f t="shared" si="47"/>
        <v>-441.4484853071408</v>
      </c>
      <c r="BQ172" s="740">
        <f t="shared" si="47"/>
        <v>0</v>
      </c>
      <c r="BR172" s="740">
        <f t="shared" si="47"/>
        <v>0</v>
      </c>
      <c r="BS172" s="740">
        <f t="shared" si="47"/>
        <v>0</v>
      </c>
      <c r="BT172" s="741">
        <f t="shared" si="47"/>
        <v>-425.61596837660181</v>
      </c>
      <c r="BU172" s="740">
        <f t="shared" si="47"/>
        <v>0</v>
      </c>
      <c r="BV172" s="740">
        <f t="shared" si="47"/>
        <v>0</v>
      </c>
      <c r="BW172" s="740">
        <f t="shared" si="47"/>
        <v>0</v>
      </c>
      <c r="BX172" s="740">
        <f t="shared" si="47"/>
        <v>0</v>
      </c>
      <c r="BY172" s="741">
        <f t="shared" si="47"/>
        <v>0</v>
      </c>
      <c r="BZ172" s="740">
        <f t="shared" si="47"/>
        <v>0</v>
      </c>
      <c r="CA172" s="740">
        <f t="shared" si="47"/>
        <v>0</v>
      </c>
      <c r="CB172" s="740">
        <f t="shared" si="47"/>
        <v>0</v>
      </c>
      <c r="CC172" s="740">
        <f t="shared" si="47"/>
        <v>0</v>
      </c>
      <c r="CD172" s="741">
        <f t="shared" si="47"/>
        <v>0</v>
      </c>
    </row>
    <row r="173" spans="2:82">
      <c r="B173" s="725"/>
      <c r="C173" s="129"/>
      <c r="D173" s="129"/>
      <c r="E173" s="129"/>
      <c r="F173" s="129"/>
      <c r="G173" s="667"/>
      <c r="H173" s="129"/>
      <c r="I173" s="129"/>
      <c r="J173" s="129"/>
      <c r="K173" s="129"/>
      <c r="L173" s="667"/>
      <c r="M173" s="129"/>
      <c r="N173" s="129"/>
      <c r="O173" s="129"/>
      <c r="P173" s="129"/>
      <c r="Q173" s="667"/>
      <c r="R173" s="129"/>
      <c r="S173" s="129"/>
      <c r="T173" s="129"/>
      <c r="U173" s="129"/>
      <c r="V173" s="667"/>
      <c r="W173" s="129"/>
      <c r="X173" s="129"/>
      <c r="Y173" s="129"/>
      <c r="Z173" s="129"/>
      <c r="AA173" s="667"/>
      <c r="AB173" s="129"/>
      <c r="AC173" s="129"/>
      <c r="AD173" s="129"/>
      <c r="AE173" s="129"/>
      <c r="AF173" s="667"/>
      <c r="AG173" s="129"/>
      <c r="AH173" s="129"/>
      <c r="AI173" s="129"/>
      <c r="AJ173" s="129"/>
      <c r="AK173" s="667"/>
      <c r="AL173" s="732"/>
      <c r="AM173" s="732"/>
      <c r="AN173" s="732"/>
      <c r="AO173" s="732"/>
      <c r="AP173" s="667"/>
      <c r="AQ173" s="732"/>
      <c r="AR173" s="732"/>
      <c r="AS173" s="732"/>
      <c r="AT173" s="732"/>
      <c r="AU173" s="667"/>
      <c r="AV173" s="732"/>
      <c r="AW173" s="732"/>
      <c r="AX173" s="732"/>
      <c r="AY173" s="732"/>
      <c r="AZ173" s="743"/>
      <c r="BA173" s="732"/>
      <c r="BB173" s="732"/>
      <c r="BC173" s="732"/>
      <c r="BD173" s="732"/>
      <c r="BE173" s="667"/>
      <c r="BF173" s="732"/>
      <c r="BG173" s="732"/>
      <c r="BH173" s="732"/>
      <c r="BI173" s="732"/>
      <c r="BJ173" s="667"/>
      <c r="BK173" s="129"/>
      <c r="BL173" s="129"/>
      <c r="BM173" s="129"/>
      <c r="BN173" s="129"/>
      <c r="BO173" s="667"/>
      <c r="BP173" s="129"/>
      <c r="BQ173" s="129"/>
      <c r="BR173" s="129"/>
      <c r="BS173" s="129"/>
      <c r="BT173" s="667"/>
      <c r="BU173" s="129"/>
      <c r="BV173" s="129"/>
      <c r="BW173" s="129"/>
      <c r="BX173" s="129"/>
      <c r="BY173" s="667"/>
      <c r="BZ173" s="129"/>
      <c r="CA173" s="129"/>
      <c r="CB173" s="129"/>
      <c r="CC173" s="129"/>
      <c r="CD173" s="667"/>
    </row>
    <row r="174" spans="2:82">
      <c r="B174" s="749" t="s">
        <v>352</v>
      </c>
      <c r="C174" s="750"/>
      <c r="D174" s="750"/>
      <c r="E174" s="750"/>
      <c r="F174" s="750"/>
      <c r="G174" s="751"/>
      <c r="H174" s="750"/>
      <c r="I174" s="750"/>
      <c r="J174" s="750"/>
      <c r="K174" s="750"/>
      <c r="L174" s="751"/>
      <c r="M174" s="750"/>
      <c r="N174" s="750"/>
      <c r="O174" s="750"/>
      <c r="P174" s="750"/>
      <c r="Q174" s="751"/>
      <c r="R174" s="750"/>
      <c r="S174" s="750"/>
      <c r="T174" s="750"/>
      <c r="U174" s="750"/>
      <c r="V174" s="751"/>
      <c r="W174" s="750"/>
      <c r="X174" s="750"/>
      <c r="Y174" s="750"/>
      <c r="Z174" s="750"/>
      <c r="AA174" s="751"/>
      <c r="AB174" s="750"/>
      <c r="AC174" s="750"/>
      <c r="AD174" s="750"/>
      <c r="AE174" s="750"/>
      <c r="AF174" s="751"/>
      <c r="AG174" s="750"/>
      <c r="AH174" s="750"/>
      <c r="AI174" s="750"/>
      <c r="AJ174" s="750"/>
      <c r="AK174" s="751"/>
      <c r="AL174" s="750"/>
      <c r="AM174" s="750"/>
      <c r="AN174" s="750"/>
      <c r="AO174" s="750"/>
      <c r="AP174" s="751"/>
      <c r="AQ174" s="750">
        <f t="shared" ref="AQ174:CD174" si="48">+SUM(AQ172,AQ163,AQ154)</f>
        <v>175.61264085756466</v>
      </c>
      <c r="AR174" s="750">
        <f t="shared" si="48"/>
        <v>1051.0615727734858</v>
      </c>
      <c r="AS174" s="750">
        <f t="shared" si="48"/>
        <v>679.96234682039085</v>
      </c>
      <c r="AT174" s="750">
        <f t="shared" si="48"/>
        <v>-1970.0119971123468</v>
      </c>
      <c r="AU174" s="751">
        <f t="shared" si="48"/>
        <v>-63.375436660905507</v>
      </c>
      <c r="AV174" s="750">
        <f t="shared" si="48"/>
        <v>-4487.8456970626721</v>
      </c>
      <c r="AW174" s="750">
        <f>+SUM(AW172,AW163,AW154)</f>
        <v>-5712.7264167384437</v>
      </c>
      <c r="AX174" s="750">
        <f t="shared" si="48"/>
        <v>-5943.4925696509454</v>
      </c>
      <c r="AY174" s="750">
        <f t="shared" si="48"/>
        <v>-4547.8301484123112</v>
      </c>
      <c r="AZ174" s="751">
        <f>+SUM(AZ172,AZ163,AZ154)</f>
        <v>-21095.891223098108</v>
      </c>
      <c r="BA174" s="750">
        <f>+SUM(BA172,BA163,BA154)</f>
        <v>-1955.4276687653346</v>
      </c>
      <c r="BB174" s="750">
        <f t="shared" si="48"/>
        <v>-866.52393771336756</v>
      </c>
      <c r="BC174" s="750">
        <f t="shared" si="48"/>
        <v>-1302.2890765705379</v>
      </c>
      <c r="BD174" s="750">
        <f t="shared" si="48"/>
        <v>-2855.0568546825325</v>
      </c>
      <c r="BE174" s="751">
        <f t="shared" si="48"/>
        <v>-6968.4672233118763</v>
      </c>
      <c r="BF174" s="750">
        <f t="shared" si="48"/>
        <v>-1673.3196137958821</v>
      </c>
      <c r="BG174" s="750">
        <f t="shared" si="48"/>
        <v>-1818.3710338916117</v>
      </c>
      <c r="BH174" s="750">
        <f t="shared" si="48"/>
        <v>786.04799540992099</v>
      </c>
      <c r="BI174" s="750">
        <f t="shared" si="48"/>
        <v>4111.343890638067</v>
      </c>
      <c r="BJ174" s="751">
        <f t="shared" si="48"/>
        <v>1174.2769007258412</v>
      </c>
      <c r="BK174" s="750">
        <f t="shared" si="48"/>
        <v>5895.4276459347257</v>
      </c>
      <c r="BL174" s="750">
        <f t="shared" si="48"/>
        <v>5002.8378716933585</v>
      </c>
      <c r="BM174" s="750">
        <f t="shared" si="48"/>
        <v>3318.014534425929</v>
      </c>
      <c r="BN174" s="750">
        <f t="shared" si="48"/>
        <v>3269.6480725007714</v>
      </c>
      <c r="BO174" s="751">
        <f t="shared" si="48"/>
        <v>18124.193450446423</v>
      </c>
      <c r="BP174" s="750">
        <f t="shared" si="48"/>
        <v>-75.35992047804757</v>
      </c>
      <c r="BQ174" s="750">
        <f t="shared" si="48"/>
        <v>0</v>
      </c>
      <c r="BR174" s="750">
        <f t="shared" si="48"/>
        <v>0</v>
      </c>
      <c r="BS174" s="750">
        <f t="shared" si="48"/>
        <v>0</v>
      </c>
      <c r="BT174" s="751">
        <f t="shared" si="48"/>
        <v>-50.085399092487933</v>
      </c>
      <c r="BU174" s="750">
        <f t="shared" si="48"/>
        <v>0</v>
      </c>
      <c r="BV174" s="750">
        <f t="shared" si="48"/>
        <v>0</v>
      </c>
      <c r="BW174" s="750">
        <f t="shared" si="48"/>
        <v>0</v>
      </c>
      <c r="BX174" s="750">
        <f t="shared" si="48"/>
        <v>0</v>
      </c>
      <c r="BY174" s="751">
        <f t="shared" si="48"/>
        <v>0</v>
      </c>
      <c r="BZ174" s="750">
        <f t="shared" si="48"/>
        <v>0</v>
      </c>
      <c r="CA174" s="750">
        <f t="shared" si="48"/>
        <v>0</v>
      </c>
      <c r="CB174" s="750">
        <f t="shared" si="48"/>
        <v>0</v>
      </c>
      <c r="CC174" s="750">
        <f t="shared" si="48"/>
        <v>0</v>
      </c>
      <c r="CD174" s="751">
        <f t="shared" si="48"/>
        <v>0</v>
      </c>
    </row>
    <row r="175" spans="2:82">
      <c r="B175" s="725" t="s">
        <v>353</v>
      </c>
      <c r="C175" s="129"/>
      <c r="D175" s="129"/>
      <c r="E175" s="129"/>
      <c r="F175" s="129"/>
      <c r="G175" s="667"/>
      <c r="H175" s="129"/>
      <c r="I175" s="129"/>
      <c r="J175" s="129"/>
      <c r="K175" s="129"/>
      <c r="L175" s="667"/>
      <c r="M175" s="129"/>
      <c r="N175" s="129"/>
      <c r="O175" s="129"/>
      <c r="P175" s="129"/>
      <c r="Q175" s="667"/>
      <c r="R175" s="129"/>
      <c r="S175" s="129"/>
      <c r="T175" s="129"/>
      <c r="U175" s="129"/>
      <c r="V175" s="667"/>
      <c r="W175" s="129"/>
      <c r="X175" s="129"/>
      <c r="Y175" s="129"/>
      <c r="Z175" s="129"/>
      <c r="AA175" s="667"/>
      <c r="AB175" s="129"/>
      <c r="AC175" s="129"/>
      <c r="AD175" s="129"/>
      <c r="AE175" s="129"/>
      <c r="AF175" s="667"/>
      <c r="AG175" s="129"/>
      <c r="AH175" s="129"/>
      <c r="AI175" s="129"/>
      <c r="AJ175" s="129"/>
      <c r="AK175" s="667"/>
      <c r="AL175" s="752"/>
      <c r="AM175" s="752"/>
      <c r="AN175" s="752"/>
      <c r="AO175" s="752"/>
      <c r="AP175" s="667"/>
      <c r="AQ175" s="731">
        <f>+AQ174/AQ6</f>
        <v>3.2717162392422059E-3</v>
      </c>
      <c r="AR175" s="731">
        <f>+AR174/AR6</f>
        <v>1.8525478933542824E-2</v>
      </c>
      <c r="AS175" s="731">
        <f>+AS174/AS6</f>
        <v>1.168641459542814E-2</v>
      </c>
      <c r="AT175" s="731">
        <f>+AT174/AT6</f>
        <v>-2.9831039190665317E-2</v>
      </c>
      <c r="AU175" s="729">
        <f>+AU174/AU6</f>
        <v>-2.7010222967973875E-4</v>
      </c>
      <c r="AV175" s="731">
        <f>+AV174/AQ6</f>
        <v>-8.360991312807721E-2</v>
      </c>
      <c r="AW175" s="731">
        <f>+AW174/AR6</f>
        <v>-0.10068962240444239</v>
      </c>
      <c r="AX175" s="731">
        <f>+AX174/AS6</f>
        <v>-0.10214994791782871</v>
      </c>
      <c r="AY175" s="731">
        <f>+AY174/AT6</f>
        <v>-6.8865823958756359E-2</v>
      </c>
      <c r="AZ175" s="729">
        <f>+AZ174/AZ6</f>
        <v>-7.32399586967626E-2</v>
      </c>
      <c r="BA175" s="731">
        <f>+BA174/AV6</f>
        <v>-3.102819169428182E-2</v>
      </c>
      <c r="BB175" s="731">
        <f>+BB174/AW6</f>
        <v>-1.284081588739764E-2</v>
      </c>
      <c r="BC175" s="731">
        <f>+BC174/AX6</f>
        <v>-1.8260570082456327E-2</v>
      </c>
      <c r="BD175" s="731">
        <f>+BD174/AY6</f>
        <v>-3.4356054663937478E-2</v>
      </c>
      <c r="BE175" s="729">
        <f>+BE174/BE6</f>
        <v>-1.9360725543197184E-2</v>
      </c>
      <c r="BF175" s="731">
        <f>+BF174/BA6</f>
        <v>-2.0268167174940128E-2</v>
      </c>
      <c r="BG175" s="731">
        <f>+BG174/BB6</f>
        <v>-2.0719107526994424E-2</v>
      </c>
      <c r="BH175" s="731">
        <f>+BH174/BC6</f>
        <v>8.8424320311594681E-3</v>
      </c>
      <c r="BI175" s="731">
        <f>+BI174/BD6</f>
        <v>4.0823186053540003E-2</v>
      </c>
      <c r="BJ175" s="729">
        <f>+BJ174/BJ6</f>
        <v>2.5741638148394732E-3</v>
      </c>
      <c r="BK175" s="731">
        <f>+BK174/BF6</f>
        <v>5.8579950575171909E-2</v>
      </c>
      <c r="BL175" s="731">
        <f>+BL174/BG6</f>
        <v>4.6408514579715753E-2</v>
      </c>
      <c r="BM175" s="731">
        <f>+BM174/BH6</f>
        <v>2.8796210289748048E-2</v>
      </c>
      <c r="BN175" s="731">
        <f>+BN174/BI6</f>
        <v>2.467379596650018E-2</v>
      </c>
      <c r="BO175" s="729">
        <f>+BO174/BO6</f>
        <v>3.0845829844010655E-2</v>
      </c>
      <c r="BP175" s="731">
        <f>+BP174/BK6</f>
        <v>-5.6933849443993514E-4</v>
      </c>
      <c r="BQ175" s="731">
        <f>+BQ174/BL6</f>
        <v>0</v>
      </c>
      <c r="BR175" s="731">
        <f>+BR174/BM6</f>
        <v>0</v>
      </c>
      <c r="BS175" s="731">
        <f>+BS174/BN6</f>
        <v>0</v>
      </c>
      <c r="BT175" s="729">
        <f>+BT174/BT6</f>
        <v>-6.9421805239602873E-5</v>
      </c>
      <c r="BU175" s="731">
        <f>+BU174/BP6</f>
        <v>0</v>
      </c>
      <c r="BV175" s="731">
        <f>+BV174/BQ6</f>
        <v>0</v>
      </c>
      <c r="BW175" s="731">
        <f>+BW174/BR6</f>
        <v>0</v>
      </c>
      <c r="BX175" s="731">
        <f>+BX174/BS6</f>
        <v>0</v>
      </c>
      <c r="BY175" s="729">
        <f>+BY174/BY6</f>
        <v>0</v>
      </c>
      <c r="BZ175" s="731">
        <f>+BZ174/BU6</f>
        <v>0</v>
      </c>
      <c r="CA175" s="731">
        <f>+CA174/BV6</f>
        <v>0</v>
      </c>
      <c r="CB175" s="731">
        <f>+CB174/BW6</f>
        <v>0</v>
      </c>
      <c r="CC175" s="731">
        <f>+CC174/BX6</f>
        <v>0</v>
      </c>
      <c r="CD175" s="729">
        <f>+CD174/CD6</f>
        <v>0</v>
      </c>
    </row>
    <row r="176" spans="2:82">
      <c r="B176" s="725"/>
      <c r="C176" s="129"/>
      <c r="D176" s="129"/>
      <c r="E176" s="129"/>
      <c r="F176" s="129"/>
      <c r="G176" s="667"/>
      <c r="H176" s="129"/>
      <c r="I176" s="129"/>
      <c r="J176" s="129"/>
      <c r="K176" s="129"/>
      <c r="L176" s="667"/>
      <c r="M176" s="129"/>
      <c r="N176" s="129"/>
      <c r="O176" s="129"/>
      <c r="P176" s="129"/>
      <c r="Q176" s="667"/>
      <c r="R176" s="129"/>
      <c r="S176" s="129"/>
      <c r="T176" s="129"/>
      <c r="U176" s="129"/>
      <c r="V176" s="667"/>
      <c r="W176" s="129"/>
      <c r="X176" s="129"/>
      <c r="Y176" s="129"/>
      <c r="Z176" s="129"/>
      <c r="AA176" s="667"/>
      <c r="AB176" s="129"/>
      <c r="AC176" s="129"/>
      <c r="AD176" s="129"/>
      <c r="AE176" s="129"/>
      <c r="AF176" s="667"/>
      <c r="AG176" s="129"/>
      <c r="AH176" s="129"/>
      <c r="AI176" s="129"/>
      <c r="AJ176" s="129"/>
      <c r="AK176" s="667"/>
      <c r="AL176" s="752"/>
      <c r="AM176" s="752"/>
      <c r="AN176" s="752"/>
      <c r="AO176" s="752"/>
      <c r="AP176" s="667"/>
      <c r="AQ176" s="752"/>
      <c r="AR176" s="752"/>
      <c r="AS176" s="752"/>
      <c r="AT176" s="752"/>
      <c r="AU176" s="753"/>
      <c r="AV176" s="754"/>
      <c r="AW176" s="754"/>
      <c r="AX176" s="754"/>
      <c r="AY176" s="754"/>
      <c r="AZ176" s="753"/>
      <c r="BA176" s="754"/>
      <c r="BB176" s="754"/>
      <c r="BC176" s="754"/>
      <c r="BD176" s="754"/>
      <c r="BE176" s="753"/>
      <c r="BF176" s="754"/>
      <c r="BG176" s="754"/>
      <c r="BH176" s="754"/>
      <c r="BI176" s="754"/>
      <c r="BJ176" s="753"/>
      <c r="BK176" s="754"/>
      <c r="BL176" s="754"/>
      <c r="BM176" s="754"/>
      <c r="BN176" s="754"/>
      <c r="BO176" s="753"/>
      <c r="BP176" s="754"/>
      <c r="BQ176" s="754"/>
      <c r="BR176" s="754"/>
      <c r="BS176" s="754"/>
      <c r="BT176" s="753"/>
      <c r="BU176" s="754"/>
      <c r="BV176" s="754"/>
      <c r="BW176" s="754"/>
      <c r="BX176" s="754"/>
      <c r="BY176" s="753"/>
      <c r="BZ176" s="754"/>
      <c r="CA176" s="754"/>
      <c r="CB176" s="754"/>
      <c r="CC176" s="754"/>
      <c r="CD176" s="753"/>
    </row>
    <row r="177" spans="2:82">
      <c r="B177" s="725" t="s">
        <v>354</v>
      </c>
      <c r="C177" s="129"/>
      <c r="D177" s="129"/>
      <c r="E177" s="129"/>
      <c r="F177" s="129"/>
      <c r="G177" s="667"/>
      <c r="H177" s="129"/>
      <c r="I177" s="129"/>
      <c r="J177" s="129"/>
      <c r="K177" s="129"/>
      <c r="L177" s="667"/>
      <c r="M177" s="129"/>
      <c r="N177" s="129"/>
      <c r="O177" s="129"/>
      <c r="P177" s="129"/>
      <c r="Q177" s="667"/>
      <c r="R177" s="746"/>
      <c r="S177" s="746"/>
      <c r="T177" s="746"/>
      <c r="U177" s="746"/>
      <c r="V177" s="667"/>
      <c r="W177" s="746">
        <f t="shared" ref="W177:Z178" si="49">W226</f>
        <v>0</v>
      </c>
      <c r="X177" s="746">
        <f t="shared" si="49"/>
        <v>0</v>
      </c>
      <c r="Y177" s="746">
        <f t="shared" si="49"/>
        <v>0</v>
      </c>
      <c r="Z177" s="746">
        <f t="shared" si="49"/>
        <v>0</v>
      </c>
      <c r="AA177" s="667"/>
      <c r="AB177" s="746">
        <f t="shared" ref="AB177:AE178" si="50">AB226</f>
        <v>0</v>
      </c>
      <c r="AC177" s="746">
        <f t="shared" si="50"/>
        <v>0</v>
      </c>
      <c r="AD177" s="746">
        <f t="shared" si="50"/>
        <v>0</v>
      </c>
      <c r="AE177" s="746">
        <f t="shared" si="50"/>
        <v>0</v>
      </c>
      <c r="AF177" s="667"/>
      <c r="AG177" s="746">
        <f t="shared" ref="AG177:AJ178" si="51">AG233</f>
        <v>0.23737299904977704</v>
      </c>
      <c r="AH177" s="746">
        <f t="shared" si="51"/>
        <v>0.19862918377287597</v>
      </c>
      <c r="AI177" s="746">
        <f t="shared" si="51"/>
        <v>0.20070350385902613</v>
      </c>
      <c r="AJ177" s="746">
        <f t="shared" si="51"/>
        <v>0.24265851612129929</v>
      </c>
      <c r="AK177" s="667"/>
      <c r="AL177" s="746">
        <f t="shared" ref="AL177:AO178" si="52">AL233</f>
        <v>0.21215701332073134</v>
      </c>
      <c r="AM177" s="746">
        <f t="shared" si="52"/>
        <v>0.24272154654436728</v>
      </c>
      <c r="AN177" s="746">
        <f t="shared" si="52"/>
        <v>0.24682158195625581</v>
      </c>
      <c r="AO177" s="746">
        <f t="shared" si="52"/>
        <v>0.25326742223293941</v>
      </c>
      <c r="AP177" s="667"/>
      <c r="AQ177" s="746">
        <f t="shared" ref="AQ177:AT178" si="53">AQ233</f>
        <v>0.26720272904483422</v>
      </c>
      <c r="AR177" s="746">
        <f t="shared" si="53"/>
        <v>0.28573096956531896</v>
      </c>
      <c r="AS177" s="746">
        <f t="shared" si="53"/>
        <v>0.29059926546068393</v>
      </c>
      <c r="AT177" s="746">
        <f t="shared" si="53"/>
        <v>0.23710388086121648</v>
      </c>
      <c r="AU177" s="753"/>
      <c r="AV177" s="746">
        <f t="shared" ref="AV177:AY178" si="54">AV7</f>
        <v>0.1741001564945226</v>
      </c>
      <c r="AW177" s="746">
        <f t="shared" si="54"/>
        <v>0.18940355329949243</v>
      </c>
      <c r="AX177" s="746">
        <f t="shared" si="54"/>
        <v>0.22571497318850553</v>
      </c>
      <c r="AY177" s="746">
        <f t="shared" si="54"/>
        <v>0.25837762534260067</v>
      </c>
      <c r="AZ177" s="753"/>
      <c r="BA177" s="746">
        <f t="shared" ref="BA177:BD178" si="55">BA7</f>
        <v>0.31002364291267992</v>
      </c>
      <c r="BB177" s="746">
        <f t="shared" si="55"/>
        <v>0.30053940310008587</v>
      </c>
      <c r="BC177" s="746">
        <f t="shared" si="55"/>
        <v>0.2464769970694225</v>
      </c>
      <c r="BD177" s="746">
        <f t="shared" si="55"/>
        <v>0.21189622391759522</v>
      </c>
      <c r="BE177" s="753"/>
      <c r="BF177" s="746">
        <f>BF7</f>
        <v>0.21899490061652882</v>
      </c>
      <c r="BG177" s="746"/>
      <c r="BH177" s="746"/>
      <c r="BI177" s="746"/>
      <c r="BJ177" s="753"/>
      <c r="BK177" s="754"/>
      <c r="BL177" s="754"/>
      <c r="BM177" s="754"/>
      <c r="BN177" s="754"/>
      <c r="BO177" s="753"/>
      <c r="BP177" s="754"/>
      <c r="BQ177" s="754"/>
      <c r="BR177" s="754"/>
      <c r="BS177" s="754"/>
      <c r="BT177" s="753"/>
      <c r="BU177" s="754"/>
      <c r="BV177" s="754"/>
      <c r="BW177" s="754"/>
      <c r="BX177" s="754"/>
      <c r="BY177" s="753"/>
      <c r="BZ177" s="754"/>
      <c r="CA177" s="754"/>
      <c r="CB177" s="754"/>
      <c r="CC177" s="754"/>
      <c r="CD177" s="753"/>
    </row>
    <row r="178" spans="2:82">
      <c r="B178" s="725" t="s">
        <v>355</v>
      </c>
      <c r="C178" s="129"/>
      <c r="D178" s="129"/>
      <c r="E178" s="129"/>
      <c r="F178" s="129"/>
      <c r="G178" s="667"/>
      <c r="H178" s="129"/>
      <c r="I178" s="129"/>
      <c r="J178" s="129"/>
      <c r="K178" s="129"/>
      <c r="L178" s="667"/>
      <c r="M178" s="129"/>
      <c r="N178" s="129"/>
      <c r="O178" s="129"/>
      <c r="P178" s="129"/>
      <c r="Q178" s="667"/>
      <c r="R178" s="746"/>
      <c r="S178" s="746"/>
      <c r="T178" s="746"/>
      <c r="U178" s="746"/>
      <c r="V178" s="667"/>
      <c r="W178" s="746">
        <f t="shared" si="49"/>
        <v>0</v>
      </c>
      <c r="X178" s="746">
        <f t="shared" si="49"/>
        <v>0</v>
      </c>
      <c r="Y178" s="746">
        <f t="shared" si="49"/>
        <v>0</v>
      </c>
      <c r="Z178" s="746">
        <f t="shared" si="49"/>
        <v>0</v>
      </c>
      <c r="AA178" s="667"/>
      <c r="AB178" s="746">
        <f t="shared" si="50"/>
        <v>0</v>
      </c>
      <c r="AC178" s="746">
        <f t="shared" si="50"/>
        <v>0</v>
      </c>
      <c r="AD178" s="746">
        <f t="shared" si="50"/>
        <v>0</v>
      </c>
      <c r="AE178" s="746">
        <f t="shared" si="50"/>
        <v>0</v>
      </c>
      <c r="AF178" s="667"/>
      <c r="AG178" s="746">
        <f t="shared" si="51"/>
        <v>0.25</v>
      </c>
      <c r="AH178" s="746">
        <f t="shared" si="51"/>
        <v>0.23</v>
      </c>
      <c r="AI178" s="746">
        <f t="shared" si="51"/>
        <v>0.23</v>
      </c>
      <c r="AJ178" s="746">
        <f t="shared" si="51"/>
        <v>0.25</v>
      </c>
      <c r="AK178" s="667"/>
      <c r="AL178" s="746">
        <f t="shared" si="52"/>
        <v>0.22</v>
      </c>
      <c r="AM178" s="746">
        <f t="shared" si="52"/>
        <v>0.25</v>
      </c>
      <c r="AN178" s="746">
        <f t="shared" si="52"/>
        <v>0.25</v>
      </c>
      <c r="AO178" s="746">
        <f t="shared" si="52"/>
        <v>0.25</v>
      </c>
      <c r="AP178" s="667"/>
      <c r="AQ178" s="746">
        <f t="shared" si="53"/>
        <v>0.26</v>
      </c>
      <c r="AR178" s="746">
        <f t="shared" si="53"/>
        <v>0.26</v>
      </c>
      <c r="AS178" s="746">
        <f t="shared" si="53"/>
        <v>0.28000000000000003</v>
      </c>
      <c r="AT178" s="746">
        <f t="shared" si="53"/>
        <v>0.27</v>
      </c>
      <c r="AU178" s="753"/>
      <c r="AV178" s="746">
        <f t="shared" si="54"/>
        <v>0.25</v>
      </c>
      <c r="AW178" s="746">
        <f t="shared" si="54"/>
        <v>0.27</v>
      </c>
      <c r="AX178" s="746">
        <f t="shared" si="54"/>
        <v>0.27</v>
      </c>
      <c r="AY178" s="746">
        <f t="shared" si="54"/>
        <v>0.28999999999999998</v>
      </c>
      <c r="AZ178" s="753"/>
      <c r="BA178" s="746">
        <f t="shared" si="55"/>
        <v>0.31</v>
      </c>
      <c r="BB178" s="746">
        <f t="shared" si="55"/>
        <v>0.28999999999999998</v>
      </c>
      <c r="BC178" s="746">
        <f t="shared" si="55"/>
        <v>0.27</v>
      </c>
      <c r="BD178" s="746">
        <f t="shared" si="55"/>
        <v>0.25</v>
      </c>
      <c r="BE178" s="753"/>
      <c r="BF178" s="746">
        <f>BF8</f>
        <v>0.24</v>
      </c>
      <c r="BG178" s="746"/>
      <c r="BH178" s="746"/>
      <c r="BI178" s="746"/>
      <c r="BJ178" s="753"/>
      <c r="BK178" s="754"/>
      <c r="BL178" s="754"/>
      <c r="BM178" s="754"/>
      <c r="BN178" s="754"/>
      <c r="BO178" s="753"/>
      <c r="BP178" s="754"/>
      <c r="BQ178" s="754"/>
      <c r="BR178" s="754"/>
      <c r="BS178" s="754"/>
      <c r="BT178" s="753"/>
      <c r="BU178" s="754"/>
      <c r="BV178" s="754"/>
      <c r="BW178" s="754"/>
      <c r="BX178" s="754"/>
      <c r="BY178" s="753"/>
      <c r="BZ178" s="754"/>
      <c r="CA178" s="754"/>
      <c r="CB178" s="754"/>
      <c r="CC178" s="754"/>
      <c r="CD178" s="753"/>
    </row>
    <row r="179" spans="2:82">
      <c r="B179" s="725" t="s">
        <v>356</v>
      </c>
      <c r="C179" s="129"/>
      <c r="D179" s="129"/>
      <c r="E179" s="129"/>
      <c r="F179" s="129"/>
      <c r="G179" s="667"/>
      <c r="H179" s="129"/>
      <c r="I179" s="129"/>
      <c r="J179" s="129"/>
      <c r="K179" s="129"/>
      <c r="L179" s="667"/>
      <c r="M179" s="129"/>
      <c r="N179" s="129"/>
      <c r="O179" s="129"/>
      <c r="P179" s="129"/>
      <c r="Q179" s="667"/>
      <c r="R179" s="746"/>
      <c r="S179" s="746"/>
      <c r="T179" s="746"/>
      <c r="U179" s="746"/>
      <c r="V179" s="667"/>
      <c r="W179" s="746">
        <f>W177-W178</f>
        <v>0</v>
      </c>
      <c r="X179" s="746">
        <f>X177-X178</f>
        <v>0</v>
      </c>
      <c r="Y179" s="746">
        <f>Y177-Y178</f>
        <v>0</v>
      </c>
      <c r="Z179" s="746">
        <f>Z177-Z178</f>
        <v>0</v>
      </c>
      <c r="AA179" s="667"/>
      <c r="AB179" s="746">
        <f>AB177-AB178</f>
        <v>0</v>
      </c>
      <c r="AC179" s="746">
        <f>AC177-AC178</f>
        <v>0</v>
      </c>
      <c r="AD179" s="746">
        <f>AD177-AD178</f>
        <v>0</v>
      </c>
      <c r="AE179" s="746">
        <f>AE177-AE178</f>
        <v>0</v>
      </c>
      <c r="AF179" s="667"/>
      <c r="AG179" s="746">
        <f>AG177-AG178</f>
        <v>-1.2627000950222955E-2</v>
      </c>
      <c r="AH179" s="746">
        <f>AH177-AH178</f>
        <v>-3.1370816227124038E-2</v>
      </c>
      <c r="AI179" s="746">
        <f>AI177-AI178</f>
        <v>-2.9296496140973877E-2</v>
      </c>
      <c r="AJ179" s="746">
        <f>AJ177-AJ178</f>
        <v>-7.3414838787007053E-3</v>
      </c>
      <c r="AK179" s="667"/>
      <c r="AL179" s="746">
        <f>AL177-AL178</f>
        <v>-7.8429866792686653E-3</v>
      </c>
      <c r="AM179" s="746">
        <f>AM177-AM178</f>
        <v>-7.2784534556327163E-3</v>
      </c>
      <c r="AN179" s="746">
        <f>AN177-AN178</f>
        <v>-3.1784180437441911E-3</v>
      </c>
      <c r="AO179" s="746">
        <f>AO177-AO178</f>
        <v>3.2674222329394098E-3</v>
      </c>
      <c r="AP179" s="667"/>
      <c r="AQ179" s="746">
        <f>AQ177-AQ178</f>
        <v>7.2027290448342107E-3</v>
      </c>
      <c r="AR179" s="746">
        <f>AR177-AR178</f>
        <v>2.5730969565318951E-2</v>
      </c>
      <c r="AS179" s="746">
        <f>AS177-AS178</f>
        <v>1.0599265460683904E-2</v>
      </c>
      <c r="AT179" s="746">
        <f>AT177-AT178</f>
        <v>-3.2896119138783542E-2</v>
      </c>
      <c r="AU179" s="753"/>
      <c r="AV179" s="755">
        <f>AV177-AV178</f>
        <v>-7.5899843505477405E-2</v>
      </c>
      <c r="AW179" s="755">
        <f>AW177-AW178</f>
        <v>-8.0596446700507585E-2</v>
      </c>
      <c r="AX179" s="755">
        <f>AX177-AX178</f>
        <v>-4.4285026811494488E-2</v>
      </c>
      <c r="AY179" s="755">
        <f>AY177-AY178</f>
        <v>-3.162237465739931E-2</v>
      </c>
      <c r="AZ179" s="756">
        <f>((AV179*AQ6)+(AW179*AR6)+(AX179*AS6)+(AY179*AT6))/AU6</f>
        <v>-5.6733692756835048E-2</v>
      </c>
      <c r="BA179" s="755">
        <f>BA177-BA178</f>
        <v>2.3642912679922024E-5</v>
      </c>
      <c r="BB179" s="755">
        <f>BB177-BB178</f>
        <v>1.0539403100085887E-2</v>
      </c>
      <c r="BC179" s="755">
        <f>BC177-BC178</f>
        <v>-2.3523002930577519E-2</v>
      </c>
      <c r="BD179" s="755">
        <f>BD177-BD178</f>
        <v>-3.8103776082404783E-2</v>
      </c>
      <c r="BE179" s="756">
        <f>((BA179*AV6)+(BB179*AW6)+(BC179*AX6)+(BD179*AY6))/AZ6</f>
        <v>-1.434317694193128E-2</v>
      </c>
      <c r="BF179" s="755">
        <f>BF177-BF178</f>
        <v>-2.1005099383471171E-2</v>
      </c>
      <c r="BG179" s="755">
        <f>BG175-0.6%</f>
        <v>-2.6719107526994426E-2</v>
      </c>
      <c r="BH179" s="755">
        <f>BH175-0.6%</f>
        <v>2.842432031159468E-3</v>
      </c>
      <c r="BI179" s="755">
        <f>BI175-1.4%</f>
        <v>2.6823186053540005E-2</v>
      </c>
      <c r="BJ179" s="756">
        <f>((BF179*BA6)+(BG179*BB6)+(BH179*BC6)+(BI179*BD6))/BE6</f>
        <v>-3.1257394474551018E-3</v>
      </c>
      <c r="BK179" s="728">
        <f>BK175*0.9</f>
        <v>5.2721955517654719E-2</v>
      </c>
      <c r="BL179" s="728">
        <f>BL175</f>
        <v>4.6408514579715753E-2</v>
      </c>
      <c r="BM179" s="728">
        <f>BM175</f>
        <v>2.8796210289748048E-2</v>
      </c>
      <c r="BN179" s="728">
        <f>BN175</f>
        <v>2.467379596650018E-2</v>
      </c>
      <c r="BO179" s="756">
        <f>((BK179*BF6)+(BL179*BG6)+(BM179*BH6)+(BN179*BI6))/BJ6</f>
        <v>3.7039018453238239E-2</v>
      </c>
      <c r="BP179" s="728">
        <f>BP175</f>
        <v>-5.6933849443993514E-4</v>
      </c>
      <c r="BQ179" s="728">
        <f>BQ175</f>
        <v>0</v>
      </c>
      <c r="BR179" s="728">
        <f>BR175</f>
        <v>0</v>
      </c>
      <c r="BS179" s="728">
        <f>BS175</f>
        <v>0</v>
      </c>
      <c r="BT179" s="756">
        <f>((BP179*BK6)+(BQ179*BL6)+(BR179*BM6)+(BS179*BN6))/BO6</f>
        <v>-1.2825615056910426E-4</v>
      </c>
      <c r="BU179" s="728">
        <f>BU175</f>
        <v>0</v>
      </c>
      <c r="BV179" s="728">
        <f>BV175</f>
        <v>0</v>
      </c>
      <c r="BW179" s="728">
        <f>BW175</f>
        <v>0</v>
      </c>
      <c r="BX179" s="728">
        <f>BX175</f>
        <v>0</v>
      </c>
      <c r="BY179" s="756">
        <f>((BU179*BP6)+(BV179*BQ6)+(BW179*BR6)+(BX179*BS6))/BT6</f>
        <v>0</v>
      </c>
      <c r="BZ179" s="728">
        <f>BZ175</f>
        <v>0</v>
      </c>
      <c r="CA179" s="728">
        <f>CA175</f>
        <v>0</v>
      </c>
      <c r="CB179" s="728">
        <f>CB175</f>
        <v>0</v>
      </c>
      <c r="CC179" s="728">
        <f>CC175</f>
        <v>0</v>
      </c>
      <c r="CD179" s="756">
        <f>((BZ179*BU6)+(CA179*BV6)+(CB179*BW6)+(CC179*BX6))/BY6</f>
        <v>0</v>
      </c>
    </row>
    <row r="180" spans="2:82">
      <c r="B180" s="725"/>
      <c r="C180" s="129"/>
      <c r="D180" s="129"/>
      <c r="E180" s="129"/>
      <c r="F180" s="129"/>
      <c r="G180" s="667"/>
      <c r="H180" s="129"/>
      <c r="I180" s="129"/>
      <c r="J180" s="129"/>
      <c r="K180" s="129"/>
      <c r="L180" s="667"/>
      <c r="M180" s="129"/>
      <c r="N180" s="129"/>
      <c r="O180" s="129"/>
      <c r="P180" s="129"/>
      <c r="Q180" s="667"/>
      <c r="R180" s="129"/>
      <c r="S180" s="129"/>
      <c r="T180" s="129"/>
      <c r="U180" s="129"/>
      <c r="V180" s="667"/>
      <c r="W180" s="129"/>
      <c r="X180" s="129"/>
      <c r="Y180" s="129"/>
      <c r="Z180" s="129"/>
      <c r="AA180" s="667"/>
      <c r="AB180" s="129"/>
      <c r="AC180" s="129"/>
      <c r="AD180" s="129"/>
      <c r="AE180" s="129"/>
      <c r="AF180" s="667"/>
      <c r="AG180" s="129"/>
      <c r="AH180" s="129"/>
      <c r="AI180" s="129"/>
      <c r="AJ180" s="129"/>
      <c r="AK180" s="667"/>
      <c r="AL180" s="752"/>
      <c r="AM180" s="752"/>
      <c r="AN180" s="752"/>
      <c r="AO180" s="752"/>
      <c r="AP180" s="667"/>
      <c r="AQ180" s="746"/>
      <c r="AR180" s="746"/>
      <c r="AS180" s="746"/>
      <c r="AT180" s="746"/>
      <c r="AU180" s="753"/>
      <c r="AV180" s="746"/>
      <c r="AW180" s="746"/>
      <c r="AX180" s="746"/>
      <c r="AY180" s="746"/>
      <c r="AZ180" s="753"/>
      <c r="BA180" s="746"/>
      <c r="BB180" s="746"/>
      <c r="BC180" s="746"/>
      <c r="BD180" s="746"/>
      <c r="BE180" s="753"/>
      <c r="BF180" s="746"/>
      <c r="BG180" s="746"/>
      <c r="BH180" s="746"/>
      <c r="BI180" s="746"/>
      <c r="BJ180" s="753"/>
      <c r="BK180" s="754"/>
      <c r="BL180" s="754"/>
      <c r="BM180" s="754"/>
      <c r="BN180" s="754"/>
      <c r="BO180" s="753"/>
      <c r="BP180" s="754"/>
      <c r="BQ180" s="754"/>
      <c r="BR180" s="754"/>
      <c r="BS180" s="754"/>
      <c r="BT180" s="753"/>
      <c r="BU180" s="754"/>
      <c r="BV180" s="754"/>
      <c r="BW180" s="754"/>
      <c r="BX180" s="754"/>
      <c r="BY180" s="753"/>
      <c r="BZ180" s="754"/>
      <c r="CA180" s="754"/>
      <c r="CB180" s="754"/>
      <c r="CC180" s="754"/>
      <c r="CD180" s="753"/>
    </row>
    <row r="181" spans="2:82">
      <c r="B181" s="725" t="s">
        <v>357</v>
      </c>
      <c r="C181" s="129"/>
      <c r="D181" s="129"/>
      <c r="E181" s="129"/>
      <c r="F181" s="129"/>
      <c r="G181" s="667"/>
      <c r="H181" s="746"/>
      <c r="I181" s="746"/>
      <c r="J181" s="746"/>
      <c r="K181" s="746"/>
      <c r="L181" s="667"/>
      <c r="M181" s="746"/>
      <c r="N181" s="746"/>
      <c r="O181" s="746"/>
      <c r="P181" s="746"/>
      <c r="Q181" s="667"/>
      <c r="R181" s="746"/>
      <c r="S181" s="746"/>
      <c r="T181" s="746"/>
      <c r="U181" s="746"/>
      <c r="V181" s="667"/>
      <c r="W181" s="746"/>
      <c r="X181" s="746"/>
      <c r="Y181" s="746"/>
      <c r="Z181" s="746"/>
      <c r="AA181" s="667"/>
      <c r="AB181" s="746"/>
      <c r="AC181" s="746"/>
      <c r="AD181" s="746"/>
      <c r="AE181" s="746"/>
      <c r="AF181" s="667"/>
      <c r="AG181" s="746">
        <f t="shared" ref="AG181:AJ182" si="56">AG214</f>
        <v>0.31909503429747854</v>
      </c>
      <c r="AH181" s="746">
        <f t="shared" si="56"/>
        <v>0.26468318614421671</v>
      </c>
      <c r="AI181" s="746">
        <f t="shared" si="56"/>
        <v>0.23374054598889815</v>
      </c>
      <c r="AJ181" s="746">
        <f t="shared" si="56"/>
        <v>0.24315297800079039</v>
      </c>
      <c r="AK181" s="667"/>
      <c r="AL181" s="746">
        <f t="shared" ref="AL181:AO182" si="57">AL214</f>
        <v>0.18258212375859428</v>
      </c>
      <c r="AM181" s="746">
        <f t="shared" si="57"/>
        <v>0.19675755342667656</v>
      </c>
      <c r="AN181" s="746">
        <f t="shared" si="57"/>
        <v>0.18594436310395324</v>
      </c>
      <c r="AO181" s="746">
        <f t="shared" si="57"/>
        <v>0.19143413367942896</v>
      </c>
      <c r="AP181" s="667"/>
      <c r="AQ181" s="746">
        <f t="shared" ref="AQ181:AT182" si="58">AQ214</f>
        <v>0.19186046511627897</v>
      </c>
      <c r="AR181" s="746">
        <f t="shared" si="58"/>
        <v>0.19827586206896552</v>
      </c>
      <c r="AS181" s="746">
        <f t="shared" si="58"/>
        <v>0.20370370370370372</v>
      </c>
      <c r="AT181" s="746">
        <f t="shared" si="58"/>
        <v>0.17810457516339873</v>
      </c>
      <c r="AU181" s="753"/>
      <c r="AV181" s="746">
        <f>'Quarterly Model'!AV15</f>
        <v>0.14056654195617324</v>
      </c>
      <c r="AW181" s="746">
        <f>'Quarterly Model'!AW15</f>
        <v>0.15749621403331648</v>
      </c>
      <c r="AX181" s="746">
        <f>'Quarterly Model'!AX15</f>
        <v>0.14561136478944703</v>
      </c>
      <c r="AY181" s="746">
        <f>'Quarterly Model'!AY15</f>
        <v>0.16765646413887625</v>
      </c>
      <c r="AZ181" s="753"/>
      <c r="BA181" s="746">
        <f>'Quarterly Model'!BA15</f>
        <v>0.19212746016869731</v>
      </c>
      <c r="BB181" s="746">
        <f>'Quarterly Model'!BB15</f>
        <v>0.15569123419101616</v>
      </c>
      <c r="BC181" s="746">
        <f>'Quarterly Model'!BC15</f>
        <v>0.18113374667847659</v>
      </c>
      <c r="BD181" s="746">
        <f>'Quarterly Model'!BD15</f>
        <v>0.16627543035993742</v>
      </c>
      <c r="BE181" s="753"/>
      <c r="BF181" s="746">
        <f>'Quarterly Model'!BF15</f>
        <v>0.16941823899371067</v>
      </c>
      <c r="BG181" s="746"/>
      <c r="BH181" s="746"/>
      <c r="BI181" s="746"/>
      <c r="BJ181" s="753"/>
      <c r="BK181" s="754"/>
      <c r="BL181" s="754"/>
      <c r="BM181" s="754"/>
      <c r="BN181" s="754"/>
      <c r="BO181" s="753"/>
      <c r="BP181" s="754"/>
      <c r="BQ181" s="754"/>
      <c r="BR181" s="754"/>
      <c r="BS181" s="754"/>
      <c r="BT181" s="753"/>
      <c r="BU181" s="754"/>
      <c r="BV181" s="754"/>
      <c r="BW181" s="754"/>
      <c r="BX181" s="754"/>
      <c r="BY181" s="753"/>
      <c r="BZ181" s="754"/>
      <c r="CA181" s="754"/>
      <c r="CB181" s="754"/>
      <c r="CC181" s="754"/>
      <c r="CD181" s="753"/>
    </row>
    <row r="182" spans="2:82">
      <c r="B182" s="725" t="s">
        <v>358</v>
      </c>
      <c r="C182" s="129"/>
      <c r="D182" s="129"/>
      <c r="E182" s="129"/>
      <c r="F182" s="129"/>
      <c r="G182" s="667"/>
      <c r="H182" s="746"/>
      <c r="I182" s="746"/>
      <c r="J182" s="746"/>
      <c r="K182" s="746"/>
      <c r="L182" s="667"/>
      <c r="M182" s="746"/>
      <c r="N182" s="746"/>
      <c r="O182" s="746"/>
      <c r="P182" s="746"/>
      <c r="Q182" s="667"/>
      <c r="R182" s="746"/>
      <c r="S182" s="746"/>
      <c r="T182" s="746"/>
      <c r="U182" s="746"/>
      <c r="V182" s="667"/>
      <c r="W182" s="746"/>
      <c r="X182" s="746"/>
      <c r="Y182" s="746"/>
      <c r="Z182" s="746"/>
      <c r="AA182" s="667"/>
      <c r="AB182" s="746"/>
      <c r="AC182" s="746"/>
      <c r="AD182" s="746"/>
      <c r="AE182" s="746"/>
      <c r="AF182" s="667"/>
      <c r="AG182" s="746">
        <f t="shared" si="56"/>
        <v>0.31</v>
      </c>
      <c r="AH182" s="746">
        <f t="shared" si="56"/>
        <v>0.27</v>
      </c>
      <c r="AI182" s="746">
        <f t="shared" si="56"/>
        <v>0.24</v>
      </c>
      <c r="AJ182" s="746">
        <f t="shared" si="56"/>
        <v>0.24</v>
      </c>
      <c r="AK182" s="667"/>
      <c r="AL182" s="746">
        <f t="shared" si="57"/>
        <v>0.2</v>
      </c>
      <c r="AM182" s="746">
        <f t="shared" si="57"/>
        <v>0.21</v>
      </c>
      <c r="AN182" s="746">
        <f t="shared" si="57"/>
        <v>0.2</v>
      </c>
      <c r="AO182" s="746">
        <f t="shared" si="57"/>
        <v>0.2</v>
      </c>
      <c r="AP182" s="667"/>
      <c r="AQ182" s="746">
        <f t="shared" si="58"/>
        <v>0.2</v>
      </c>
      <c r="AR182" s="746">
        <f t="shared" si="58"/>
        <v>0.2</v>
      </c>
      <c r="AS182" s="746">
        <f t="shared" si="58"/>
        <v>0.21</v>
      </c>
      <c r="AT182" s="746">
        <f t="shared" si="58"/>
        <v>0.18</v>
      </c>
      <c r="AU182" s="753"/>
      <c r="AV182" s="746">
        <f>'Quarterly Model'!AV16</f>
        <v>0.17</v>
      </c>
      <c r="AW182" s="746">
        <f>'Quarterly Model'!AW16</f>
        <v>0.19</v>
      </c>
      <c r="AX182" s="746">
        <f>'Quarterly Model'!AX16</f>
        <v>0.19</v>
      </c>
      <c r="AY182" s="746">
        <f>'Quarterly Model'!AY16</f>
        <v>0.21</v>
      </c>
      <c r="AZ182" s="753"/>
      <c r="BA182" s="746">
        <f>'Quarterly Model'!BA16</f>
        <v>0.23</v>
      </c>
      <c r="BB182" s="746">
        <f>'Quarterly Model'!BB16</f>
        <v>0.19</v>
      </c>
      <c r="BC182" s="746">
        <f>'Quarterly Model'!BC16</f>
        <v>0.21</v>
      </c>
      <c r="BD182" s="746">
        <f>'Quarterly Model'!BD16</f>
        <v>0.19</v>
      </c>
      <c r="BE182" s="753"/>
      <c r="BF182" s="746">
        <f>'Quarterly Model'!BF16</f>
        <v>0.19</v>
      </c>
      <c r="BG182" s="746"/>
      <c r="BH182" s="746"/>
      <c r="BI182" s="746"/>
      <c r="BJ182" s="753"/>
      <c r="BK182" s="754"/>
      <c r="BL182" s="754"/>
      <c r="BM182" s="754"/>
      <c r="BN182" s="754"/>
      <c r="BO182" s="753"/>
      <c r="BP182" s="754"/>
      <c r="BQ182" s="754"/>
      <c r="BR182" s="754"/>
      <c r="BS182" s="754"/>
      <c r="BT182" s="753"/>
      <c r="BU182" s="754"/>
      <c r="BV182" s="754"/>
      <c r="BW182" s="754"/>
      <c r="BX182" s="754"/>
      <c r="BY182" s="753"/>
      <c r="BZ182" s="754"/>
      <c r="CA182" s="754"/>
      <c r="CB182" s="754"/>
      <c r="CC182" s="754"/>
      <c r="CD182" s="753"/>
    </row>
    <row r="183" spans="2:82">
      <c r="B183" s="725" t="s">
        <v>359</v>
      </c>
      <c r="C183" s="129"/>
      <c r="D183" s="129"/>
      <c r="E183" s="129"/>
      <c r="F183" s="129"/>
      <c r="G183" s="667"/>
      <c r="H183" s="746"/>
      <c r="I183" s="746"/>
      <c r="J183" s="746"/>
      <c r="K183" s="746"/>
      <c r="L183" s="667"/>
      <c r="M183" s="746"/>
      <c r="N183" s="746"/>
      <c r="O183" s="746"/>
      <c r="P183" s="746"/>
      <c r="Q183" s="667"/>
      <c r="R183" s="746"/>
      <c r="S183" s="746"/>
      <c r="T183" s="746"/>
      <c r="U183" s="746"/>
      <c r="V183" s="667"/>
      <c r="W183" s="746"/>
      <c r="X183" s="746"/>
      <c r="Y183" s="746"/>
      <c r="Z183" s="746"/>
      <c r="AA183" s="667"/>
      <c r="AB183" s="746"/>
      <c r="AC183" s="746"/>
      <c r="AD183" s="746"/>
      <c r="AE183" s="746"/>
      <c r="AF183" s="667"/>
      <c r="AG183" s="746">
        <f>AG181-AG182</f>
        <v>9.0950342974785436E-3</v>
      </c>
      <c r="AH183" s="746">
        <f>AH181-AH182</f>
        <v>-5.3168138557833089E-3</v>
      </c>
      <c r="AI183" s="746">
        <f>AI181-AI182</f>
        <v>-6.2594540111018393E-3</v>
      </c>
      <c r="AJ183" s="746">
        <f>AJ181-AJ182</f>
        <v>3.1529780007903963E-3</v>
      </c>
      <c r="AK183" s="667"/>
      <c r="AL183" s="746">
        <f>AL181-AL182</f>
        <v>-1.7417876241405728E-2</v>
      </c>
      <c r="AM183" s="746">
        <f>AM181-AM182</f>
        <v>-1.3242446573323435E-2</v>
      </c>
      <c r="AN183" s="746">
        <f>AN181-AN182</f>
        <v>-1.4055636896046775E-2</v>
      </c>
      <c r="AO183" s="746">
        <f>AO181-AO182</f>
        <v>-8.5658663205710472E-3</v>
      </c>
      <c r="AP183" s="667"/>
      <c r="AQ183" s="746">
        <f>AQ181-AQ182</f>
        <v>-8.1395348837210446E-3</v>
      </c>
      <c r="AR183" s="746">
        <f>AR181-AR182</f>
        <v>-1.7241379310344862E-3</v>
      </c>
      <c r="AS183" s="746">
        <f>AS181-AS182</f>
        <v>-6.2962962962962721E-3</v>
      </c>
      <c r="AT183" s="746">
        <f>AT181-AT182</f>
        <v>-1.8954248366012671E-3</v>
      </c>
      <c r="AU183" s="753"/>
      <c r="AV183" s="755">
        <f>AV181-AV182</f>
        <v>-2.9433458043826771E-2</v>
      </c>
      <c r="AW183" s="755">
        <f>AW181-AW182</f>
        <v>-3.2503785966683518E-2</v>
      </c>
      <c r="AX183" s="755">
        <f>AX181-AX182</f>
        <v>-4.4388635210552974E-2</v>
      </c>
      <c r="AY183" s="755">
        <f>AY181-AY182</f>
        <v>-4.2343535861123743E-2</v>
      </c>
      <c r="AZ183" s="756">
        <f>((AV183*AQ57)+(AW183*AR57)+(AX183*AS57)+(AY183*AT57))/AU57</f>
        <v>-3.7398901647528668E-2</v>
      </c>
      <c r="BA183" s="755">
        <f>BA181-BA182</f>
        <v>-3.7872539831302704E-2</v>
      </c>
      <c r="BB183" s="755">
        <f>BB181-BB182</f>
        <v>-3.4308765808983843E-2</v>
      </c>
      <c r="BC183" s="755">
        <f>BC181-BC182</f>
        <v>-2.88662533215234E-2</v>
      </c>
      <c r="BD183" s="755">
        <f>BD181-BD182</f>
        <v>-2.3724569640062587E-2</v>
      </c>
      <c r="BE183" s="756">
        <f>((BA183*AV57)+(BB183*AW57)+(BC183*AX57)+(BD183*AY57))/AZ57</f>
        <v>-3.0850994809688552E-2</v>
      </c>
      <c r="BF183" s="755">
        <f>BF181-BF182</f>
        <v>-2.0581761006289334E-2</v>
      </c>
      <c r="BG183" s="755">
        <f>BG179*BG185</f>
        <v>-2.6180608593296184E-2</v>
      </c>
      <c r="BH183" s="755">
        <f>BH179*BH185</f>
        <v>2.7851454389204613E-3</v>
      </c>
      <c r="BI183" s="755">
        <f>BI179*BI185</f>
        <v>2.6282589513269051E-2</v>
      </c>
      <c r="BJ183" s="756">
        <f>((BF183*BA57)+(BG183*BB57)+(BH183*BC57)+(BI183*BD57))/BE57</f>
        <v>-3.3169369625142076E-3</v>
      </c>
      <c r="BK183" s="728">
        <f>BK179*BK185</f>
        <v>4.2177564414123778E-2</v>
      </c>
      <c r="BL183" s="728">
        <f>BL179*BL185</f>
        <v>3.4806385934786813E-2</v>
      </c>
      <c r="BM183" s="728">
        <f>BM179*BM185</f>
        <v>2.1597157717311036E-2</v>
      </c>
      <c r="BN183" s="728">
        <f>BN179*BN185</f>
        <v>1.8505346974875134E-2</v>
      </c>
      <c r="BO183" s="756">
        <f>((BK183*BF57)+(BL183*BG57)+(BM183*BH57)+(BN183*BI57))/BJ57</f>
        <v>2.8552641923309346E-2</v>
      </c>
      <c r="BP183" s="728">
        <f>BP179*BP185</f>
        <v>0</v>
      </c>
      <c r="BQ183" s="728">
        <f>BQ179*BQ185</f>
        <v>0</v>
      </c>
      <c r="BR183" s="728">
        <f>BR179*BR185</f>
        <v>0</v>
      </c>
      <c r="BS183" s="728">
        <f>BS179*BS185</f>
        <v>0</v>
      </c>
      <c r="BT183" s="756">
        <f>((BP183*BK57)+(BQ183*BL57)+(BR183*BM57)+(BS183*BN57))/BO57</f>
        <v>0</v>
      </c>
      <c r="BU183" s="728">
        <f>BU179*BU185</f>
        <v>0</v>
      </c>
      <c r="BV183" s="728">
        <f>BV179*BV185</f>
        <v>0</v>
      </c>
      <c r="BW183" s="728">
        <f>BW179*BW185</f>
        <v>0</v>
      </c>
      <c r="BX183" s="728">
        <f>BX179*BX185</f>
        <v>0</v>
      </c>
      <c r="BY183" s="756">
        <f>((BU183*BP57)+(BV183*BQ57)+(BW183*BR57)+(BX183*BS57))/BT57</f>
        <v>0</v>
      </c>
      <c r="BZ183" s="728">
        <f>BZ179*BZ185</f>
        <v>0</v>
      </c>
      <c r="CA183" s="728">
        <f>CA179*CA185</f>
        <v>0</v>
      </c>
      <c r="CB183" s="728">
        <f>CB179*CB185</f>
        <v>0</v>
      </c>
      <c r="CC183" s="728">
        <f>CC179*CC185</f>
        <v>0</v>
      </c>
      <c r="CD183" s="756">
        <f>((BZ183*BU57)+(CA183*BV57)+(CB183*BW57)+(CC183*BX57))/BY57</f>
        <v>0</v>
      </c>
    </row>
    <row r="184" spans="2:82">
      <c r="B184" s="725"/>
      <c r="C184" s="129"/>
      <c r="D184" s="129"/>
      <c r="E184" s="129"/>
      <c r="F184" s="129"/>
      <c r="G184" s="667"/>
      <c r="H184" s="129"/>
      <c r="I184" s="129"/>
      <c r="J184" s="129"/>
      <c r="K184" s="129"/>
      <c r="L184" s="667"/>
      <c r="M184" s="129"/>
      <c r="N184" s="129"/>
      <c r="O184" s="129"/>
      <c r="P184" s="129"/>
      <c r="Q184" s="667"/>
      <c r="R184" s="129"/>
      <c r="S184" s="129"/>
      <c r="T184" s="129"/>
      <c r="U184" s="129"/>
      <c r="V184" s="667"/>
      <c r="W184" s="129"/>
      <c r="X184" s="129"/>
      <c r="Y184" s="129"/>
      <c r="Z184" s="129"/>
      <c r="AA184" s="667"/>
      <c r="AB184" s="129"/>
      <c r="AC184" s="129"/>
      <c r="AD184" s="129"/>
      <c r="AE184" s="129"/>
      <c r="AF184" s="667"/>
      <c r="AG184" s="129"/>
      <c r="AH184" s="129"/>
      <c r="AI184" s="129"/>
      <c r="AJ184" s="129"/>
      <c r="AK184" s="667"/>
      <c r="AL184" s="732"/>
      <c r="AM184" s="732"/>
      <c r="AN184" s="732"/>
      <c r="AO184" s="732"/>
      <c r="AP184" s="743"/>
      <c r="AQ184" s="732"/>
      <c r="AR184" s="732"/>
      <c r="AS184" s="732"/>
      <c r="AT184" s="732"/>
      <c r="AU184" s="743"/>
      <c r="AW184" s="757"/>
      <c r="AX184" s="757"/>
      <c r="AY184" s="757"/>
      <c r="AZ184" s="667"/>
      <c r="BA184" s="129"/>
      <c r="BB184" s="757"/>
      <c r="BC184" s="757"/>
      <c r="BD184" s="757"/>
      <c r="BE184" s="667"/>
      <c r="BF184" s="129"/>
      <c r="BG184" s="129"/>
      <c r="BH184" s="129"/>
      <c r="BI184" s="757"/>
      <c r="BJ184" s="667"/>
      <c r="BK184" s="129"/>
      <c r="BL184" s="129"/>
      <c r="BM184" s="129"/>
      <c r="BN184" s="129"/>
      <c r="BO184" s="667"/>
      <c r="BP184" s="129"/>
      <c r="BQ184" s="129"/>
      <c r="BR184" s="129"/>
      <c r="BS184" s="129"/>
      <c r="BT184" s="667"/>
      <c r="BU184" s="129"/>
      <c r="BV184" s="129"/>
      <c r="BW184" s="129"/>
      <c r="BX184" s="129"/>
      <c r="BY184" s="667"/>
      <c r="BZ184" s="129"/>
      <c r="CA184" s="129"/>
      <c r="CB184" s="129"/>
      <c r="CC184" s="129"/>
      <c r="CD184" s="667"/>
    </row>
    <row r="185" spans="2:82">
      <c r="B185" s="725" t="s">
        <v>360</v>
      </c>
      <c r="C185" s="129"/>
      <c r="D185" s="129"/>
      <c r="E185" s="129"/>
      <c r="F185" s="129"/>
      <c r="G185" s="667"/>
      <c r="H185" s="129"/>
      <c r="I185" s="129"/>
      <c r="J185" s="129"/>
      <c r="K185" s="129"/>
      <c r="L185" s="667"/>
      <c r="M185" s="129"/>
      <c r="N185" s="129"/>
      <c r="O185" s="129"/>
      <c r="P185" s="129"/>
      <c r="Q185" s="667"/>
      <c r="R185" s="129"/>
      <c r="S185" s="129"/>
      <c r="T185" s="129"/>
      <c r="U185" s="129"/>
      <c r="V185" s="667"/>
      <c r="W185" s="129"/>
      <c r="X185" s="129"/>
      <c r="Y185" s="129"/>
      <c r="Z185" s="129"/>
      <c r="AA185" s="667"/>
      <c r="AB185" s="129"/>
      <c r="AC185" s="129"/>
      <c r="AD185" s="129"/>
      <c r="AE185" s="129"/>
      <c r="AF185" s="667"/>
      <c r="AG185" s="758"/>
      <c r="AH185" s="758"/>
      <c r="AI185" s="758"/>
      <c r="AJ185" s="758"/>
      <c r="AK185" s="667"/>
      <c r="AL185" s="758"/>
      <c r="AM185" s="758"/>
      <c r="AN185" s="758"/>
      <c r="AO185" s="758"/>
      <c r="AP185" s="743"/>
      <c r="AQ185" s="732">
        <f>AQ183/AQ179</f>
        <v>-1.1300626239104066</v>
      </c>
      <c r="AR185" s="732">
        <f>AR183/AR179</f>
        <v>-6.7006333619015118E-2</v>
      </c>
      <c r="AS185" s="732">
        <f>AS183/AS179</f>
        <v>-0.59403138072645378</v>
      </c>
      <c r="AT185" s="732">
        <f>AT183/AT179</f>
        <v>5.7618493798759926E-2</v>
      </c>
      <c r="AU185" s="743"/>
      <c r="AV185" s="732">
        <f>AV183/AV179</f>
        <v>0.38779339567021204</v>
      </c>
      <c r="AW185" s="732">
        <f>AW183/AW179</f>
        <v>0.40329055804986019</v>
      </c>
      <c r="AX185" s="732">
        <f>AX183/AX179</f>
        <v>1.0023395808136124</v>
      </c>
      <c r="AY185" s="732">
        <f>AY183/AY179</f>
        <v>1.3390371950202604</v>
      </c>
      <c r="AZ185" s="667"/>
      <c r="BA185" s="732">
        <f>BA183/BA179</f>
        <v>-1601.855927990832</v>
      </c>
      <c r="BB185" s="732">
        <f>BB183/BB179</f>
        <v>-3.2552854733020182</v>
      </c>
      <c r="BC185" s="732">
        <f>BC183/BC179</f>
        <v>1.2271500117019583</v>
      </c>
      <c r="BD185" s="732">
        <f>BD183/BD179</f>
        <v>0.62263040777782397</v>
      </c>
      <c r="BE185" s="667"/>
      <c r="BF185" s="732">
        <f>BF183/BF179</f>
        <v>0.97984592362771872</v>
      </c>
      <c r="BG185" s="732">
        <f>+BF185</f>
        <v>0.97984592362771872</v>
      </c>
      <c r="BH185" s="732">
        <f>+BG185</f>
        <v>0.97984592362771872</v>
      </c>
      <c r="BI185" s="732">
        <f>+BH185</f>
        <v>0.97984592362771872</v>
      </c>
      <c r="BJ185" s="667"/>
      <c r="BK185" s="732">
        <v>0.8</v>
      </c>
      <c r="BL185" s="732">
        <v>0.75</v>
      </c>
      <c r="BM185" s="732">
        <f>+BL185</f>
        <v>0.75</v>
      </c>
      <c r="BN185" s="732">
        <f>+BM185</f>
        <v>0.75</v>
      </c>
      <c r="BO185" s="667"/>
      <c r="BP185" s="129"/>
      <c r="BQ185" s="129"/>
      <c r="BR185" s="129"/>
      <c r="BS185" s="129"/>
      <c r="BT185" s="667"/>
      <c r="BU185" s="129"/>
      <c r="BV185" s="129"/>
      <c r="BW185" s="129"/>
      <c r="BX185" s="129"/>
      <c r="BY185" s="667"/>
      <c r="BZ185" s="129"/>
      <c r="CA185" s="129"/>
      <c r="CB185" s="129"/>
      <c r="CC185" s="129"/>
      <c r="CD185" s="667"/>
    </row>
    <row r="186" spans="2:82">
      <c r="B186" s="725"/>
      <c r="C186" s="129"/>
      <c r="D186" s="129"/>
      <c r="E186" s="129"/>
      <c r="F186" s="129"/>
      <c r="G186" s="667"/>
      <c r="H186" s="129"/>
      <c r="I186" s="129"/>
      <c r="J186" s="129"/>
      <c r="K186" s="129"/>
      <c r="L186" s="667"/>
      <c r="M186" s="129"/>
      <c r="N186" s="129"/>
      <c r="O186" s="129"/>
      <c r="P186" s="129"/>
      <c r="Q186" s="667"/>
      <c r="R186" s="129"/>
      <c r="S186" s="129"/>
      <c r="T186" s="129"/>
      <c r="U186" s="129"/>
      <c r="V186" s="667"/>
      <c r="W186" s="129"/>
      <c r="X186" s="129"/>
      <c r="Y186" s="129"/>
      <c r="Z186" s="129"/>
      <c r="AA186" s="667"/>
      <c r="AB186" s="129"/>
      <c r="AC186" s="129"/>
      <c r="AD186" s="129"/>
      <c r="AE186" s="129"/>
      <c r="AF186" s="667"/>
      <c r="AG186" s="129"/>
      <c r="AH186" s="129"/>
      <c r="AI186" s="129"/>
      <c r="AJ186" s="129"/>
      <c r="AK186" s="667"/>
      <c r="AL186" s="732"/>
      <c r="AM186" s="732"/>
      <c r="AN186" s="732"/>
      <c r="AO186" s="732"/>
      <c r="AP186" s="743"/>
      <c r="AQ186" s="732"/>
      <c r="AR186" s="732"/>
      <c r="AS186" s="732"/>
      <c r="AT186" s="732"/>
      <c r="AU186" s="743"/>
      <c r="AV186" s="732"/>
      <c r="AZ186" s="667"/>
      <c r="BA186" s="129"/>
      <c r="BE186" s="667"/>
      <c r="BF186" s="129"/>
      <c r="BG186" s="129"/>
      <c r="BH186" s="129"/>
      <c r="BJ186" s="667"/>
      <c r="BK186" s="129"/>
      <c r="BL186" s="129"/>
      <c r="BM186" s="129"/>
      <c r="BN186" s="129"/>
      <c r="BO186" s="667"/>
      <c r="BP186" s="129"/>
      <c r="BQ186" s="129"/>
      <c r="BR186" s="129"/>
      <c r="BS186" s="129"/>
      <c r="BT186" s="667"/>
      <c r="BU186" s="129"/>
      <c r="BV186" s="129"/>
      <c r="BW186" s="129"/>
      <c r="BX186" s="129"/>
      <c r="BY186" s="667"/>
      <c r="BZ186" s="129"/>
      <c r="CA186" s="129"/>
      <c r="CB186" s="129"/>
      <c r="CC186" s="129"/>
      <c r="CD186" s="667"/>
    </row>
    <row r="187" spans="2:82">
      <c r="B187" s="725" t="s">
        <v>361</v>
      </c>
      <c r="C187" s="129"/>
      <c r="D187" s="129"/>
      <c r="E187" s="129"/>
      <c r="F187" s="129"/>
      <c r="G187" s="667"/>
      <c r="H187" s="129"/>
      <c r="I187" s="129"/>
      <c r="J187" s="129"/>
      <c r="K187" s="129"/>
      <c r="L187" s="667"/>
      <c r="M187" s="129"/>
      <c r="N187" s="129"/>
      <c r="O187" s="129"/>
      <c r="P187" s="129"/>
      <c r="Q187" s="667"/>
      <c r="R187" s="129"/>
      <c r="S187" s="129"/>
      <c r="T187" s="129"/>
      <c r="U187" s="129"/>
      <c r="V187" s="667"/>
      <c r="W187" s="129"/>
      <c r="X187" s="129"/>
      <c r="Y187" s="129"/>
      <c r="Z187" s="129"/>
      <c r="AA187" s="667"/>
      <c r="AB187" s="731"/>
      <c r="AC187" s="731"/>
      <c r="AD187" s="731"/>
      <c r="AE187" s="731"/>
      <c r="AF187" s="667"/>
      <c r="AG187" s="731">
        <f>(1+AG183)/(1+AG179)-1</f>
        <v>2.1999827085211088E-2</v>
      </c>
      <c r="AH187" s="731">
        <f>(1+AH183)/(1+AH179)-1</f>
        <v>2.6897808581255678E-2</v>
      </c>
      <c r="AI187" s="731">
        <f>(1+AI183)/(1+AI179)-1</f>
        <v>2.373231582897195E-2</v>
      </c>
      <c r="AJ187" s="731">
        <f>(1+AJ183)/(1+AJ179)-1</f>
        <v>1.0572076609484116E-2</v>
      </c>
      <c r="AK187" s="667"/>
      <c r="AL187" s="731">
        <f>(1+AL183)/(1+AL179)-1</f>
        <v>-9.6505789240858286E-3</v>
      </c>
      <c r="AM187" s="731">
        <f>(1+AM183)/(1+AM179)-1</f>
        <v>-6.0077200282910859E-3</v>
      </c>
      <c r="AN187" s="731">
        <f>(1+AN183)/(1+AN179)-1</f>
        <v>-1.0911901436720606E-2</v>
      </c>
      <c r="AO187" s="731">
        <f>(1+AO183)/(1+AO179)-1</f>
        <v>-1.1794750124720976E-2</v>
      </c>
      <c r="AP187" s="743"/>
      <c r="AQ187" s="731">
        <f>(1+AQ183)/(1+AQ179)-1</f>
        <v>-1.5232548012558356E-2</v>
      </c>
      <c r="AR187" s="731">
        <f>(1+AR183)/(1+AR179)-1</f>
        <v>-2.676638252229846E-2</v>
      </c>
      <c r="AS187" s="731">
        <f>(1+AS183)/(1+AS179)-1</f>
        <v>-1.6718359427342566E-2</v>
      </c>
      <c r="AT187" s="731">
        <f>(1+AT183)/(1+AT179)-1</f>
        <v>3.2055185503522043E-2</v>
      </c>
      <c r="AU187" s="743"/>
      <c r="AV187" s="731">
        <f>(1+AV183)/(1+AV179)-1</f>
        <v>5.0282845571540724E-2</v>
      </c>
      <c r="AW187" s="731">
        <f>(1+AW183)/(1+AW179)-1</f>
        <v>5.2308543469548718E-2</v>
      </c>
      <c r="AX187" s="731">
        <f>(1+AX183)/(1+AX179)-1</f>
        <v>-1.0840930817768157E-4</v>
      </c>
      <c r="AY187" s="731">
        <f>(1+AY183)/(1+AY179)-1</f>
        <v>-1.1071260759387469E-2</v>
      </c>
      <c r="AZ187" s="667"/>
      <c r="BA187" s="731">
        <f>(1+BA183)/(1+BA179)-1</f>
        <v>-3.7895286789025984E-2</v>
      </c>
      <c r="BB187" s="731">
        <f>(1+BB183)/(1+BB179)-1</f>
        <v>-4.438042571272971E-2</v>
      </c>
      <c r="BC187" s="731">
        <f>(1+BC183)/(1+BC179)-1</f>
        <v>-5.4719674984479161E-3</v>
      </c>
      <c r="BD187" s="731">
        <f>(1+BD183)/(1+BD179)-1</f>
        <v>1.4948812652344934E-2</v>
      </c>
      <c r="BE187" s="667"/>
      <c r="BF187" s="731">
        <f>(1+BF183)/(1+BF179)-1</f>
        <v>4.3242143234389907E-4</v>
      </c>
      <c r="BG187" s="731">
        <f>(1+BG183)/(1+BG179)-1</f>
        <v>5.5328213865379894E-4</v>
      </c>
      <c r="BH187" s="731">
        <f>(1+BH183)/(1+BH179)-1</f>
        <v>-5.7124220524840119E-5</v>
      </c>
      <c r="BI187" s="731">
        <f>(1+BI183)/(1+BI179)-1</f>
        <v>-5.2647480852929807E-4</v>
      </c>
      <c r="BJ187" s="667"/>
      <c r="BK187" s="731">
        <f>(1+BK183)/(1+BK179)-1</f>
        <v>-1.0016311570462122E-2</v>
      </c>
      <c r="BL187" s="731">
        <f>(1+BL183)/(1+BL179)-1</f>
        <v>-1.1087570946982206E-2</v>
      </c>
      <c r="BM187" s="731">
        <f>(1+BM183)/(1+BM179)-1</f>
        <v>-6.9975496608890575E-3</v>
      </c>
      <c r="BN187" s="731">
        <f>(1+BN183)/(1+BN179)-1</f>
        <v>-6.0199148411002046E-3</v>
      </c>
      <c r="BO187" s="667"/>
      <c r="BP187" s="731">
        <f>(1+BP183)/(1+BP179)-1</f>
        <v>5.6966282541526247E-4</v>
      </c>
      <c r="BQ187" s="731">
        <f>(1+BQ183)/(1+BQ179)-1</f>
        <v>0</v>
      </c>
      <c r="BR187" s="731">
        <f>(1+BR183)/(1+BR179)-1</f>
        <v>0</v>
      </c>
      <c r="BS187" s="731">
        <f>(1+BS183)/(1+BS179)-1</f>
        <v>0</v>
      </c>
      <c r="BT187" s="667"/>
      <c r="BU187" s="731">
        <f>(1+BU183)/(1+BU179)-1</f>
        <v>0</v>
      </c>
      <c r="BV187" s="731">
        <f>(1+BV183)/(1+BV179)-1</f>
        <v>0</v>
      </c>
      <c r="BW187" s="731">
        <f>(1+BW183)/(1+BW179)-1</f>
        <v>0</v>
      </c>
      <c r="BX187" s="731">
        <f>(1+BX183)/(1+BX179)-1</f>
        <v>0</v>
      </c>
      <c r="BY187" s="667"/>
      <c r="BZ187" s="731">
        <f>(1+BZ183)/(1+BZ179)-1</f>
        <v>0</v>
      </c>
      <c r="CA187" s="731">
        <f>(1+CA183)/(1+CA179)-1</f>
        <v>0</v>
      </c>
      <c r="CB187" s="731">
        <f>(1+CB183)/(1+CB179)-1</f>
        <v>0</v>
      </c>
      <c r="CC187" s="731">
        <f>(1+CC183)/(1+CC179)-1</f>
        <v>0</v>
      </c>
      <c r="CD187" s="667"/>
    </row>
    <row r="188" spans="2:82">
      <c r="B188" s="725"/>
      <c r="C188" s="129"/>
      <c r="D188" s="129"/>
      <c r="E188" s="129"/>
      <c r="F188" s="129"/>
      <c r="G188" s="667"/>
      <c r="H188" s="129"/>
      <c r="I188" s="129"/>
      <c r="J188" s="129"/>
      <c r="K188" s="129"/>
      <c r="L188" s="667"/>
      <c r="M188" s="129"/>
      <c r="N188" s="129"/>
      <c r="O188" s="129"/>
      <c r="P188" s="129"/>
      <c r="Q188" s="667"/>
      <c r="R188" s="129"/>
      <c r="S188" s="129"/>
      <c r="T188" s="129"/>
      <c r="U188" s="129"/>
      <c r="V188" s="667"/>
      <c r="W188" s="129"/>
      <c r="X188" s="129"/>
      <c r="Y188" s="129"/>
      <c r="Z188" s="129"/>
      <c r="AA188" s="667"/>
      <c r="AB188" s="731"/>
      <c r="AC188" s="731"/>
      <c r="AD188" s="731"/>
      <c r="AE188" s="731"/>
      <c r="AF188" s="667"/>
      <c r="AG188" s="731"/>
      <c r="AH188" s="731"/>
      <c r="AI188" s="731"/>
      <c r="AJ188" s="731"/>
      <c r="AK188" s="667"/>
      <c r="AL188" s="731"/>
      <c r="AM188" s="731"/>
      <c r="AN188" s="731"/>
      <c r="AO188" s="731"/>
      <c r="AP188" s="743"/>
      <c r="AQ188" s="731"/>
      <c r="AR188" s="731"/>
      <c r="AS188" s="731"/>
      <c r="AT188" s="731"/>
      <c r="AU188" s="743"/>
      <c r="AV188" s="760">
        <f>AV187*AQ25*10000</f>
        <v>15.653669228341261</v>
      </c>
      <c r="AW188" s="760">
        <f>AW187*AR25*10000</f>
        <v>15.76558258124089</v>
      </c>
      <c r="AX188" s="760">
        <f>AX187*AS25*10000</f>
        <v>-3.2606264490399897E-2</v>
      </c>
      <c r="AY188" s="760">
        <f>AY187*AT25*10000</f>
        <v>-3.2909167114398468</v>
      </c>
      <c r="AZ188" s="667"/>
      <c r="BA188" s="760">
        <f>BA187*AV25*10000</f>
        <v>-11.491073301570692</v>
      </c>
      <c r="BB188" s="760">
        <f>BB187*AW25*10000</f>
        <v>-12.929657827454227</v>
      </c>
      <c r="BC188" s="760">
        <f>BC187*AX25*10000</f>
        <v>-1.5376169590545905</v>
      </c>
      <c r="BD188" s="760">
        <f>BD187*AY25*10000</f>
        <v>4.1121736809295228</v>
      </c>
      <c r="BE188" s="667"/>
      <c r="BF188" s="760"/>
      <c r="BG188" s="760"/>
      <c r="BH188" s="760"/>
      <c r="BI188" s="760"/>
      <c r="BJ188" s="667"/>
      <c r="BK188" s="731"/>
      <c r="BL188" s="731"/>
      <c r="BM188" s="731"/>
      <c r="BN188" s="731"/>
      <c r="BO188" s="667"/>
      <c r="BP188" s="731"/>
      <c r="BQ188" s="731"/>
      <c r="BR188" s="731"/>
      <c r="BS188" s="731"/>
      <c r="BT188" s="667"/>
      <c r="BU188" s="731"/>
      <c r="BV188" s="731"/>
      <c r="BW188" s="731"/>
      <c r="BX188" s="731"/>
      <c r="BY188" s="667"/>
      <c r="BZ188" s="731"/>
      <c r="CA188" s="731"/>
      <c r="CB188" s="731"/>
      <c r="CC188" s="731"/>
      <c r="CD188" s="667"/>
    </row>
    <row r="189" spans="2:82">
      <c r="B189" s="725"/>
      <c r="C189" s="129"/>
      <c r="D189" s="129"/>
      <c r="E189" s="129"/>
      <c r="F189" s="129"/>
      <c r="G189" s="667"/>
      <c r="H189" s="129"/>
      <c r="I189" s="129"/>
      <c r="J189" s="129"/>
      <c r="K189" s="129"/>
      <c r="L189" s="667"/>
      <c r="M189" s="129"/>
      <c r="N189" s="129"/>
      <c r="O189" s="129"/>
      <c r="P189" s="129"/>
      <c r="Q189" s="667"/>
      <c r="R189" s="129"/>
      <c r="S189" s="129"/>
      <c r="T189" s="129"/>
      <c r="U189" s="129"/>
      <c r="V189" s="667"/>
      <c r="W189" s="129"/>
      <c r="X189" s="129"/>
      <c r="Y189" s="129"/>
      <c r="Z189" s="129"/>
      <c r="AA189" s="667"/>
      <c r="AB189" s="731"/>
      <c r="AC189" s="731"/>
      <c r="AD189" s="731"/>
      <c r="AE189" s="731"/>
      <c r="AF189" s="667"/>
      <c r="AG189" s="731"/>
      <c r="AH189" s="731"/>
      <c r="AI189" s="731"/>
      <c r="AJ189" s="731"/>
      <c r="AK189" s="667"/>
      <c r="AL189" s="731"/>
      <c r="AM189" s="731"/>
      <c r="AN189" s="731"/>
      <c r="AO189" s="731"/>
      <c r="AP189" s="743"/>
      <c r="AQ189" s="731"/>
      <c r="AR189" s="731"/>
      <c r="AS189" s="731"/>
      <c r="AT189" s="731"/>
      <c r="AU189" s="743"/>
      <c r="AV189" s="731"/>
      <c r="AW189" s="731"/>
      <c r="AX189" s="731"/>
      <c r="AY189" s="731"/>
      <c r="AZ189" s="667"/>
      <c r="BA189" s="731"/>
      <c r="BB189" s="731"/>
      <c r="BC189" s="731"/>
      <c r="BD189" s="731"/>
      <c r="BE189" s="667"/>
      <c r="BF189" s="731"/>
      <c r="BG189" s="731"/>
      <c r="BH189" s="731"/>
      <c r="BI189" s="731"/>
      <c r="BJ189" s="667"/>
      <c r="BK189" s="731"/>
      <c r="BL189" s="731"/>
      <c r="BM189" s="731"/>
      <c r="BN189" s="731"/>
      <c r="BO189" s="667"/>
      <c r="BP189" s="731"/>
      <c r="BQ189" s="731"/>
      <c r="BR189" s="731"/>
      <c r="BS189" s="731"/>
      <c r="BT189" s="667"/>
      <c r="BU189" s="731"/>
      <c r="BV189" s="731"/>
      <c r="BW189" s="731"/>
      <c r="BX189" s="731"/>
      <c r="BY189" s="667"/>
      <c r="BZ189" s="731"/>
      <c r="CA189" s="731"/>
      <c r="CB189" s="731"/>
      <c r="CC189" s="731"/>
      <c r="CD189" s="667"/>
    </row>
    <row r="190" spans="2:82">
      <c r="B190" s="725" t="s">
        <v>362</v>
      </c>
      <c r="C190" s="129"/>
      <c r="D190" s="129"/>
      <c r="E190" s="129"/>
      <c r="F190" s="129"/>
      <c r="G190" s="667"/>
      <c r="H190" s="129"/>
      <c r="I190" s="129"/>
      <c r="J190" s="129"/>
      <c r="K190" s="129"/>
      <c r="L190" s="667"/>
      <c r="M190" s="129"/>
      <c r="N190" s="129"/>
      <c r="O190" s="129"/>
      <c r="P190" s="129"/>
      <c r="Q190" s="667"/>
      <c r="R190" s="129"/>
      <c r="S190" s="129"/>
      <c r="T190" s="129"/>
      <c r="U190" s="129"/>
      <c r="V190" s="667"/>
      <c r="W190" s="129"/>
      <c r="X190" s="129"/>
      <c r="Y190" s="129"/>
      <c r="Z190" s="129"/>
      <c r="AA190" s="667"/>
      <c r="AB190" s="129"/>
      <c r="AC190" s="129"/>
      <c r="AD190" s="129"/>
      <c r="AE190" s="129"/>
      <c r="AF190" s="667"/>
      <c r="AG190" s="129"/>
      <c r="AH190" s="129"/>
      <c r="AI190" s="129"/>
      <c r="AJ190" s="129"/>
      <c r="AK190" s="667"/>
      <c r="AL190" s="732"/>
      <c r="AM190" s="732"/>
      <c r="AN190" s="732"/>
      <c r="AO190" s="732"/>
      <c r="AP190" s="743"/>
      <c r="AQ190" s="732"/>
      <c r="AR190" s="732"/>
      <c r="AS190" s="732"/>
      <c r="AT190" s="732"/>
      <c r="AU190" s="743"/>
      <c r="AV190" s="732">
        <f>+AV149+AV158+AV167</f>
        <v>0.46</v>
      </c>
      <c r="AW190" s="732">
        <f>+AW149+AW158+AW167</f>
        <v>0.45</v>
      </c>
      <c r="AX190" s="732">
        <f>+AX149+AX158+AX167</f>
        <v>0.45</v>
      </c>
      <c r="AY190" s="732">
        <f>+AY149+AY158+AY167</f>
        <v>0.45</v>
      </c>
      <c r="AZ190" s="743"/>
      <c r="BA190" s="732">
        <f>+BA149+BA158+BA167</f>
        <v>0.45</v>
      </c>
      <c r="BB190" s="732">
        <f>+BB149+BB158+BB167</f>
        <v>0.45</v>
      </c>
      <c r="BC190" s="732">
        <f>+BC149+BC158+BC167</f>
        <v>0.44209057112295497</v>
      </c>
      <c r="BD190" s="732">
        <f>+BD149+BD158+BD167</f>
        <v>0.42481803312684774</v>
      </c>
      <c r="BE190" s="667"/>
      <c r="BF190" s="732"/>
      <c r="BG190" s="732"/>
      <c r="BH190" s="732"/>
      <c r="BI190" s="732"/>
      <c r="BJ190" s="667"/>
      <c r="BK190" s="129"/>
      <c r="BL190" s="129"/>
      <c r="BM190" s="129"/>
      <c r="BN190" s="129"/>
      <c r="BO190" s="667"/>
      <c r="BP190" s="129"/>
      <c r="BQ190" s="129"/>
      <c r="BR190" s="129"/>
      <c r="BS190" s="129"/>
      <c r="BT190" s="667"/>
      <c r="BU190" s="129"/>
      <c r="BV190" s="129"/>
      <c r="BW190" s="129"/>
      <c r="BX190" s="129"/>
      <c r="BY190" s="667"/>
      <c r="BZ190" s="129"/>
      <c r="CA190" s="129"/>
      <c r="CB190" s="129"/>
      <c r="CC190" s="129"/>
      <c r="CD190" s="667"/>
    </row>
    <row r="191" spans="2:82">
      <c r="B191" s="725"/>
      <c r="C191" s="129"/>
      <c r="D191" s="129"/>
      <c r="E191" s="129"/>
      <c r="F191" s="129"/>
      <c r="G191" s="667"/>
      <c r="H191" s="129"/>
      <c r="I191" s="129"/>
      <c r="J191" s="129"/>
      <c r="K191" s="129"/>
      <c r="L191" s="667"/>
      <c r="M191" s="129"/>
      <c r="N191" s="129"/>
      <c r="O191" s="129"/>
      <c r="P191" s="129"/>
      <c r="Q191" s="667"/>
      <c r="R191" s="129"/>
      <c r="S191" s="129"/>
      <c r="T191" s="129"/>
      <c r="U191" s="129"/>
      <c r="V191" s="667"/>
      <c r="W191" s="129"/>
      <c r="X191" s="129"/>
      <c r="Y191" s="129"/>
      <c r="Z191" s="129"/>
      <c r="AA191" s="667"/>
      <c r="AB191" s="129"/>
      <c r="AC191" s="129"/>
      <c r="AD191" s="129"/>
      <c r="AE191" s="129"/>
      <c r="AF191" s="667"/>
      <c r="AG191" s="129"/>
      <c r="AH191" s="129"/>
      <c r="AI191" s="129"/>
      <c r="AJ191" s="129"/>
      <c r="AK191" s="667"/>
      <c r="AL191" s="732"/>
      <c r="AM191" s="732"/>
      <c r="AN191" s="732"/>
      <c r="AO191" s="732"/>
      <c r="AP191" s="743"/>
      <c r="AQ191" s="732"/>
      <c r="AR191" s="732"/>
      <c r="AS191" s="732"/>
      <c r="AT191" s="732"/>
      <c r="AU191" s="743"/>
      <c r="AV191" s="732"/>
      <c r="AW191" s="732"/>
      <c r="AX191" s="129"/>
      <c r="AY191" s="732"/>
      <c r="AZ191" s="743"/>
      <c r="BA191" s="129"/>
      <c r="BB191" s="129"/>
      <c r="BC191" s="129"/>
      <c r="BD191" s="129"/>
      <c r="BE191" s="667"/>
      <c r="BF191" s="129"/>
      <c r="BG191" s="129"/>
      <c r="BH191" s="129"/>
      <c r="BI191" s="129"/>
      <c r="BJ191" s="667"/>
      <c r="BK191" s="129"/>
      <c r="BL191" s="129"/>
      <c r="BM191" s="129"/>
      <c r="BN191" s="129"/>
      <c r="BO191" s="667"/>
      <c r="BP191" s="129"/>
      <c r="BQ191" s="129"/>
      <c r="BR191" s="129"/>
      <c r="BS191" s="129"/>
      <c r="BT191" s="667"/>
      <c r="BU191" s="129"/>
      <c r="BV191" s="129"/>
      <c r="BW191" s="129"/>
      <c r="BX191" s="129"/>
      <c r="BY191" s="667"/>
      <c r="BZ191" s="129"/>
      <c r="CA191" s="129"/>
      <c r="CB191" s="129"/>
      <c r="CC191" s="129"/>
      <c r="CD191" s="667"/>
    </row>
    <row r="192" spans="2:82">
      <c r="B192" s="761" t="s">
        <v>363</v>
      </c>
      <c r="C192" s="129"/>
      <c r="D192" s="129"/>
      <c r="E192" s="129"/>
      <c r="F192" s="129"/>
      <c r="G192" s="667"/>
      <c r="H192" s="129"/>
      <c r="I192" s="129"/>
      <c r="J192" s="129"/>
      <c r="K192" s="129"/>
      <c r="L192" s="667"/>
      <c r="M192" s="129"/>
      <c r="N192" s="129"/>
      <c r="O192" s="129"/>
      <c r="P192" s="129"/>
      <c r="Q192" s="667"/>
      <c r="R192" s="129"/>
      <c r="S192" s="129"/>
      <c r="T192" s="129"/>
      <c r="U192" s="129"/>
      <c r="V192" s="667"/>
      <c r="W192" s="129"/>
      <c r="X192" s="129"/>
      <c r="Y192" s="129"/>
      <c r="Z192" s="129"/>
      <c r="AA192" s="667"/>
      <c r="AB192" s="129"/>
      <c r="AC192" s="129"/>
      <c r="AD192" s="129"/>
      <c r="AE192" s="129"/>
      <c r="AF192" s="667"/>
      <c r="AG192" s="129"/>
      <c r="AH192" s="129"/>
      <c r="AI192" s="129"/>
      <c r="AJ192" s="129"/>
      <c r="AK192" s="667"/>
      <c r="AL192" s="732"/>
      <c r="AM192" s="732"/>
      <c r="AN192" s="732"/>
      <c r="AO192" s="732"/>
      <c r="AP192" s="743"/>
      <c r="AQ192" s="732"/>
      <c r="AR192" s="732"/>
      <c r="AS192" s="732"/>
      <c r="AT192" s="732"/>
      <c r="AU192" s="743"/>
      <c r="AV192" s="732"/>
      <c r="AW192" s="732"/>
      <c r="AX192" s="129"/>
      <c r="AY192" s="732"/>
      <c r="AZ192" s="743"/>
      <c r="BA192" s="129"/>
      <c r="BB192" s="732"/>
      <c r="BC192" s="732"/>
      <c r="BD192" s="732"/>
      <c r="BE192" s="667"/>
      <c r="BF192" s="129"/>
      <c r="BG192" s="129"/>
      <c r="BH192" s="129"/>
      <c r="BI192" s="732"/>
      <c r="BJ192" s="667"/>
      <c r="BK192" s="129"/>
      <c r="BL192" s="129"/>
      <c r="BM192" s="129"/>
      <c r="BN192" s="129"/>
      <c r="BO192" s="667"/>
      <c r="BP192" s="129"/>
      <c r="BQ192" s="129"/>
      <c r="BR192" s="129"/>
      <c r="BS192" s="129"/>
      <c r="BT192" s="667"/>
      <c r="BU192" s="129"/>
      <c r="BV192" s="129"/>
      <c r="BW192" s="129"/>
      <c r="BX192" s="129"/>
      <c r="BY192" s="667"/>
      <c r="BZ192" s="129"/>
      <c r="CA192" s="129"/>
      <c r="CB192" s="129"/>
      <c r="CC192" s="129"/>
      <c r="CD192" s="667"/>
    </row>
    <row r="193" spans="1:83">
      <c r="B193" s="725" t="s">
        <v>364</v>
      </c>
      <c r="C193" s="129"/>
      <c r="D193" s="129"/>
      <c r="E193" s="129"/>
      <c r="F193" s="129"/>
      <c r="G193" s="667"/>
      <c r="H193" s="129"/>
      <c r="I193" s="129"/>
      <c r="J193" s="129"/>
      <c r="K193" s="129"/>
      <c r="L193" s="667"/>
      <c r="M193" s="129"/>
      <c r="N193" s="129"/>
      <c r="O193" s="129"/>
      <c r="P193" s="129"/>
      <c r="Q193" s="667"/>
      <c r="R193" s="129"/>
      <c r="S193" s="129"/>
      <c r="T193" s="129"/>
      <c r="U193" s="129"/>
      <c r="V193" s="667"/>
      <c r="W193" s="129"/>
      <c r="X193" s="129"/>
      <c r="Y193" s="129"/>
      <c r="Z193" s="129"/>
      <c r="AA193" s="667"/>
      <c r="AB193" s="129"/>
      <c r="AC193" s="129"/>
      <c r="AD193" s="129"/>
      <c r="AE193" s="129"/>
      <c r="AF193" s="667"/>
      <c r="AG193" s="129"/>
      <c r="AH193" s="129"/>
      <c r="AI193" s="129"/>
      <c r="AJ193" s="129"/>
      <c r="AK193" s="667"/>
      <c r="AL193" s="762">
        <v>1.5532999999999999</v>
      </c>
      <c r="AM193" s="762">
        <v>1.5356000000000001</v>
      </c>
      <c r="AN193" s="762">
        <v>1.5486</v>
      </c>
      <c r="AO193" s="762">
        <v>1.6184000000000001</v>
      </c>
      <c r="AP193" s="763">
        <f>+AVERAGE(AL193:AO193)</f>
        <v>1.5639749999999999</v>
      </c>
      <c r="AQ193" s="762">
        <v>1.6548</v>
      </c>
      <c r="AR193" s="762">
        <v>1.6823999999999999</v>
      </c>
      <c r="AS193" s="762">
        <v>1.6707000000000001</v>
      </c>
      <c r="AT193" s="762">
        <v>1.5831</v>
      </c>
      <c r="AU193" s="763">
        <f>+AVERAGE(AQ193:AT193)</f>
        <v>1.64775</v>
      </c>
      <c r="AV193" s="762">
        <v>1.5155000000000001</v>
      </c>
      <c r="AW193" s="762">
        <v>1.5309999999999999</v>
      </c>
      <c r="AX193" s="762">
        <f>1/0.6453</f>
        <v>1.5496668216333489</v>
      </c>
      <c r="AY193" s="762">
        <f>1/0.659</f>
        <v>1.5174506828528072</v>
      </c>
      <c r="AZ193" s="763">
        <f>+AVERAGE(AV193:AY193)</f>
        <v>1.5284043761215391</v>
      </c>
      <c r="BA193" s="762">
        <f>1/0.698069</f>
        <v>1.4325231459927312</v>
      </c>
      <c r="BB193" s="762">
        <f>1/0.697208</f>
        <v>1.4342922054824385</v>
      </c>
      <c r="BC193" s="762">
        <f>1/0.761518</f>
        <v>1.3131665961933927</v>
      </c>
      <c r="BD193" s="762">
        <v>1.2411130769230769</v>
      </c>
      <c r="BE193" s="763">
        <f>+AVERAGE(BA193:BD193)</f>
        <v>1.3552737561479098</v>
      </c>
      <c r="BF193" s="762">
        <v>1.2392461538461539</v>
      </c>
      <c r="BG193" s="762">
        <v>1.2801223076923076</v>
      </c>
      <c r="BH193" s="762">
        <v>1.2966382352941177</v>
      </c>
      <c r="BI193" s="762">
        <v>1.3269353846153848</v>
      </c>
      <c r="BJ193" s="763">
        <f>+AVERAGE(BF193:BI193)</f>
        <v>1.2857355203619911</v>
      </c>
      <c r="BK193" s="762">
        <v>1.3914192307692301</v>
      </c>
      <c r="BL193" s="762">
        <v>1.4134147058823527</v>
      </c>
      <c r="BM193" s="752">
        <f t="shared" ref="BM193:BN195" si="59">+BL193</f>
        <v>1.4134147058823527</v>
      </c>
      <c r="BN193" s="752">
        <f t="shared" si="59"/>
        <v>1.4134147058823527</v>
      </c>
      <c r="BO193" s="763">
        <f>+AVERAGE(BK193:BN193)</f>
        <v>1.4079158371040721</v>
      </c>
      <c r="BP193" s="752">
        <f>+BN193</f>
        <v>1.4134147058823527</v>
      </c>
      <c r="BQ193" s="752">
        <f t="shared" ref="BQ193:BS195" si="60">+BP193</f>
        <v>1.4134147058823527</v>
      </c>
      <c r="BR193" s="752">
        <f t="shared" si="60"/>
        <v>1.4134147058823527</v>
      </c>
      <c r="BS193" s="752">
        <f t="shared" si="60"/>
        <v>1.4134147058823527</v>
      </c>
      <c r="BT193" s="763">
        <f>+AVERAGE(BP193:BS193)</f>
        <v>1.4134147058823527</v>
      </c>
      <c r="BU193" s="752">
        <f>+BS193</f>
        <v>1.4134147058823527</v>
      </c>
      <c r="BV193" s="752">
        <f t="shared" ref="BV193:BX195" si="61">+BU193</f>
        <v>1.4134147058823527</v>
      </c>
      <c r="BW193" s="752">
        <f t="shared" si="61"/>
        <v>1.4134147058823527</v>
      </c>
      <c r="BX193" s="752">
        <f t="shared" si="61"/>
        <v>1.4134147058823527</v>
      </c>
      <c r="BY193" s="763">
        <f>+AVERAGE(BU193:BX193)</f>
        <v>1.4134147058823527</v>
      </c>
      <c r="BZ193" s="752">
        <f>+BX193</f>
        <v>1.4134147058823527</v>
      </c>
      <c r="CA193" s="752">
        <f t="shared" ref="CA193:CC195" si="62">+BZ193</f>
        <v>1.4134147058823527</v>
      </c>
      <c r="CB193" s="752">
        <f t="shared" si="62"/>
        <v>1.4134147058823527</v>
      </c>
      <c r="CC193" s="752">
        <f t="shared" si="62"/>
        <v>1.4134147058823527</v>
      </c>
      <c r="CD193" s="763">
        <f>+AVERAGE(BZ193:CC193)</f>
        <v>1.4134147058823527</v>
      </c>
    </row>
    <row r="194" spans="1:83">
      <c r="B194" s="725" t="s">
        <v>365</v>
      </c>
      <c r="C194" s="129"/>
      <c r="D194" s="129"/>
      <c r="E194" s="129"/>
      <c r="F194" s="129"/>
      <c r="G194" s="667"/>
      <c r="H194" s="129"/>
      <c r="I194" s="129"/>
      <c r="J194" s="129"/>
      <c r="K194" s="129"/>
      <c r="L194" s="667"/>
      <c r="M194" s="129"/>
      <c r="N194" s="129"/>
      <c r="O194" s="129"/>
      <c r="P194" s="129"/>
      <c r="Q194" s="667"/>
      <c r="R194" s="129"/>
      <c r="S194" s="129"/>
      <c r="T194" s="129"/>
      <c r="U194" s="129"/>
      <c r="V194" s="667"/>
      <c r="W194" s="129"/>
      <c r="X194" s="129"/>
      <c r="Y194" s="129"/>
      <c r="Z194" s="129"/>
      <c r="AA194" s="667"/>
      <c r="AB194" s="129"/>
      <c r="AC194" s="129"/>
      <c r="AD194" s="129"/>
      <c r="AE194" s="129"/>
      <c r="AF194" s="667"/>
      <c r="AG194" s="129"/>
      <c r="AH194" s="129"/>
      <c r="AI194" s="129"/>
      <c r="AJ194" s="129"/>
      <c r="AK194" s="667"/>
      <c r="AL194" s="762">
        <v>1.3207</v>
      </c>
      <c r="AM194" s="762">
        <v>1.3056000000000001</v>
      </c>
      <c r="AN194" s="762">
        <v>1.3244</v>
      </c>
      <c r="AO194" s="762">
        <v>1.3609</v>
      </c>
      <c r="AP194" s="763">
        <f>+AVERAGE(AL194:AO194)</f>
        <v>1.3279000000000001</v>
      </c>
      <c r="AQ194" s="764">
        <v>1.3702000000000001</v>
      </c>
      <c r="AR194" s="764">
        <v>1.3714999999999999</v>
      </c>
      <c r="AS194" s="764">
        <v>1.3266</v>
      </c>
      <c r="AT194" s="764">
        <v>1.2488999999999999</v>
      </c>
      <c r="AU194" s="763">
        <f>+AVERAGE(AQ194:AT194)</f>
        <v>1.3292999999999999</v>
      </c>
      <c r="AV194" s="762">
        <v>1.1283000000000001</v>
      </c>
      <c r="AW194" s="762">
        <v>1.1057999999999999</v>
      </c>
      <c r="AX194" s="762">
        <f>1/0.8989</f>
        <v>1.1124707976415618</v>
      </c>
      <c r="AY194" s="762">
        <f>1/0.9132</f>
        <v>1.0950503723171265</v>
      </c>
      <c r="AZ194" s="763">
        <f>+AVERAGE(AV194:AY194)</f>
        <v>1.1104052924896721</v>
      </c>
      <c r="BA194" s="762">
        <f>1/0.90663</f>
        <v>1.1029857825132634</v>
      </c>
      <c r="BB194" s="762">
        <f>1/0.885373</f>
        <v>1.1294674673838032</v>
      </c>
      <c r="BC194" s="762">
        <f>1/0.896085</f>
        <v>1.1159655613027781</v>
      </c>
      <c r="BD194" s="762">
        <v>1.0777115384615386</v>
      </c>
      <c r="BE194" s="763">
        <f>+AVERAGE(BA194:BD194)</f>
        <v>1.1065325874153458</v>
      </c>
      <c r="BF194" s="762">
        <v>1.0657353846153843</v>
      </c>
      <c r="BG194" s="762">
        <v>1.1012869230769233</v>
      </c>
      <c r="BH194" s="762">
        <v>1.1475941176470588</v>
      </c>
      <c r="BI194" s="762">
        <v>1.1775092307692303</v>
      </c>
      <c r="BJ194" s="763">
        <f>+AVERAGE(BF194:BI194)</f>
        <v>1.1230314140271491</v>
      </c>
      <c r="BK194" s="762">
        <v>1.2287192307692303</v>
      </c>
      <c r="BL194" s="762">
        <v>1.2307558823529412</v>
      </c>
      <c r="BM194" s="752">
        <f t="shared" si="59"/>
        <v>1.2307558823529412</v>
      </c>
      <c r="BN194" s="752">
        <f t="shared" si="59"/>
        <v>1.2307558823529412</v>
      </c>
      <c r="BO194" s="763">
        <f>+AVERAGE(BK194:BN194)</f>
        <v>1.2302467194570135</v>
      </c>
      <c r="BP194" s="752">
        <f>+BN194</f>
        <v>1.2307558823529412</v>
      </c>
      <c r="BQ194" s="752">
        <f t="shared" si="60"/>
        <v>1.2307558823529412</v>
      </c>
      <c r="BR194" s="752">
        <f t="shared" si="60"/>
        <v>1.2307558823529412</v>
      </c>
      <c r="BS194" s="752">
        <f t="shared" si="60"/>
        <v>1.2307558823529412</v>
      </c>
      <c r="BT194" s="763">
        <f>+AVERAGE(BP194:BS194)</f>
        <v>1.2307558823529412</v>
      </c>
      <c r="BU194" s="752">
        <f>+BS194</f>
        <v>1.2307558823529412</v>
      </c>
      <c r="BV194" s="752">
        <f t="shared" si="61"/>
        <v>1.2307558823529412</v>
      </c>
      <c r="BW194" s="752">
        <f t="shared" si="61"/>
        <v>1.2307558823529412</v>
      </c>
      <c r="BX194" s="752">
        <f t="shared" si="61"/>
        <v>1.2307558823529412</v>
      </c>
      <c r="BY194" s="763">
        <f>+AVERAGE(BU194:BX194)</f>
        <v>1.2307558823529412</v>
      </c>
      <c r="BZ194" s="752">
        <f>+BX194</f>
        <v>1.2307558823529412</v>
      </c>
      <c r="CA194" s="752">
        <f t="shared" si="62"/>
        <v>1.2307558823529412</v>
      </c>
      <c r="CB194" s="752">
        <f t="shared" si="62"/>
        <v>1.2307558823529412</v>
      </c>
      <c r="CC194" s="752">
        <f t="shared" si="62"/>
        <v>1.2307558823529412</v>
      </c>
      <c r="CD194" s="763">
        <f>+AVERAGE(BZ194:CC194)</f>
        <v>1.2307558823529412</v>
      </c>
    </row>
    <row r="195" spans="1:83">
      <c r="B195" s="725" t="s">
        <v>366</v>
      </c>
      <c r="C195" s="129"/>
      <c r="D195" s="129"/>
      <c r="E195" s="129"/>
      <c r="F195" s="129"/>
      <c r="G195" s="667"/>
      <c r="H195" s="129"/>
      <c r="I195" s="129"/>
      <c r="J195" s="129"/>
      <c r="K195" s="129"/>
      <c r="L195" s="667"/>
      <c r="M195" s="129"/>
      <c r="N195" s="129"/>
      <c r="O195" s="129"/>
      <c r="P195" s="129"/>
      <c r="Q195" s="667"/>
      <c r="R195" s="129"/>
      <c r="S195" s="129"/>
      <c r="T195" s="129"/>
      <c r="U195" s="129"/>
      <c r="V195" s="667"/>
      <c r="W195" s="129"/>
      <c r="X195" s="129"/>
      <c r="Y195" s="129"/>
      <c r="Z195" s="129"/>
      <c r="AA195" s="667"/>
      <c r="AB195" s="129"/>
      <c r="AC195" s="129"/>
      <c r="AD195" s="129"/>
      <c r="AE195" s="129"/>
      <c r="AF195" s="667"/>
      <c r="AG195" s="129"/>
      <c r="AH195" s="129"/>
      <c r="AI195" s="129"/>
      <c r="AJ195" s="129"/>
      <c r="AK195" s="667"/>
      <c r="AL195" s="762">
        <v>1.0386</v>
      </c>
      <c r="AM195" s="762">
        <v>0.99180000000000001</v>
      </c>
      <c r="AN195" s="762">
        <v>0.91510000000000002</v>
      </c>
      <c r="AO195" s="762">
        <v>0.92759999999999998</v>
      </c>
      <c r="AP195" s="763">
        <f>+AVERAGE(AL195:AO195)</f>
        <v>0.968275</v>
      </c>
      <c r="AQ195" s="762">
        <v>0.89580000000000004</v>
      </c>
      <c r="AR195" s="762">
        <v>0.93269999999999997</v>
      </c>
      <c r="AS195" s="762">
        <v>0.92579999999999996</v>
      </c>
      <c r="AT195" s="762">
        <v>0.88539999999999996</v>
      </c>
      <c r="AU195" s="763">
        <f>+AVERAGE(AQ195:AT195)</f>
        <v>0.90992499999999987</v>
      </c>
      <c r="AV195" s="762">
        <v>0.7873</v>
      </c>
      <c r="AW195" s="762">
        <v>0.7772</v>
      </c>
      <c r="AX195" s="762">
        <f>1/1.3778</f>
        <v>0.72579474524604448</v>
      </c>
      <c r="AY195" s="762">
        <f>1/1.3883</f>
        <v>0.7203054094936252</v>
      </c>
      <c r="AZ195" s="763">
        <f>+AVERAGE(AV195:AY195)</f>
        <v>0.75265003868491753</v>
      </c>
      <c r="BA195" s="762">
        <f>1/1.38593</f>
        <v>0.72153716277156854</v>
      </c>
      <c r="BB195" s="762">
        <f>1/1.34142</f>
        <v>0.74547867185519823</v>
      </c>
      <c r="BC195" s="762">
        <f>1/1.3192</f>
        <v>0.75803517283201949</v>
      </c>
      <c r="BD195" s="762">
        <v>0.74896846153846142</v>
      </c>
      <c r="BE195" s="763">
        <f>+AVERAGE(BA195:BD195)</f>
        <v>0.74350486724931186</v>
      </c>
      <c r="BF195" s="762">
        <v>0.75796692307692337</v>
      </c>
      <c r="BG195" s="762">
        <v>0.75086153846153847</v>
      </c>
      <c r="BH195" s="762">
        <v>0.77570294117647065</v>
      </c>
      <c r="BI195" s="762">
        <v>0.76867153846153835</v>
      </c>
      <c r="BJ195" s="763">
        <f>+AVERAGE(BF195:BI195)</f>
        <v>0.76330073529411779</v>
      </c>
      <c r="BK195" s="762">
        <v>0.78602153846153844</v>
      </c>
      <c r="BL195" s="762">
        <v>0.77150882352941164</v>
      </c>
      <c r="BM195" s="752">
        <f t="shared" si="59"/>
        <v>0.77150882352941164</v>
      </c>
      <c r="BN195" s="752">
        <f t="shared" si="59"/>
        <v>0.77150882352941164</v>
      </c>
      <c r="BO195" s="763">
        <f>+AVERAGE(BK195:BN195)</f>
        <v>0.77513700226244331</v>
      </c>
      <c r="BP195" s="752">
        <f>+BN195</f>
        <v>0.77150882352941164</v>
      </c>
      <c r="BQ195" s="752">
        <f t="shared" si="60"/>
        <v>0.77150882352941164</v>
      </c>
      <c r="BR195" s="752">
        <f t="shared" si="60"/>
        <v>0.77150882352941164</v>
      </c>
      <c r="BS195" s="752">
        <f t="shared" si="60"/>
        <v>0.77150882352941164</v>
      </c>
      <c r="BT195" s="763">
        <f>+AVERAGE(BP195:BS195)</f>
        <v>0.77150882352941164</v>
      </c>
      <c r="BU195" s="752">
        <f>+BS195</f>
        <v>0.77150882352941164</v>
      </c>
      <c r="BV195" s="752">
        <f t="shared" si="61"/>
        <v>0.77150882352941164</v>
      </c>
      <c r="BW195" s="752">
        <f t="shared" si="61"/>
        <v>0.77150882352941164</v>
      </c>
      <c r="BX195" s="752">
        <f t="shared" si="61"/>
        <v>0.77150882352941164</v>
      </c>
      <c r="BY195" s="763">
        <f>+AVERAGE(BU195:BX195)</f>
        <v>0.77150882352941164</v>
      </c>
      <c r="BZ195" s="752">
        <f>+BX195</f>
        <v>0.77150882352941164</v>
      </c>
      <c r="CA195" s="752">
        <f t="shared" si="62"/>
        <v>0.77150882352941164</v>
      </c>
      <c r="CB195" s="752">
        <f t="shared" si="62"/>
        <v>0.77150882352941164</v>
      </c>
      <c r="CC195" s="752">
        <f t="shared" si="62"/>
        <v>0.77150882352941164</v>
      </c>
      <c r="CD195" s="763">
        <f>+AVERAGE(BZ195:CC195)</f>
        <v>0.77150882352941164</v>
      </c>
    </row>
    <row r="196" spans="1:83">
      <c r="B196" s="725" t="s">
        <v>367</v>
      </c>
      <c r="C196" s="129"/>
      <c r="D196" s="129"/>
      <c r="E196" s="129"/>
      <c r="F196" s="129"/>
      <c r="G196" s="667"/>
      <c r="H196" s="129"/>
      <c r="I196" s="129"/>
      <c r="J196" s="129"/>
      <c r="K196" s="129"/>
      <c r="L196" s="667"/>
      <c r="M196" s="129"/>
      <c r="N196" s="129"/>
      <c r="O196" s="129"/>
      <c r="P196" s="129"/>
      <c r="Q196" s="667"/>
      <c r="R196" s="129"/>
      <c r="S196" s="129"/>
      <c r="T196" s="129"/>
      <c r="U196" s="129"/>
      <c r="V196" s="667"/>
      <c r="W196" s="129"/>
      <c r="X196" s="129"/>
      <c r="Y196" s="129"/>
      <c r="Z196" s="129"/>
      <c r="AA196" s="667"/>
      <c r="AB196" s="129"/>
      <c r="AC196" s="129"/>
      <c r="AD196" s="129"/>
      <c r="AE196" s="129"/>
      <c r="AF196" s="667"/>
      <c r="AG196" s="129"/>
      <c r="AH196" s="129"/>
      <c r="AI196" s="129"/>
      <c r="AJ196" s="129"/>
      <c r="AK196" s="667"/>
      <c r="AL196" s="762"/>
      <c r="AM196" s="762"/>
      <c r="AN196" s="762"/>
      <c r="AO196" s="762"/>
      <c r="AP196" s="763"/>
      <c r="AQ196" s="762"/>
      <c r="AR196" s="762"/>
      <c r="AS196" s="762"/>
      <c r="AT196" s="762"/>
      <c r="AU196" s="763"/>
      <c r="AV196" s="746">
        <f>AVERAGE((AV193/AQ193-1)*AQ149,(AV194/AQ194-1)*AQ158,(AV195/AQ195-1)*AQ167)</f>
        <v>-2.2273957761193623E-2</v>
      </c>
      <c r="AW196" s="746">
        <f>AVERAGE((AW193/AR193-1)*AR149,(AW194/AR194-1)*AR158,(AW195/AR195-1)*AR167)</f>
        <v>-2.5345288861692652E-2</v>
      </c>
      <c r="AX196" s="746">
        <f>AVERAGE((AX193/AS193-1)*AS149,(AX194/AS194-1)*AS158,(AX195/AS195-1)*AS167)</f>
        <v>-2.3312801973259922E-2</v>
      </c>
      <c r="AY196" s="746">
        <f>AVERAGE((AY193/AT193-1)*AT149,(AY194/AT194-1)*AT158,(AY195/AT195-1)*AT167)</f>
        <v>-1.7794786552650217E-2</v>
      </c>
      <c r="AZ196" s="763"/>
      <c r="BA196" s="746">
        <f>AVERAGE((BA193/AV193-1)*AV149,(BA194/AV194-1)*AV158,(BA195/AV195-1)*AV167)</f>
        <v>-7.8952141715729809E-3</v>
      </c>
      <c r="BB196" s="746">
        <f>AVERAGE((BB193/AW193-1)*AW149,(BB194/AW194-1)*AW158,(BB195/AW195-1)*AW167)</f>
        <v>-3.318040280981299E-3</v>
      </c>
      <c r="BC196" s="746">
        <f>AVERAGE((BC193/AX193-1)*AX149,(BC194/AX194-1)*AX158,(BC195/AX195-1)*AX167)</f>
        <v>-4.3651756615161498E-3</v>
      </c>
      <c r="BD196" s="746">
        <f>AVERAGE((BD193/AY193-1)*AY149,(BD194/AY194-1)*AY158,(BD195/AY195-1)*AY167)</f>
        <v>-7.5439820293937447E-3</v>
      </c>
      <c r="BE196" s="763"/>
      <c r="BF196" s="746">
        <f>AVERAGE((BF193/BA193-1)*BA149,(BF194/BA194-1)*BA158,(BF195/BA195-1)*BA167)</f>
        <v>-5.0767055842759253E-3</v>
      </c>
      <c r="BG196" s="746">
        <f>AVERAGE((BG193/BB193-1)*BB149,(BG194/BB194-1)*BB158,(BG195/BB195-1)*BB167)</f>
        <v>-5.4913875472734327E-3</v>
      </c>
      <c r="BH196" s="746">
        <f>AVERAGE((BH193/BC193-1)*BC149,(BH194/BC194-1)*BC158,(BH195/BC195-1)*BC167)</f>
        <v>2.2966406135954188E-3</v>
      </c>
      <c r="BI196" s="746">
        <f>AVERAGE((BI193/BD193-1)*BD149,(BI194/BD194-1)*BD158,(BI195/BD195-1)*BD167)</f>
        <v>1.035424946521489E-2</v>
      </c>
      <c r="BJ196" s="763"/>
      <c r="BK196" s="746">
        <f>AVERAGE((BK193/BF193-1)*BF149,(BK194/BF194-1)*BF158,(BK195/BF195-1)*BF167)</f>
        <v>1.5375315111593679E-2</v>
      </c>
      <c r="BL196" s="746">
        <f>AVERAGE((BL193/BG193-1)*BG149,(BL194/BG194-1)*BG158,(BL195/BG195-1)*BG167)</f>
        <v>1.2301793129149299E-2</v>
      </c>
      <c r="BM196" s="746">
        <f>AVERAGE((BM193/BH193-1)*BH149,(BM194/BH194-1)*BH158,(BM195/BH195-1)*BH167)</f>
        <v>7.6943781669333534E-3</v>
      </c>
      <c r="BN196" s="746">
        <f>AVERAGE((BN193/BI193-1)*BI149,(BN194/BI194-1)*BI158,(BN195/BI195-1)*BI167)</f>
        <v>6.6327408512097267E-3</v>
      </c>
      <c r="BO196" s="763"/>
      <c r="BP196" s="746">
        <f>AVERAGE((BP193/BK193-1)*BK149,(BP194/BK194-1)*BK158,(BP195/BK195-1)*BK167)</f>
        <v>-1.5454356526598293E-4</v>
      </c>
      <c r="BQ196" s="746">
        <f>AVERAGE((BQ193/BL193-1)*BL149,(BQ194/BL194-1)*BL158,(BQ195/BL195-1)*BL167)</f>
        <v>0</v>
      </c>
      <c r="BR196" s="746">
        <f>AVERAGE((BR193/BM193-1)*BM149,(BR194/BM194-1)*BM158,(BR195/BM195-1)*BM167)</f>
        <v>0</v>
      </c>
      <c r="BS196" s="746">
        <f>AVERAGE((BS193/BN193-1)*BN149,(BS194/BN194-1)*BN158,(BS195/BN195-1)*BN167)</f>
        <v>0</v>
      </c>
      <c r="BT196" s="763"/>
      <c r="BU196" s="746">
        <f>AVERAGE((BU193/BP193-1)*BP149,(BU194/BP194-1)*BP158,(BU195/BP195-1)*BP167)</f>
        <v>0</v>
      </c>
      <c r="BV196" s="746">
        <f>AVERAGE((BV193/BQ193-1)*BQ149,(BV194/BQ194-1)*BQ158,(BV195/BQ195-1)*BQ167)</f>
        <v>0</v>
      </c>
      <c r="BW196" s="746">
        <f>AVERAGE((BW193/BR193-1)*BR149,(BW194/BR194-1)*BR158,(BW195/BR195-1)*BR167)</f>
        <v>0</v>
      </c>
      <c r="BX196" s="746">
        <f>AVERAGE((BX193/BS193-1)*BS149,(BX194/BS194-1)*BS158,(BX195/BS195-1)*BS167)</f>
        <v>0</v>
      </c>
      <c r="BY196" s="763"/>
      <c r="BZ196" s="746">
        <f>AVERAGE((BZ193/BU193-1)*BU149,(BZ194/BU194-1)*BU158,(BZ195/BU195-1)*BU167)</f>
        <v>0</v>
      </c>
      <c r="CA196" s="746">
        <f>AVERAGE((CA193/BV193-1)*BV149,(CA194/BV194-1)*BV158,(CA195/BV195-1)*BV167)</f>
        <v>0</v>
      </c>
      <c r="CB196" s="746">
        <f>AVERAGE((CB193/BW193-1)*BW149,(CB194/BW194-1)*BW158,(CB195/BW195-1)*BW167)</f>
        <v>0</v>
      </c>
      <c r="CC196" s="746">
        <f>AVERAGE((CC193/BX193-1)*BX149,(CC194/BX194-1)*BX158,(CC195/BX195-1)*BX167)</f>
        <v>0</v>
      </c>
      <c r="CD196" s="763"/>
    </row>
    <row r="197" spans="1:83">
      <c r="B197" s="725"/>
      <c r="C197" s="129"/>
      <c r="D197" s="129"/>
      <c r="E197" s="129"/>
      <c r="F197" s="129"/>
      <c r="G197" s="667"/>
      <c r="H197" s="129"/>
      <c r="I197" s="129"/>
      <c r="J197" s="129"/>
      <c r="K197" s="129"/>
      <c r="L197" s="667"/>
      <c r="M197" s="129"/>
      <c r="N197" s="129"/>
      <c r="O197" s="129"/>
      <c r="P197" s="129"/>
      <c r="Q197" s="667"/>
      <c r="R197" s="129"/>
      <c r="S197" s="129"/>
      <c r="T197" s="129"/>
      <c r="U197" s="129"/>
      <c r="V197" s="667"/>
      <c r="W197" s="129"/>
      <c r="X197" s="129"/>
      <c r="Y197" s="129"/>
      <c r="Z197" s="129"/>
      <c r="AA197" s="667"/>
      <c r="AB197" s="129"/>
      <c r="AC197" s="129"/>
      <c r="AD197" s="129"/>
      <c r="AE197" s="129"/>
      <c r="AF197" s="667"/>
      <c r="AG197" s="129"/>
      <c r="AH197" s="129"/>
      <c r="AI197" s="129"/>
      <c r="AJ197" s="129"/>
      <c r="AK197" s="667"/>
      <c r="AL197" s="762"/>
      <c r="AM197" s="762"/>
      <c r="AN197" s="762"/>
      <c r="AO197" s="762"/>
      <c r="AP197" s="763"/>
      <c r="AQ197" s="762"/>
      <c r="AR197" s="762"/>
      <c r="AS197" s="762"/>
      <c r="AT197" s="762"/>
      <c r="AU197" s="763"/>
      <c r="AV197" s="746"/>
      <c r="AW197" s="746"/>
      <c r="AX197" s="746"/>
      <c r="AY197" s="746"/>
      <c r="AZ197" s="763"/>
      <c r="BA197" s="746"/>
      <c r="BB197" s="746"/>
      <c r="BC197" s="746"/>
      <c r="BD197" s="746"/>
      <c r="BE197" s="763"/>
      <c r="BF197" s="746"/>
      <c r="BG197" s="746"/>
      <c r="BH197" s="746"/>
      <c r="BI197" s="746"/>
      <c r="BJ197" s="763"/>
      <c r="BK197" s="746"/>
      <c r="BL197" s="746"/>
      <c r="BM197" s="746"/>
      <c r="BN197" s="746"/>
      <c r="BO197" s="763"/>
      <c r="BP197" s="746"/>
      <c r="BQ197" s="746"/>
      <c r="BR197" s="746"/>
      <c r="BS197" s="746"/>
      <c r="BT197" s="763"/>
      <c r="BU197" s="746"/>
      <c r="BV197" s="746"/>
      <c r="BW197" s="746"/>
      <c r="BX197" s="746"/>
      <c r="BY197" s="763"/>
      <c r="BZ197" s="746"/>
      <c r="CA197" s="746"/>
      <c r="CB197" s="746"/>
      <c r="CC197" s="746"/>
      <c r="CD197" s="763"/>
    </row>
    <row r="198" spans="1:83">
      <c r="B198" s="725"/>
      <c r="C198" s="129"/>
      <c r="D198" s="129"/>
      <c r="E198" s="129"/>
      <c r="F198" s="129"/>
      <c r="G198" s="667"/>
      <c r="H198" s="129"/>
      <c r="I198" s="129"/>
      <c r="J198" s="129"/>
      <c r="K198" s="129"/>
      <c r="L198" s="667"/>
      <c r="M198" s="129"/>
      <c r="N198" s="129"/>
      <c r="O198" s="129"/>
      <c r="P198" s="129"/>
      <c r="Q198" s="667"/>
      <c r="R198" s="129"/>
      <c r="S198" s="129"/>
      <c r="T198" s="129"/>
      <c r="U198" s="129"/>
      <c r="V198" s="667"/>
      <c r="W198" s="129"/>
      <c r="X198" s="129"/>
      <c r="Y198" s="129"/>
      <c r="Z198" s="129"/>
      <c r="AA198" s="667"/>
      <c r="AB198" s="129"/>
      <c r="AC198" s="129"/>
      <c r="AD198" s="129"/>
      <c r="AE198" s="129"/>
      <c r="AF198" s="667"/>
      <c r="AG198" s="129"/>
      <c r="AH198" s="129"/>
      <c r="AI198" s="129"/>
      <c r="AJ198" s="129"/>
      <c r="AK198" s="667"/>
      <c r="AL198" s="762"/>
      <c r="AM198" s="762"/>
      <c r="AN198" s="762"/>
      <c r="AO198" s="762"/>
      <c r="AP198" s="763"/>
      <c r="AQ198" s="762"/>
      <c r="AR198" s="762"/>
      <c r="AS198" s="762"/>
      <c r="AT198" s="762"/>
      <c r="AU198" s="763"/>
      <c r="AV198" s="746"/>
      <c r="AW198" s="746"/>
      <c r="AX198" s="746"/>
      <c r="AY198" s="746"/>
      <c r="AZ198" s="763"/>
      <c r="BA198" s="759">
        <f>(BA193/AV193-1)*BA149*BA57</f>
        <v>-17.11588471153215</v>
      </c>
      <c r="BB198" s="759">
        <f>(BB193/AW193-1)*BB149*BB57</f>
        <v>-19.392567784534627</v>
      </c>
      <c r="BC198" s="759">
        <f>(BC193/AX193-1)*BC149*BC57</f>
        <v>-48.637430673484261</v>
      </c>
      <c r="BD198" s="759">
        <f>(BD193/AY193-1)*BD149*BD57</f>
        <v>-68.040183863549629</v>
      </c>
      <c r="BE198" s="763"/>
      <c r="BF198" s="759">
        <f>(BF193/BA193-1)*BF149*BF57</f>
        <v>-45.153399737738738</v>
      </c>
      <c r="BG198" s="759">
        <f>(BG193/BB193-1)*BG149*BG57</f>
        <v>-36.888503350676167</v>
      </c>
      <c r="BH198" s="759">
        <f>(BH193/BC193-1)*BH149*BH57</f>
        <v>-4.9358314174890063</v>
      </c>
      <c r="BI198" s="759">
        <f>(BI193/BD193-1)*BI149*BI57</f>
        <v>35.06749194910806</v>
      </c>
      <c r="BJ198" s="763"/>
      <c r="BK198" s="759">
        <f>(BK193/BF193-1)*BK149*BK57</f>
        <v>55.187825418008266</v>
      </c>
      <c r="BL198" s="759">
        <f>(BL193/BG193-1)*BL149*BL57</f>
        <v>46.360153512639172</v>
      </c>
      <c r="BM198" s="759">
        <f>(BM193/BH193-1)*BM149*BM57</f>
        <v>42.540927442434516</v>
      </c>
      <c r="BN198" s="759">
        <f>(BN193/BI193-1)*BN149*BN57</f>
        <v>39.105226958789906</v>
      </c>
      <c r="BO198" s="763"/>
      <c r="BP198" s="746"/>
      <c r="BQ198" s="746"/>
      <c r="BR198" s="746"/>
      <c r="BS198" s="746"/>
      <c r="BT198" s="763"/>
      <c r="BU198" s="746"/>
      <c r="BV198" s="746"/>
      <c r="BW198" s="746"/>
      <c r="BX198" s="746"/>
      <c r="BY198" s="763"/>
      <c r="BZ198" s="746"/>
      <c r="CA198" s="746"/>
      <c r="CB198" s="746"/>
      <c r="CC198" s="746"/>
      <c r="CD198" s="763"/>
    </row>
    <row r="199" spans="1:83">
      <c r="B199" s="725"/>
      <c r="C199" s="129"/>
      <c r="D199" s="129"/>
      <c r="E199" s="129"/>
      <c r="F199" s="129"/>
      <c r="G199" s="667"/>
      <c r="H199" s="129"/>
      <c r="I199" s="129"/>
      <c r="J199" s="129"/>
      <c r="K199" s="129"/>
      <c r="L199" s="667"/>
      <c r="M199" s="129"/>
      <c r="N199" s="129"/>
      <c r="O199" s="129"/>
      <c r="P199" s="129"/>
      <c r="Q199" s="667"/>
      <c r="R199" s="129"/>
      <c r="S199" s="129"/>
      <c r="T199" s="129"/>
      <c r="U199" s="129"/>
      <c r="V199" s="667"/>
      <c r="W199" s="129"/>
      <c r="X199" s="129"/>
      <c r="Y199" s="129"/>
      <c r="Z199" s="129"/>
      <c r="AA199" s="667"/>
      <c r="AB199" s="129"/>
      <c r="AC199" s="129"/>
      <c r="AD199" s="129"/>
      <c r="AE199" s="129"/>
      <c r="AF199" s="667"/>
      <c r="AG199" s="129"/>
      <c r="AH199" s="129"/>
      <c r="AI199" s="129"/>
      <c r="AJ199" s="129"/>
      <c r="AK199" s="667"/>
      <c r="AL199" s="762"/>
      <c r="AM199" s="762"/>
      <c r="AN199" s="762"/>
      <c r="AO199" s="762"/>
      <c r="AP199" s="763"/>
      <c r="AQ199" s="762"/>
      <c r="AR199" s="762"/>
      <c r="AS199" s="762"/>
      <c r="AT199" s="762"/>
      <c r="AU199" s="763"/>
      <c r="AV199" s="746"/>
      <c r="AW199" s="746"/>
      <c r="AX199" s="746"/>
      <c r="AY199" s="746"/>
      <c r="AZ199" s="763"/>
      <c r="BA199" s="759">
        <f>(BA194/AV194-1)*BA158*BA57</f>
        <v>-10.273762715170115</v>
      </c>
      <c r="BB199" s="759">
        <f>(BB194/AW194-1)*BB158*BB57</f>
        <v>11.343604370967462</v>
      </c>
      <c r="BC199" s="759">
        <f>(BC194/AX194-1)*BC158*BC57</f>
        <v>1.4564107072689125</v>
      </c>
      <c r="BD199" s="759">
        <f>(BD194/AY194-1)*BD158*BD57</f>
        <v>-10.336111272782857</v>
      </c>
      <c r="BE199" s="763"/>
      <c r="BF199" s="759">
        <f>(BF194/BA194-1)*BF158*BF57</f>
        <v>-17.656559911509159</v>
      </c>
      <c r="BG199" s="759">
        <f>(BG194/BB194-1)*BG158*BG57</f>
        <v>-14.385028372053085</v>
      </c>
      <c r="BH199" s="759">
        <f>(BH194/BC194-1)*BH158*BH57</f>
        <v>16.458355566388171</v>
      </c>
      <c r="BI199" s="759">
        <f>(BI194/BD194-1)*BI158*BI57</f>
        <v>82.586330370600692</v>
      </c>
      <c r="BJ199" s="763"/>
      <c r="BK199" s="759">
        <f>(BK194/BF194-1)*BK158*BK57</f>
        <v>110.25396338767531</v>
      </c>
      <c r="BL199" s="759">
        <f>(BL194/BG194-1)*BL158*BL57</f>
        <v>89.005204948381277</v>
      </c>
      <c r="BM199" s="759">
        <f>(BM194/BH194-1)*BM158*BM57</f>
        <v>49.870778378409454</v>
      </c>
      <c r="BN199" s="759">
        <f>(BN194/BI194-1)*BN158*BN57</f>
        <v>46.823340995160898</v>
      </c>
      <c r="BO199" s="763"/>
      <c r="BP199" s="746"/>
      <c r="BQ199" s="746"/>
      <c r="BR199" s="746"/>
      <c r="BS199" s="746"/>
      <c r="BT199" s="763"/>
      <c r="BU199" s="746"/>
      <c r="BV199" s="746"/>
      <c r="BW199" s="746"/>
      <c r="BX199" s="746"/>
      <c r="BY199" s="763"/>
      <c r="BZ199" s="746"/>
      <c r="CA199" s="746"/>
      <c r="CB199" s="746"/>
      <c r="CC199" s="746"/>
      <c r="CD199" s="763"/>
    </row>
    <row r="200" spans="1:83">
      <c r="B200" s="725"/>
      <c r="C200" s="129"/>
      <c r="D200" s="129"/>
      <c r="E200" s="129"/>
      <c r="F200" s="129"/>
      <c r="G200" s="667"/>
      <c r="H200" s="129"/>
      <c r="I200" s="129"/>
      <c r="J200" s="129"/>
      <c r="K200" s="129"/>
      <c r="L200" s="667"/>
      <c r="M200" s="129"/>
      <c r="N200" s="129"/>
      <c r="O200" s="129"/>
      <c r="P200" s="129"/>
      <c r="Q200" s="667"/>
      <c r="R200" s="129"/>
      <c r="S200" s="129"/>
      <c r="T200" s="129"/>
      <c r="U200" s="129"/>
      <c r="V200" s="667"/>
      <c r="W200" s="129"/>
      <c r="X200" s="129"/>
      <c r="Y200" s="129"/>
      <c r="Z200" s="129"/>
      <c r="AA200" s="667"/>
      <c r="AB200" s="129"/>
      <c r="AC200" s="129"/>
      <c r="AD200" s="129"/>
      <c r="AE200" s="129"/>
      <c r="AF200" s="667"/>
      <c r="AG200" s="129"/>
      <c r="AH200" s="129"/>
      <c r="AI200" s="129"/>
      <c r="AJ200" s="129"/>
      <c r="AK200" s="667"/>
      <c r="AL200" s="762"/>
      <c r="AM200" s="762"/>
      <c r="AN200" s="762"/>
      <c r="AO200" s="762"/>
      <c r="AP200" s="763"/>
      <c r="AQ200" s="762"/>
      <c r="AR200" s="762"/>
      <c r="AS200" s="762"/>
      <c r="AT200" s="762"/>
      <c r="AU200" s="763"/>
      <c r="AV200" s="746"/>
      <c r="AW200" s="746"/>
      <c r="AX200" s="746"/>
      <c r="AY200" s="746"/>
      <c r="AZ200" s="763"/>
      <c r="BA200" s="759">
        <f>(BA195/AV195-1)*BA167*BA57</f>
        <v>-31.26288823743694</v>
      </c>
      <c r="BB200" s="759">
        <f>(BB195/AW195-1)*BB167*BB57</f>
        <v>-14.509383999188968</v>
      </c>
      <c r="BC200" s="759">
        <f>(BC195/AX195-1)*BC167*BC57</f>
        <v>17.623842140237812</v>
      </c>
      <c r="BD200" s="759">
        <f>(BD195/AY195-1)*BD167*BD57</f>
        <v>9.5489926128368641</v>
      </c>
      <c r="BE200" s="763"/>
      <c r="BF200" s="759">
        <f>(BF195/BA195-1)*BF167*BF57</f>
        <v>22.064688425641474</v>
      </c>
      <c r="BG200" s="759">
        <f>(BG195/BB195-1)*BG167*BG57</f>
        <v>3.2091862915763056</v>
      </c>
      <c r="BH200" s="759">
        <f>(BH195/BC195-1)*BH167*BH57</f>
        <v>11.348653309900618</v>
      </c>
      <c r="BI200" s="759">
        <f>(BI195/BD195-1)*BI167*BI57</f>
        <v>7.977651055592256</v>
      </c>
      <c r="BJ200" s="763"/>
      <c r="BK200" s="759">
        <f>(BK195/BF195-1)*BK167*BK57</f>
        <v>20.062688062625767</v>
      </c>
      <c r="BL200" s="759">
        <f>(BL195/BG195-1)*BL167*BL57</f>
        <v>14.755175767137294</v>
      </c>
      <c r="BM200" s="759">
        <f>(BM195/BH195-1)*BM167*BM57</f>
        <v>-2.8934228900254784</v>
      </c>
      <c r="BN200" s="759">
        <f>(BN195/BI195-1)*BN167*BN57</f>
        <v>1.2479678462738493</v>
      </c>
      <c r="BO200" s="763"/>
      <c r="BP200" s="746"/>
      <c r="BQ200" s="746"/>
      <c r="BR200" s="746"/>
      <c r="BS200" s="746"/>
      <c r="BT200" s="763"/>
      <c r="BU200" s="746"/>
      <c r="BV200" s="746"/>
      <c r="BW200" s="746"/>
      <c r="BX200" s="746"/>
      <c r="BY200" s="763"/>
      <c r="BZ200" s="746"/>
      <c r="CA200" s="746"/>
      <c r="CB200" s="746"/>
      <c r="CC200" s="746"/>
      <c r="CD200" s="763"/>
    </row>
    <row r="201" spans="1:83">
      <c r="B201" s="725" t="s">
        <v>368</v>
      </c>
      <c r="C201" s="129"/>
      <c r="D201" s="129"/>
      <c r="E201" s="129"/>
      <c r="F201" s="129"/>
      <c r="G201" s="667"/>
      <c r="H201" s="129"/>
      <c r="I201" s="129"/>
      <c r="J201" s="129"/>
      <c r="K201" s="129"/>
      <c r="L201" s="667"/>
      <c r="M201" s="129"/>
      <c r="N201" s="129"/>
      <c r="O201" s="129"/>
      <c r="P201" s="129"/>
      <c r="Q201" s="667"/>
      <c r="R201" s="129"/>
      <c r="S201" s="129"/>
      <c r="T201" s="129"/>
      <c r="U201" s="129"/>
      <c r="V201" s="667"/>
      <c r="W201" s="129"/>
      <c r="X201" s="129"/>
      <c r="Y201" s="129"/>
      <c r="Z201" s="129"/>
      <c r="AA201" s="667"/>
      <c r="AB201" s="129"/>
      <c r="AC201" s="129"/>
      <c r="AD201" s="129"/>
      <c r="AE201" s="129"/>
      <c r="AF201" s="667"/>
      <c r="AG201" s="129"/>
      <c r="AH201" s="129"/>
      <c r="AI201" s="129"/>
      <c r="AJ201" s="129"/>
      <c r="AK201" s="667"/>
      <c r="AL201" s="762"/>
      <c r="AM201" s="762"/>
      <c r="AN201" s="762"/>
      <c r="AO201" s="762"/>
      <c r="AP201" s="763"/>
      <c r="AQ201" s="762"/>
      <c r="AR201" s="762"/>
      <c r="AS201" s="762"/>
      <c r="AT201" s="762"/>
      <c r="AU201" s="763"/>
      <c r="AV201" s="746"/>
      <c r="AW201" s="746"/>
      <c r="AX201" s="746"/>
      <c r="AY201" s="746"/>
      <c r="AZ201" s="763"/>
      <c r="BA201" s="713">
        <f>-SUM(BA198:BA200)</f>
        <v>58.652535664139208</v>
      </c>
      <c r="BB201" s="713">
        <f>-SUM(BB198:BB200)</f>
        <v>22.558347412756135</v>
      </c>
      <c r="BC201" s="713">
        <f>-SUM(BC198:BC200)</f>
        <v>29.557177825977533</v>
      </c>
      <c r="BD201" s="713">
        <f>-SUM(BD198:BD200)</f>
        <v>68.827302523495618</v>
      </c>
      <c r="BE201" s="763"/>
      <c r="BF201" s="713">
        <f>-SUM(BF198:BF200)</f>
        <v>40.745271223606423</v>
      </c>
      <c r="BG201" s="713">
        <f>-SUM(BG198:BG200)</f>
        <v>48.064345431152944</v>
      </c>
      <c r="BH201" s="713">
        <f>-SUM(BH198:BH200)</f>
        <v>-22.871177458799785</v>
      </c>
      <c r="BI201" s="713">
        <f>-SUM(BI198:BI200)</f>
        <v>-125.63147337530101</v>
      </c>
      <c r="BJ201" s="763"/>
      <c r="BK201" s="713">
        <f>-SUM(BK198:BK200)</f>
        <v>-185.50447686830935</v>
      </c>
      <c r="BL201" s="713">
        <f>-SUM(BL198:BL200)</f>
        <v>-150.12053422815774</v>
      </c>
      <c r="BM201" s="713">
        <f>-SUM(BM198:BM200)</f>
        <v>-89.518282930818486</v>
      </c>
      <c r="BN201" s="713">
        <f>-SUM(BN198:BN200)</f>
        <v>-87.176535800224656</v>
      </c>
      <c r="BO201" s="763"/>
      <c r="BP201" s="746"/>
      <c r="BQ201" s="746"/>
      <c r="BR201" s="746"/>
      <c r="BS201" s="746"/>
      <c r="BT201" s="763"/>
      <c r="BU201" s="746"/>
      <c r="BV201" s="746"/>
      <c r="BW201" s="746"/>
      <c r="BX201" s="746"/>
      <c r="BY201" s="763"/>
      <c r="BZ201" s="746"/>
      <c r="CA201" s="746"/>
      <c r="CB201" s="746"/>
      <c r="CC201" s="746"/>
      <c r="CD201" s="763"/>
    </row>
    <row r="202" spans="1:83">
      <c r="B202" s="765"/>
      <c r="C202" s="766"/>
      <c r="D202" s="766"/>
      <c r="E202" s="766"/>
      <c r="F202" s="766"/>
      <c r="G202" s="767"/>
      <c r="H202" s="766"/>
      <c r="I202" s="766"/>
      <c r="J202" s="766"/>
      <c r="K202" s="766"/>
      <c r="L202" s="767"/>
      <c r="M202" s="766"/>
      <c r="N202" s="766"/>
      <c r="O202" s="766"/>
      <c r="P202" s="766"/>
      <c r="Q202" s="767"/>
      <c r="R202" s="766"/>
      <c r="S202" s="766"/>
      <c r="T202" s="766"/>
      <c r="U202" s="766"/>
      <c r="V202" s="767"/>
      <c r="W202" s="766"/>
      <c r="X202" s="766"/>
      <c r="Y202" s="766"/>
      <c r="Z202" s="766"/>
      <c r="AA202" s="767"/>
      <c r="AB202" s="766"/>
      <c r="AC202" s="766"/>
      <c r="AD202" s="766"/>
      <c r="AE202" s="766"/>
      <c r="AF202" s="767"/>
      <c r="AG202" s="766"/>
      <c r="AH202" s="766"/>
      <c r="AI202" s="766"/>
      <c r="AJ202" s="766"/>
      <c r="AK202" s="767"/>
      <c r="AL202" s="766"/>
      <c r="AM202" s="766"/>
      <c r="AN202" s="766"/>
      <c r="AO202" s="766"/>
      <c r="AP202" s="767"/>
      <c r="AQ202" s="766"/>
      <c r="AR202" s="766"/>
      <c r="AS202" s="766"/>
      <c r="AT202" s="766"/>
      <c r="AU202" s="767"/>
      <c r="AV202" s="766"/>
      <c r="AW202" s="768"/>
      <c r="AX202" s="768"/>
      <c r="AY202" s="768"/>
      <c r="AZ202" s="710"/>
      <c r="BA202" s="766"/>
      <c r="BB202" s="768"/>
      <c r="BC202" s="768"/>
      <c r="BD202" s="768"/>
      <c r="BE202" s="710"/>
      <c r="BF202" s="766"/>
      <c r="BG202" s="766"/>
      <c r="BH202" s="766"/>
      <c r="BI202" s="768"/>
      <c r="BJ202" s="767"/>
      <c r="BK202" s="766"/>
      <c r="BL202" s="766"/>
      <c r="BM202" s="766"/>
      <c r="BN202" s="766"/>
      <c r="BO202" s="767"/>
      <c r="BP202" s="766"/>
      <c r="BQ202" s="766"/>
      <c r="BR202" s="766"/>
      <c r="BS202" s="766"/>
      <c r="BT202" s="767"/>
      <c r="BU202" s="766"/>
      <c r="BV202" s="766"/>
      <c r="BW202" s="766"/>
      <c r="BX202" s="766"/>
      <c r="BY202" s="767"/>
      <c r="BZ202" s="766"/>
      <c r="CA202" s="766"/>
      <c r="CB202" s="766"/>
      <c r="CC202" s="766"/>
      <c r="CD202" s="767"/>
    </row>
    <row r="203" spans="1:83">
      <c r="B203" s="712"/>
      <c r="BA203" s="762"/>
      <c r="BF203" s="762"/>
      <c r="BG203" s="762"/>
      <c r="BH203" s="762"/>
    </row>
    <row r="204" spans="1:83">
      <c r="B204" s="712"/>
      <c r="BA204" s="762"/>
      <c r="BF204" s="762"/>
      <c r="BG204" s="762"/>
      <c r="BH204" s="762"/>
    </row>
    <row r="205" spans="1:83" ht="15.75">
      <c r="A205" s="533"/>
      <c r="B205" s="769" t="s">
        <v>369</v>
      </c>
      <c r="C205" s="770"/>
      <c r="D205" s="770"/>
      <c r="E205" s="770"/>
      <c r="F205" s="770"/>
      <c r="G205" s="770"/>
      <c r="H205" s="770"/>
      <c r="I205" s="770"/>
      <c r="J205" s="770"/>
      <c r="K205" s="770"/>
      <c r="L205" s="770"/>
      <c r="M205" s="770"/>
      <c r="N205" s="770"/>
      <c r="O205" s="770"/>
      <c r="P205" s="770"/>
      <c r="Q205" s="770"/>
      <c r="R205" s="770"/>
      <c r="S205" s="770"/>
      <c r="T205" s="770"/>
      <c r="U205" s="770"/>
      <c r="V205" s="770"/>
      <c r="W205" s="770"/>
      <c r="X205" s="770"/>
      <c r="Y205" s="770"/>
      <c r="Z205" s="770"/>
      <c r="AA205" s="770"/>
      <c r="AB205" s="770"/>
      <c r="AC205" s="770"/>
      <c r="AD205" s="770"/>
      <c r="AE205" s="770"/>
      <c r="AF205" s="770"/>
      <c r="AG205" s="770"/>
      <c r="AH205" s="770"/>
      <c r="AI205" s="770"/>
      <c r="AJ205" s="770"/>
      <c r="AK205" s="770"/>
      <c r="AL205" s="770"/>
      <c r="AM205" s="770"/>
      <c r="AN205" s="770"/>
      <c r="AO205" s="770"/>
      <c r="AP205" s="770"/>
      <c r="AQ205" s="770"/>
      <c r="AR205" s="770"/>
      <c r="AS205" s="770"/>
      <c r="AT205" s="770"/>
      <c r="AU205" s="770"/>
      <c r="AV205" s="770"/>
      <c r="AW205" s="770"/>
      <c r="AX205" s="770"/>
      <c r="AY205" s="770"/>
      <c r="AZ205" s="770"/>
      <c r="BA205" s="762"/>
      <c r="BB205" s="770"/>
      <c r="BC205" s="770"/>
      <c r="BD205" s="770"/>
      <c r="BF205" s="762"/>
      <c r="BG205" s="762"/>
      <c r="BH205" s="762"/>
      <c r="BI205" s="770"/>
      <c r="BJ205" s="770"/>
      <c r="BK205" s="770"/>
      <c r="BL205" s="770"/>
      <c r="BM205" s="770"/>
      <c r="BN205" s="770"/>
      <c r="BO205" s="770"/>
      <c r="BP205" s="770"/>
      <c r="BQ205" s="770"/>
      <c r="BR205" s="770"/>
      <c r="BS205" s="770"/>
      <c r="BT205" s="770"/>
      <c r="BU205" s="770"/>
      <c r="BV205" s="770"/>
      <c r="BW205" s="770"/>
      <c r="BX205" s="770"/>
      <c r="BY205" s="770"/>
      <c r="BZ205" s="770"/>
      <c r="CA205" s="770"/>
      <c r="CB205" s="770"/>
      <c r="CC205" s="770"/>
      <c r="CD205" s="770"/>
      <c r="CE205" s="310"/>
    </row>
    <row r="206" spans="1:83">
      <c r="A206" s="538"/>
      <c r="B206" s="771" t="s">
        <v>370</v>
      </c>
      <c r="C206" s="223"/>
      <c r="D206" s="772"/>
      <c r="E206" s="772"/>
      <c r="F206" s="773"/>
      <c r="G206" s="646"/>
      <c r="H206" s="223"/>
      <c r="I206" s="772"/>
      <c r="J206" s="772"/>
      <c r="K206" s="773"/>
      <c r="L206" s="646"/>
      <c r="M206" s="223"/>
      <c r="N206" s="772"/>
      <c r="O206" s="772"/>
      <c r="P206" s="773"/>
      <c r="Q206" s="646"/>
      <c r="R206" s="223"/>
      <c r="S206" s="772"/>
      <c r="T206" s="772"/>
      <c r="U206" s="773"/>
      <c r="V206" s="646"/>
      <c r="W206" s="223"/>
      <c r="X206" s="772"/>
      <c r="Y206" s="772"/>
      <c r="Z206" s="773"/>
      <c r="AA206" s="646"/>
      <c r="AB206" s="223"/>
      <c r="AC206" s="772"/>
      <c r="AD206" s="772"/>
      <c r="AE206" s="773"/>
      <c r="AF206" s="646"/>
      <c r="AG206" s="223"/>
      <c r="AH206" s="772"/>
      <c r="AI206" s="772"/>
      <c r="AJ206" s="773"/>
      <c r="AK206" s="646"/>
      <c r="AL206" s="223"/>
      <c r="AM206" s="772"/>
      <c r="AN206" s="772"/>
      <c r="AO206" s="773"/>
      <c r="AP206" s="655"/>
      <c r="AQ206" s="223"/>
      <c r="AR206" s="772"/>
      <c r="AS206" s="772"/>
      <c r="AT206" s="773"/>
      <c r="AU206" s="655"/>
      <c r="AV206" s="223"/>
      <c r="AW206" s="650"/>
      <c r="AX206" s="650"/>
      <c r="AY206" s="650"/>
      <c r="AZ206" s="655"/>
      <c r="BA206" s="774"/>
      <c r="BB206" s="650"/>
      <c r="BC206" s="650"/>
      <c r="BD206" s="650"/>
      <c r="BE206" s="775"/>
      <c r="BF206" s="774"/>
      <c r="BG206" s="776"/>
      <c r="BH206" s="776"/>
      <c r="BI206" s="650"/>
      <c r="BJ206" s="655"/>
      <c r="BK206" s="650"/>
      <c r="BL206" s="650"/>
      <c r="BM206" s="650"/>
      <c r="BN206" s="650"/>
      <c r="BO206" s="655"/>
      <c r="BP206" s="650"/>
      <c r="BQ206" s="650"/>
      <c r="BR206" s="650"/>
      <c r="BS206" s="650"/>
      <c r="BT206" s="655"/>
      <c r="BU206" s="650"/>
      <c r="BV206" s="650"/>
      <c r="BW206" s="650"/>
      <c r="BX206" s="650"/>
      <c r="BY206" s="655"/>
      <c r="BZ206" s="650"/>
      <c r="CA206" s="650"/>
      <c r="CB206" s="650"/>
      <c r="CC206" s="650"/>
      <c r="CD206" s="655"/>
      <c r="CE206" s="601"/>
    </row>
    <row r="207" spans="1:83">
      <c r="A207" s="538"/>
      <c r="B207" s="777"/>
      <c r="C207" s="223"/>
      <c r="D207" s="772"/>
      <c r="E207" s="772"/>
      <c r="F207" s="773"/>
      <c r="G207" s="646"/>
      <c r="H207" s="223"/>
      <c r="I207" s="772"/>
      <c r="J207" s="772"/>
      <c r="K207" s="773"/>
      <c r="L207" s="646"/>
      <c r="M207" s="223"/>
      <c r="N207" s="772"/>
      <c r="O207" s="772"/>
      <c r="P207" s="773"/>
      <c r="Q207" s="646"/>
      <c r="R207" s="223"/>
      <c r="S207" s="772"/>
      <c r="T207" s="772"/>
      <c r="U207" s="773"/>
      <c r="V207" s="646"/>
      <c r="W207" s="223"/>
      <c r="X207" s="772"/>
      <c r="Y207" s="772"/>
      <c r="Z207" s="773"/>
      <c r="AA207" s="646"/>
      <c r="AB207" s="223"/>
      <c r="AC207" s="772"/>
      <c r="AD207" s="772"/>
      <c r="AE207" s="773"/>
      <c r="AF207" s="646"/>
      <c r="AG207" s="223"/>
      <c r="AH207" s="772"/>
      <c r="AI207" s="772"/>
      <c r="AJ207" s="773"/>
      <c r="AK207" s="646"/>
      <c r="AL207" s="223"/>
      <c r="AM207" s="772"/>
      <c r="AN207" s="772"/>
      <c r="AO207" s="773"/>
      <c r="AP207" s="655"/>
      <c r="AQ207" s="223"/>
      <c r="AR207" s="772"/>
      <c r="AS207" s="772"/>
      <c r="AT207" s="773"/>
      <c r="AU207" s="655"/>
      <c r="AV207" s="223"/>
      <c r="AW207" s="650"/>
      <c r="AX207" s="650"/>
      <c r="AY207" s="650"/>
      <c r="AZ207" s="655"/>
      <c r="BA207" s="650"/>
      <c r="BB207" s="650"/>
      <c r="BC207" s="650"/>
      <c r="BD207" s="650"/>
      <c r="BE207" s="655"/>
      <c r="BF207" s="650"/>
      <c r="BG207" s="650"/>
      <c r="BH207" s="650"/>
      <c r="BI207" s="650"/>
      <c r="BJ207" s="655"/>
      <c r="BK207" s="650"/>
      <c r="BL207" s="650"/>
      <c r="BM207" s="650"/>
      <c r="BN207" s="650"/>
      <c r="BO207" s="655"/>
      <c r="BP207" s="650"/>
      <c r="BQ207" s="650"/>
      <c r="BR207" s="650"/>
      <c r="BS207" s="650"/>
      <c r="BT207" s="655"/>
      <c r="BU207" s="650"/>
      <c r="BV207" s="650"/>
      <c r="BW207" s="650"/>
      <c r="BX207" s="650"/>
      <c r="BY207" s="655"/>
      <c r="BZ207" s="650"/>
      <c r="CA207" s="650"/>
      <c r="CB207" s="650"/>
      <c r="CC207" s="650"/>
      <c r="CD207" s="655"/>
      <c r="CE207" s="601"/>
    </row>
    <row r="208" spans="1:83">
      <c r="A208" s="538"/>
      <c r="B208" s="778" t="s">
        <v>371</v>
      </c>
      <c r="C208" s="223">
        <v>328.15</v>
      </c>
      <c r="D208" s="772">
        <v>330.68400000000003</v>
      </c>
      <c r="E208" s="772">
        <v>340.03199999999998</v>
      </c>
      <c r="F208" s="773">
        <v>402.95800000000003</v>
      </c>
      <c r="G208" s="655">
        <f>SUM(C208:F208)</f>
        <v>1401.8240000000001</v>
      </c>
      <c r="H208" s="223">
        <v>418.99200000000002</v>
      </c>
      <c r="I208" s="772">
        <v>432.29399999999998</v>
      </c>
      <c r="J208" s="772">
        <v>447.952</v>
      </c>
      <c r="K208" s="773">
        <v>539.30100000000004</v>
      </c>
      <c r="L208" s="655">
        <f>SUM(H208:K208)</f>
        <v>1838.5390000000002</v>
      </c>
      <c r="M208" s="223">
        <v>559.72</v>
      </c>
      <c r="N208" s="772">
        <v>580.28700000000003</v>
      </c>
      <c r="O208" s="772">
        <v>576.30200000000002</v>
      </c>
      <c r="P208" s="773">
        <v>604.18600000000004</v>
      </c>
      <c r="Q208" s="655">
        <f>SUM(M208:P208)</f>
        <v>2320.4950000000003</v>
      </c>
      <c r="R208" s="223">
        <v>604.83299999999997</v>
      </c>
      <c r="S208" s="772">
        <v>630.16200000000003</v>
      </c>
      <c r="T208" s="772">
        <v>649.15899999999999</v>
      </c>
      <c r="U208" s="773">
        <v>757.04</v>
      </c>
      <c r="V208" s="655">
        <f>SUM(R208:U208)</f>
        <v>2641.194</v>
      </c>
      <c r="W208" s="223">
        <v>766.572</v>
      </c>
      <c r="X208" s="772">
        <v>770.755</v>
      </c>
      <c r="Y208" s="772">
        <v>797.82600000000002</v>
      </c>
      <c r="Z208" s="773">
        <v>926.16099999999994</v>
      </c>
      <c r="AA208" s="655">
        <f>SUM(W208:Z208)</f>
        <v>3261.3140000000003</v>
      </c>
      <c r="AB208" s="223">
        <v>942.70899999999995</v>
      </c>
      <c r="AC208" s="772">
        <v>991.11800000000005</v>
      </c>
      <c r="AD208" s="772">
        <v>1032.816</v>
      </c>
      <c r="AE208" s="773">
        <v>1156.6590000000001</v>
      </c>
      <c r="AF208" s="655">
        <f>SUM(AB208:AE208)</f>
        <v>4123.3019999999997</v>
      </c>
      <c r="AG208" s="223">
        <v>1216</v>
      </c>
      <c r="AH208" s="772">
        <v>1234</v>
      </c>
      <c r="AI208" s="772">
        <v>1264</v>
      </c>
      <c r="AJ208" s="773">
        <v>1432</v>
      </c>
      <c r="AK208" s="655">
        <f>SUM(AG208:AJ208)</f>
        <v>5146</v>
      </c>
      <c r="AL208" s="223">
        <v>1435</v>
      </c>
      <c r="AM208" s="772">
        <v>1475</v>
      </c>
      <c r="AN208" s="772">
        <v>1493</v>
      </c>
      <c r="AO208" s="773">
        <v>1693</v>
      </c>
      <c r="AP208" s="655">
        <f>SUM(AL208:AO208)</f>
        <v>6096</v>
      </c>
      <c r="AQ208" s="223">
        <v>1700</v>
      </c>
      <c r="AR208" s="772">
        <v>1741</v>
      </c>
      <c r="AS208" s="772">
        <v>1783</v>
      </c>
      <c r="AT208" s="773">
        <v>1994</v>
      </c>
      <c r="AU208" s="655">
        <f>SUM(AQ208:AT208)</f>
        <v>7218</v>
      </c>
      <c r="AV208" s="223">
        <v>1940</v>
      </c>
      <c r="AW208" s="650"/>
      <c r="AX208" s="650"/>
      <c r="AY208" s="650"/>
      <c r="AZ208" s="655"/>
      <c r="BA208" s="650"/>
      <c r="BB208" s="650"/>
      <c r="BC208" s="650"/>
      <c r="BD208" s="650"/>
      <c r="BE208" s="655"/>
      <c r="BF208" s="650"/>
      <c r="BG208" s="650"/>
      <c r="BH208" s="650"/>
      <c r="BI208" s="650"/>
      <c r="BJ208" s="655"/>
      <c r="BK208" s="650"/>
      <c r="BL208" s="650"/>
      <c r="BM208" s="650"/>
      <c r="BN208" s="650"/>
      <c r="BO208" s="655"/>
      <c r="BP208" s="650"/>
      <c r="BQ208" s="650"/>
      <c r="BR208" s="650"/>
      <c r="BS208" s="650"/>
      <c r="BT208" s="655"/>
      <c r="BU208" s="650"/>
      <c r="BV208" s="650"/>
      <c r="BW208" s="650"/>
      <c r="BX208" s="650"/>
      <c r="BY208" s="655"/>
      <c r="BZ208" s="650"/>
      <c r="CA208" s="650"/>
      <c r="CB208" s="650"/>
      <c r="CC208" s="650"/>
      <c r="CD208" s="655"/>
      <c r="CE208" s="601"/>
    </row>
    <row r="209" spans="1:83">
      <c r="A209" s="538"/>
      <c r="B209" s="670" t="s">
        <v>21</v>
      </c>
      <c r="C209" s="173"/>
      <c r="D209" s="173"/>
      <c r="E209" s="173"/>
      <c r="F209" s="173"/>
      <c r="G209" s="549"/>
      <c r="H209" s="173">
        <f t="shared" ref="H209:AV209" si="63">H208/C208-1</f>
        <v>0.27683071765960698</v>
      </c>
      <c r="I209" s="173">
        <f t="shared" si="63"/>
        <v>0.30727219944115824</v>
      </c>
      <c r="J209" s="173">
        <f t="shared" si="63"/>
        <v>0.31738189346885015</v>
      </c>
      <c r="K209" s="173">
        <f t="shared" si="63"/>
        <v>0.33835536209729056</v>
      </c>
      <c r="L209" s="549">
        <f t="shared" si="63"/>
        <v>0.31153340219599612</v>
      </c>
      <c r="M209" s="173">
        <f t="shared" si="63"/>
        <v>0.33587276129377175</v>
      </c>
      <c r="N209" s="173">
        <f t="shared" si="63"/>
        <v>0.34234340518258422</v>
      </c>
      <c r="O209" s="173">
        <f t="shared" si="63"/>
        <v>0.28652623495374518</v>
      </c>
      <c r="P209" s="173">
        <f t="shared" si="63"/>
        <v>0.12031314609095856</v>
      </c>
      <c r="Q209" s="549">
        <f t="shared" si="63"/>
        <v>0.26214075415316196</v>
      </c>
      <c r="R209" s="173">
        <f t="shared" si="63"/>
        <v>8.0599228185521232E-2</v>
      </c>
      <c r="S209" s="173">
        <f t="shared" si="63"/>
        <v>8.5948849448634901E-2</v>
      </c>
      <c r="T209" s="173">
        <f t="shared" si="63"/>
        <v>0.12642156369403534</v>
      </c>
      <c r="U209" s="173">
        <f t="shared" si="63"/>
        <v>0.25299162840582201</v>
      </c>
      <c r="V209" s="549">
        <f t="shared" si="63"/>
        <v>0.13820284034225438</v>
      </c>
      <c r="W209" s="173">
        <f t="shared" si="63"/>
        <v>0.26741100435988119</v>
      </c>
      <c r="X209" s="173">
        <f t="shared" si="63"/>
        <v>0.22310612191785606</v>
      </c>
      <c r="Y209" s="173">
        <f t="shared" si="63"/>
        <v>0.22901477141963689</v>
      </c>
      <c r="Z209" s="173">
        <f t="shared" si="63"/>
        <v>0.22339770685829019</v>
      </c>
      <c r="AA209" s="549">
        <f t="shared" si="63"/>
        <v>0.23478775129732998</v>
      </c>
      <c r="AB209" s="173">
        <f t="shared" si="63"/>
        <v>0.22977228492561674</v>
      </c>
      <c r="AC209" s="173">
        <f t="shared" si="63"/>
        <v>0.28590537849251718</v>
      </c>
      <c r="AD209" s="173">
        <f t="shared" si="63"/>
        <v>0.29453790676162472</v>
      </c>
      <c r="AE209" s="173">
        <f t="shared" si="63"/>
        <v>0.24887465570241041</v>
      </c>
      <c r="AF209" s="549">
        <f t="shared" si="63"/>
        <v>0.26430696338960291</v>
      </c>
      <c r="AG209" s="173">
        <f t="shared" si="63"/>
        <v>0.28989964029196713</v>
      </c>
      <c r="AH209" s="173">
        <f t="shared" si="63"/>
        <v>0.24505861057916412</v>
      </c>
      <c r="AI209" s="173">
        <f t="shared" si="63"/>
        <v>0.22383851528248977</v>
      </c>
      <c r="AJ209" s="173">
        <f t="shared" si="63"/>
        <v>0.23804855190682805</v>
      </c>
      <c r="AK209" s="549">
        <f t="shared" si="63"/>
        <v>0.24802888558732783</v>
      </c>
      <c r="AL209" s="173">
        <f t="shared" si="63"/>
        <v>0.18009868421052633</v>
      </c>
      <c r="AM209" s="173">
        <f t="shared" si="63"/>
        <v>0.19529983792544581</v>
      </c>
      <c r="AN209" s="173">
        <f t="shared" si="63"/>
        <v>0.18117088607594933</v>
      </c>
      <c r="AO209" s="173">
        <f t="shared" si="63"/>
        <v>0.1822625698324023</v>
      </c>
      <c r="AP209" s="549">
        <f>AP208/AK208-1</f>
        <v>0.1846094053633891</v>
      </c>
      <c r="AQ209" s="173">
        <f t="shared" si="63"/>
        <v>0.18466898954703836</v>
      </c>
      <c r="AR209" s="173">
        <f t="shared" si="63"/>
        <v>0.1803389830508475</v>
      </c>
      <c r="AS209" s="173">
        <f t="shared" si="63"/>
        <v>0.19423978566644351</v>
      </c>
      <c r="AT209" s="173">
        <f t="shared" si="63"/>
        <v>0.17779090372120487</v>
      </c>
      <c r="AU209" s="549">
        <f>AU208/AP208-1</f>
        <v>0.18405511811023612</v>
      </c>
      <c r="AV209" s="173">
        <f t="shared" si="63"/>
        <v>0.14117647058823524</v>
      </c>
      <c r="AW209" s="650"/>
      <c r="AX209" s="650"/>
      <c r="AY209" s="650"/>
      <c r="AZ209" s="655"/>
      <c r="BA209" s="650"/>
      <c r="BB209" s="650"/>
      <c r="BC209" s="650"/>
      <c r="BD209" s="650"/>
      <c r="BE209" s="655"/>
      <c r="BF209" s="650"/>
      <c r="BG209" s="650"/>
      <c r="BH209" s="650"/>
      <c r="BI209" s="650"/>
      <c r="BJ209" s="655"/>
      <c r="BK209" s="650"/>
      <c r="BL209" s="650"/>
      <c r="BM209" s="650"/>
      <c r="BN209" s="650"/>
      <c r="BO209" s="655"/>
      <c r="BP209" s="650"/>
      <c r="BQ209" s="650"/>
      <c r="BR209" s="650"/>
      <c r="BS209" s="650"/>
      <c r="BT209" s="655"/>
      <c r="BU209" s="650"/>
      <c r="BV209" s="650"/>
      <c r="BW209" s="650"/>
      <c r="BX209" s="650"/>
      <c r="BY209" s="655"/>
      <c r="BZ209" s="650"/>
      <c r="CA209" s="650"/>
      <c r="CB209" s="650"/>
      <c r="CC209" s="650"/>
      <c r="CD209" s="655"/>
      <c r="CE209" s="601"/>
    </row>
    <row r="210" spans="1:83">
      <c r="A210" s="538"/>
      <c r="B210" s="670" t="s">
        <v>318</v>
      </c>
      <c r="C210" s="173"/>
      <c r="D210" s="173"/>
      <c r="E210" s="173"/>
      <c r="F210" s="173"/>
      <c r="G210" s="549"/>
      <c r="H210" s="173"/>
      <c r="I210" s="173"/>
      <c r="J210" s="173"/>
      <c r="K210" s="173"/>
      <c r="L210" s="549"/>
      <c r="M210" s="173"/>
      <c r="N210" s="173"/>
      <c r="O210" s="173"/>
      <c r="P210" s="173"/>
      <c r="Q210" s="549"/>
      <c r="R210" s="173"/>
      <c r="S210" s="173"/>
      <c r="T210" s="173"/>
      <c r="U210" s="173"/>
      <c r="V210" s="549"/>
      <c r="W210" s="173"/>
      <c r="X210" s="173"/>
      <c r="Y210" s="173"/>
      <c r="Z210" s="173"/>
      <c r="AA210" s="549"/>
      <c r="AB210" s="173"/>
      <c r="AC210" s="173"/>
      <c r="AD210" s="173"/>
      <c r="AE210" s="173"/>
      <c r="AF210" s="549"/>
      <c r="AG210" s="173"/>
      <c r="AH210" s="173"/>
      <c r="AI210" s="173"/>
      <c r="AJ210" s="173"/>
      <c r="AK210" s="549"/>
      <c r="AL210" s="173"/>
      <c r="AM210" s="173"/>
      <c r="AN210" s="173"/>
      <c r="AO210" s="173"/>
      <c r="AP210" s="549"/>
      <c r="AQ210" s="173"/>
      <c r="AR210" s="173"/>
      <c r="AS210" s="173"/>
      <c r="AT210" s="173"/>
      <c r="AU210" s="549"/>
      <c r="AV210" s="173"/>
      <c r="AW210" s="650"/>
      <c r="AX210" s="650"/>
      <c r="AY210" s="650"/>
      <c r="AZ210" s="655"/>
      <c r="BA210" s="650"/>
      <c r="BB210" s="650"/>
      <c r="BC210" s="650"/>
      <c r="BD210" s="650"/>
      <c r="BE210" s="655"/>
      <c r="BF210" s="650"/>
      <c r="BG210" s="650"/>
      <c r="BH210" s="650"/>
      <c r="BI210" s="650"/>
      <c r="BJ210" s="655"/>
      <c r="BK210" s="650"/>
      <c r="BL210" s="650"/>
      <c r="BM210" s="650"/>
      <c r="BN210" s="650"/>
      <c r="BO210" s="655"/>
      <c r="BP210" s="650"/>
      <c r="BQ210" s="650"/>
      <c r="BR210" s="650"/>
      <c r="BS210" s="650"/>
      <c r="BT210" s="655"/>
      <c r="BU210" s="650"/>
      <c r="BV210" s="650"/>
      <c r="BW210" s="650"/>
      <c r="BX210" s="650"/>
      <c r="BY210" s="655"/>
      <c r="BZ210" s="650"/>
      <c r="CA210" s="650"/>
      <c r="CB210" s="650"/>
      <c r="CC210" s="650"/>
      <c r="CD210" s="655"/>
      <c r="CE210" s="601"/>
    </row>
    <row r="211" spans="1:83">
      <c r="A211" s="538"/>
      <c r="B211" s="778" t="s">
        <v>372</v>
      </c>
      <c r="C211" s="223">
        <f>335.066-C208</f>
        <v>6.9159999999999968</v>
      </c>
      <c r="D211" s="772">
        <f>339.091-D208</f>
        <v>8.4069999999999823</v>
      </c>
      <c r="E211" s="772">
        <f>349.577-E208</f>
        <v>9.5450000000000159</v>
      </c>
      <c r="F211" s="773">
        <f>416.796-F208</f>
        <v>13.837999999999965</v>
      </c>
      <c r="G211" s="655">
        <f>SUM(C211:F211)</f>
        <v>38.70599999999996</v>
      </c>
      <c r="H211" s="223">
        <f>439.341-H208</f>
        <v>20.34899999999999</v>
      </c>
      <c r="I211" s="772">
        <f>454.167-I208</f>
        <v>21.87299999999999</v>
      </c>
      <c r="J211" s="772">
        <f>470.396-J208</f>
        <v>22.444000000000017</v>
      </c>
      <c r="K211" s="773">
        <v>23.411000000000001</v>
      </c>
      <c r="L211" s="655">
        <f>SUM(H211:K211)</f>
        <v>88.076999999999998</v>
      </c>
      <c r="M211" s="223">
        <v>21.859000000000002</v>
      </c>
      <c r="N211" s="772">
        <v>21.507999999999999</v>
      </c>
      <c r="O211" s="772">
        <v>20.908999999999999</v>
      </c>
      <c r="P211" s="773">
        <v>18.898</v>
      </c>
      <c r="Q211" s="655">
        <f>SUM(M211:P211)</f>
        <v>83.174000000000007</v>
      </c>
      <c r="R211" s="223">
        <v>38.125</v>
      </c>
      <c r="S211" s="772">
        <v>39.139000000000003</v>
      </c>
      <c r="T211" s="772">
        <v>38.904000000000003</v>
      </c>
      <c r="U211" s="773">
        <v>38.584000000000003</v>
      </c>
      <c r="V211" s="655">
        <f>SUM(R211:U211)</f>
        <v>154.75200000000001</v>
      </c>
      <c r="W211" s="223">
        <v>42.69</v>
      </c>
      <c r="X211" s="772">
        <v>46.29</v>
      </c>
      <c r="Y211" s="772">
        <v>40.338999999999999</v>
      </c>
      <c r="Z211" s="773">
        <v>45.014000000000003</v>
      </c>
      <c r="AA211" s="655">
        <f>SUM(W211:Z211)</f>
        <v>174.333</v>
      </c>
      <c r="AB211" s="223">
        <v>49.637999999999998</v>
      </c>
      <c r="AC211" s="772">
        <v>81.878</v>
      </c>
      <c r="AD211" s="772">
        <v>74.385999999999996</v>
      </c>
      <c r="AE211" s="773">
        <v>82.930999999999997</v>
      </c>
      <c r="AF211" s="655">
        <f>SUM(AB211:AE211)</f>
        <v>288.83299999999997</v>
      </c>
      <c r="AG211" s="223">
        <v>93</v>
      </c>
      <c r="AH211" s="772">
        <v>123</v>
      </c>
      <c r="AI211" s="772">
        <v>102</v>
      </c>
      <c r="AJ211" s="773">
        <v>109</v>
      </c>
      <c r="AK211" s="655">
        <f>SUM(AG211:AJ211)</f>
        <v>427</v>
      </c>
      <c r="AL211" s="223">
        <v>113</v>
      </c>
      <c r="AM211" s="772">
        <v>149</v>
      </c>
      <c r="AN211" s="772">
        <v>127</v>
      </c>
      <c r="AO211" s="773">
        <v>143</v>
      </c>
      <c r="AP211" s="655">
        <f>SUM(AL211:AO211)</f>
        <v>532</v>
      </c>
      <c r="AQ211" s="223">
        <v>145</v>
      </c>
      <c r="AR211" s="772">
        <v>205</v>
      </c>
      <c r="AS211" s="772">
        <v>167</v>
      </c>
      <c r="AT211" s="773">
        <v>169</v>
      </c>
      <c r="AU211" s="655">
        <f>SUM(AQ211:AT211)</f>
        <v>686</v>
      </c>
      <c r="AV211" s="223">
        <v>168</v>
      </c>
      <c r="AW211" s="650"/>
      <c r="AX211" s="650"/>
      <c r="AY211" s="650"/>
      <c r="AZ211" s="655"/>
      <c r="BA211" s="650"/>
      <c r="BB211" s="650"/>
      <c r="BC211" s="650"/>
      <c r="BD211" s="650"/>
      <c r="BE211" s="655"/>
      <c r="BF211" s="650"/>
      <c r="BG211" s="650"/>
      <c r="BH211" s="650"/>
      <c r="BI211" s="650"/>
      <c r="BJ211" s="655"/>
      <c r="BK211" s="650"/>
      <c r="BL211" s="650"/>
      <c r="BM211" s="650"/>
      <c r="BN211" s="650"/>
      <c r="BO211" s="655"/>
      <c r="BP211" s="650"/>
      <c r="BQ211" s="650"/>
      <c r="BR211" s="650"/>
      <c r="BS211" s="650"/>
      <c r="BT211" s="655"/>
      <c r="BU211" s="650"/>
      <c r="BV211" s="650"/>
      <c r="BW211" s="650"/>
      <c r="BX211" s="650"/>
      <c r="BY211" s="655"/>
      <c r="BZ211" s="650"/>
      <c r="CA211" s="650"/>
      <c r="CB211" s="650"/>
      <c r="CC211" s="650"/>
      <c r="CD211" s="655"/>
      <c r="CE211" s="601"/>
    </row>
    <row r="212" spans="1:83">
      <c r="A212" s="538"/>
      <c r="B212" s="670" t="s">
        <v>21</v>
      </c>
      <c r="C212" s="173"/>
      <c r="D212" s="173"/>
      <c r="E212" s="173"/>
      <c r="F212" s="173"/>
      <c r="G212" s="549"/>
      <c r="H212" s="173">
        <f t="shared" ref="H212:AV212" si="64">H211/C211-1</f>
        <v>1.9423076923076921</v>
      </c>
      <c r="I212" s="173">
        <f t="shared" si="64"/>
        <v>1.6017604377304671</v>
      </c>
      <c r="J212" s="173">
        <f t="shared" si="64"/>
        <v>1.3513881613410139</v>
      </c>
      <c r="K212" s="173">
        <f t="shared" si="64"/>
        <v>0.6917907212024903</v>
      </c>
      <c r="L212" s="549">
        <f t="shared" si="64"/>
        <v>1.2755386761742389</v>
      </c>
      <c r="M212" s="173">
        <f t="shared" si="64"/>
        <v>7.4205120644749822E-2</v>
      </c>
      <c r="N212" s="173">
        <f t="shared" si="64"/>
        <v>-1.6687239976226009E-2</v>
      </c>
      <c r="O212" s="173">
        <f t="shared" si="64"/>
        <v>-6.8392443414721837E-2</v>
      </c>
      <c r="P212" s="173">
        <f t="shared" si="64"/>
        <v>-0.19277262825167663</v>
      </c>
      <c r="Q212" s="549">
        <f t="shared" si="64"/>
        <v>-5.5667200290654639E-2</v>
      </c>
      <c r="R212" s="173">
        <f t="shared" si="64"/>
        <v>0.74413285145706554</v>
      </c>
      <c r="S212" s="173">
        <f t="shared" si="64"/>
        <v>0.81974149153803255</v>
      </c>
      <c r="T212" s="173">
        <f t="shared" si="64"/>
        <v>0.86063417667033359</v>
      </c>
      <c r="U212" s="173">
        <f t="shared" si="64"/>
        <v>1.0416975341305958</v>
      </c>
      <c r="V212" s="549">
        <f t="shared" si="64"/>
        <v>0.86058143169740542</v>
      </c>
      <c r="W212" s="173">
        <f t="shared" si="64"/>
        <v>0.11973770491803282</v>
      </c>
      <c r="X212" s="173">
        <f t="shared" si="64"/>
        <v>0.18270778507371155</v>
      </c>
      <c r="Y212" s="173">
        <f t="shared" si="64"/>
        <v>3.688566728356979E-2</v>
      </c>
      <c r="Z212" s="173">
        <f t="shared" si="64"/>
        <v>0.16664938834750154</v>
      </c>
      <c r="AA212" s="549">
        <f t="shared" si="64"/>
        <v>0.12653148263027281</v>
      </c>
      <c r="AB212" s="173">
        <f t="shared" si="64"/>
        <v>0.16275474349964858</v>
      </c>
      <c r="AC212" s="173">
        <f t="shared" si="64"/>
        <v>0.768805357528624</v>
      </c>
      <c r="AD212" s="173">
        <f t="shared" si="64"/>
        <v>0.84402191427650664</v>
      </c>
      <c r="AE212" s="173">
        <f t="shared" si="64"/>
        <v>0.84233793930777079</v>
      </c>
      <c r="AF212" s="549">
        <f t="shared" si="64"/>
        <v>0.65678901871705286</v>
      </c>
      <c r="AG212" s="173">
        <f t="shared" si="64"/>
        <v>0.87356460776018374</v>
      </c>
      <c r="AH212" s="173">
        <f t="shared" si="64"/>
        <v>0.5022350326094922</v>
      </c>
      <c r="AI212" s="173">
        <f t="shared" si="64"/>
        <v>0.37122576828973197</v>
      </c>
      <c r="AJ212" s="173">
        <f t="shared" si="64"/>
        <v>0.31434566085058657</v>
      </c>
      <c r="AK212" s="549">
        <f t="shared" si="64"/>
        <v>0.47836292944365799</v>
      </c>
      <c r="AL212" s="173">
        <f t="shared" si="64"/>
        <v>0.21505376344086025</v>
      </c>
      <c r="AM212" s="173">
        <f t="shared" si="64"/>
        <v>0.21138211382113825</v>
      </c>
      <c r="AN212" s="173">
        <f t="shared" si="64"/>
        <v>0.24509803921568629</v>
      </c>
      <c r="AO212" s="173">
        <f t="shared" si="64"/>
        <v>0.31192660550458706</v>
      </c>
      <c r="AP212" s="549">
        <f>AP211/AK211-1</f>
        <v>0.24590163934426235</v>
      </c>
      <c r="AQ212" s="173">
        <f t="shared" si="64"/>
        <v>0.2831858407079646</v>
      </c>
      <c r="AR212" s="173">
        <f t="shared" si="64"/>
        <v>0.37583892617449655</v>
      </c>
      <c r="AS212" s="173">
        <f t="shared" si="64"/>
        <v>0.31496062992125995</v>
      </c>
      <c r="AT212" s="173">
        <f t="shared" si="64"/>
        <v>0.18181818181818188</v>
      </c>
      <c r="AU212" s="549">
        <f>AU211/AP211-1</f>
        <v>0.28947368421052633</v>
      </c>
      <c r="AV212" s="173">
        <f t="shared" si="64"/>
        <v>0.15862068965517251</v>
      </c>
      <c r="AW212" s="650"/>
      <c r="AX212" s="650"/>
      <c r="AY212" s="650"/>
      <c r="AZ212" s="655"/>
      <c r="BA212" s="650"/>
      <c r="BB212" s="650"/>
      <c r="BC212" s="650"/>
      <c r="BD212" s="650"/>
      <c r="BE212" s="655"/>
      <c r="BF212" s="650"/>
      <c r="BG212" s="650"/>
      <c r="BH212" s="650"/>
      <c r="BI212" s="650"/>
      <c r="BJ212" s="655"/>
      <c r="BK212" s="650"/>
      <c r="BL212" s="650"/>
      <c r="BM212" s="650"/>
      <c r="BN212" s="650"/>
      <c r="BO212" s="655"/>
      <c r="BP212" s="650"/>
      <c r="BQ212" s="650"/>
      <c r="BR212" s="650"/>
      <c r="BS212" s="650"/>
      <c r="BT212" s="655"/>
      <c r="BU212" s="650"/>
      <c r="BV212" s="650"/>
      <c r="BW212" s="650"/>
      <c r="BX212" s="650"/>
      <c r="BY212" s="655"/>
      <c r="BZ212" s="650"/>
      <c r="CA212" s="650"/>
      <c r="CB212" s="650"/>
      <c r="CC212" s="650"/>
      <c r="CD212" s="655"/>
      <c r="CE212" s="601"/>
    </row>
    <row r="213" spans="1:83">
      <c r="B213" s="779" t="s">
        <v>373</v>
      </c>
      <c r="C213" s="780">
        <f>C208+C211</f>
        <v>335.06599999999997</v>
      </c>
      <c r="D213" s="780">
        <f>D208+D211</f>
        <v>339.09100000000001</v>
      </c>
      <c r="E213" s="780">
        <f>E208+E211</f>
        <v>349.577</v>
      </c>
      <c r="F213" s="780">
        <f>F208+F211</f>
        <v>416.79599999999999</v>
      </c>
      <c r="G213" s="781"/>
      <c r="H213" s="780">
        <f>H208+H211</f>
        <v>439.34100000000001</v>
      </c>
      <c r="I213" s="780">
        <f>I208+I211</f>
        <v>454.16699999999997</v>
      </c>
      <c r="J213" s="780">
        <f>J208+J211</f>
        <v>470.39600000000002</v>
      </c>
      <c r="K213" s="780">
        <f>K208+K211</f>
        <v>562.71199999999999</v>
      </c>
      <c r="L213" s="782"/>
      <c r="M213" s="780">
        <f>M208+M211</f>
        <v>581.57900000000006</v>
      </c>
      <c r="N213" s="780">
        <f>N208+N211</f>
        <v>601.79500000000007</v>
      </c>
      <c r="O213" s="780">
        <f>O208+O211</f>
        <v>597.21100000000001</v>
      </c>
      <c r="P213" s="780">
        <f>P208+P211</f>
        <v>623.08400000000006</v>
      </c>
      <c r="Q213" s="782"/>
      <c r="R213" s="780">
        <f>R208+R211</f>
        <v>642.95799999999997</v>
      </c>
      <c r="S213" s="780">
        <f>S208+S211</f>
        <v>669.30100000000004</v>
      </c>
      <c r="T213" s="780">
        <f>T208+T211</f>
        <v>688.06299999999999</v>
      </c>
      <c r="U213" s="780">
        <f>U208+U211</f>
        <v>795.62400000000002</v>
      </c>
      <c r="V213" s="782"/>
      <c r="W213" s="780">
        <f>W208+W211</f>
        <v>809.26199999999994</v>
      </c>
      <c r="X213" s="780">
        <f>X208+X211</f>
        <v>817.04499999999996</v>
      </c>
      <c r="Y213" s="780">
        <f>Y208+Y211</f>
        <v>838.16499999999996</v>
      </c>
      <c r="Z213" s="780">
        <f>Z208+Z211</f>
        <v>971.17499999999995</v>
      </c>
      <c r="AA213" s="782"/>
      <c r="AB213" s="780">
        <f>AB208+AB211</f>
        <v>992.34699999999998</v>
      </c>
      <c r="AC213" s="780">
        <f>AC208+AC211</f>
        <v>1072.9960000000001</v>
      </c>
      <c r="AD213" s="780">
        <f>AD208+AD211</f>
        <v>1107.202</v>
      </c>
      <c r="AE213" s="780">
        <f>AE208+AE211</f>
        <v>1239.5900000000001</v>
      </c>
      <c r="AF213" s="782"/>
      <c r="AG213" s="780">
        <f>AG208+AG211</f>
        <v>1309</v>
      </c>
      <c r="AH213" s="780">
        <f>AH208+AH211</f>
        <v>1357</v>
      </c>
      <c r="AI213" s="780">
        <f>AI208+AI211</f>
        <v>1366</v>
      </c>
      <c r="AJ213" s="780">
        <f>AJ208+AJ211</f>
        <v>1541</v>
      </c>
      <c r="AK213" s="782"/>
      <c r="AL213" s="780">
        <f>AL208+AL211</f>
        <v>1548</v>
      </c>
      <c r="AM213" s="780">
        <f>AM208+AM211</f>
        <v>1624</v>
      </c>
      <c r="AN213" s="780">
        <f>AN208+AN211</f>
        <v>1620</v>
      </c>
      <c r="AO213" s="780">
        <f>AO208+AO211</f>
        <v>1836</v>
      </c>
      <c r="AP213" s="782"/>
      <c r="AQ213" s="780">
        <f>AQ208+AQ211</f>
        <v>1845</v>
      </c>
      <c r="AR213" s="780">
        <f>AR208+AR211</f>
        <v>1946</v>
      </c>
      <c r="AS213" s="780">
        <f>AS208+AS211</f>
        <v>1950</v>
      </c>
      <c r="AT213" s="780">
        <f>AT208+AT211</f>
        <v>2163</v>
      </c>
      <c r="AU213" s="782"/>
      <c r="AV213" s="780">
        <f>AV208+AV211</f>
        <v>2108</v>
      </c>
      <c r="AW213" s="783">
        <v>2260</v>
      </c>
      <c r="AX213" s="783"/>
      <c r="AY213" s="783"/>
      <c r="AZ213" s="782"/>
      <c r="BA213" s="783"/>
      <c r="BB213" s="783"/>
      <c r="BC213" s="783"/>
      <c r="BD213" s="783"/>
      <c r="BE213" s="782"/>
      <c r="BF213" s="783"/>
      <c r="BG213" s="783"/>
      <c r="BH213" s="783"/>
      <c r="BI213" s="783"/>
      <c r="BJ213" s="782"/>
      <c r="BK213" s="783"/>
      <c r="BL213" s="783"/>
      <c r="BM213" s="783"/>
      <c r="BN213" s="783"/>
      <c r="BO213" s="782"/>
      <c r="BP213" s="783"/>
      <c r="BQ213" s="783"/>
      <c r="BR213" s="783"/>
      <c r="BS213" s="783"/>
      <c r="BT213" s="782"/>
      <c r="BU213" s="783"/>
      <c r="BV213" s="783"/>
      <c r="BW213" s="783"/>
      <c r="BX213" s="783"/>
      <c r="BY213" s="782"/>
      <c r="BZ213" s="783"/>
      <c r="CA213" s="783"/>
      <c r="CB213" s="783"/>
      <c r="CC213" s="783"/>
      <c r="CD213" s="782"/>
    </row>
    <row r="214" spans="1:83">
      <c r="A214" s="538"/>
      <c r="B214" s="670" t="s">
        <v>21</v>
      </c>
      <c r="G214" s="549"/>
      <c r="H214" s="351">
        <f>H213/C213-1</f>
        <v>0.31120734422472007</v>
      </c>
      <c r="I214" s="351">
        <f>I213/D213-1</f>
        <v>0.33936612885626571</v>
      </c>
      <c r="J214" s="351">
        <f>J213/E213-1</f>
        <v>0.34561484308178181</v>
      </c>
      <c r="K214" s="351">
        <f>K213/F213-1</f>
        <v>0.35008973214714145</v>
      </c>
      <c r="L214" s="549"/>
      <c r="M214" s="351">
        <f>M213/H213-1</f>
        <v>0.3237530756291811</v>
      </c>
      <c r="N214" s="351">
        <f>N213/I213-1</f>
        <v>0.32505223849377018</v>
      </c>
      <c r="O214" s="351">
        <f>O213/J213-1</f>
        <v>0.26959200333336164</v>
      </c>
      <c r="P214" s="351">
        <f>P213/K213-1</f>
        <v>0.10728756450902077</v>
      </c>
      <c r="Q214" s="549"/>
      <c r="R214" s="351">
        <f>R213/M213-1</f>
        <v>0.10553854248519956</v>
      </c>
      <c r="S214" s="351">
        <f>S213/N213-1</f>
        <v>0.11217441155210661</v>
      </c>
      <c r="T214" s="351">
        <f>T213/O213-1</f>
        <v>0.152127137644819</v>
      </c>
      <c r="U214" s="351">
        <f>U213/P213-1</f>
        <v>0.27691290419911274</v>
      </c>
      <c r="V214" s="549"/>
      <c r="W214" s="351">
        <f>W213/R213-1</f>
        <v>0.2586545310891224</v>
      </c>
      <c r="X214" s="351">
        <f>X213/S213-1</f>
        <v>0.22074373114637491</v>
      </c>
      <c r="Y214" s="351">
        <f>Y213/T213-1</f>
        <v>0.21815153554253031</v>
      </c>
      <c r="Z214" s="351">
        <f>Z213/U213-1</f>
        <v>0.22064568187988276</v>
      </c>
      <c r="AA214" s="549"/>
      <c r="AB214" s="351">
        <f>AB213/W213-1</f>
        <v>0.22623699123398855</v>
      </c>
      <c r="AC214" s="351">
        <f>AC213/X213-1</f>
        <v>0.31326426329027179</v>
      </c>
      <c r="AD214" s="351">
        <f>AD213/Y213-1</f>
        <v>0.32098333860278117</v>
      </c>
      <c r="AE214" s="351">
        <f>AE213/Z213-1</f>
        <v>0.27638170257677586</v>
      </c>
      <c r="AF214" s="549"/>
      <c r="AG214" s="351">
        <f>AG213/AB213-1</f>
        <v>0.31909503429747854</v>
      </c>
      <c r="AH214" s="351">
        <f>AH213/AC213-1</f>
        <v>0.26468318614421671</v>
      </c>
      <c r="AI214" s="351">
        <f>AI213/AD213-1</f>
        <v>0.23374054598889815</v>
      </c>
      <c r="AJ214" s="351">
        <f>AJ213/AE213-1</f>
        <v>0.24315297800079039</v>
      </c>
      <c r="AK214" s="549"/>
      <c r="AL214" s="351">
        <f>AL213/AG213-1</f>
        <v>0.18258212375859428</v>
      </c>
      <c r="AM214" s="351">
        <f>AM213/AH213-1</f>
        <v>0.19675755342667656</v>
      </c>
      <c r="AN214" s="351">
        <f>AN213/AI213-1</f>
        <v>0.18594436310395324</v>
      </c>
      <c r="AO214" s="351">
        <f>AO213/AJ213-1</f>
        <v>0.19143413367942896</v>
      </c>
      <c r="AP214" s="549"/>
      <c r="AQ214" s="351">
        <f>AQ213/AL213-1</f>
        <v>0.19186046511627897</v>
      </c>
      <c r="AR214" s="351">
        <f>AR213/AM213-1</f>
        <v>0.19827586206896552</v>
      </c>
      <c r="AS214" s="351">
        <f>AS213/AN213-1</f>
        <v>0.20370370370370372</v>
      </c>
      <c r="AT214" s="351">
        <f>AT213/AO213-1</f>
        <v>0.17810457516339873</v>
      </c>
      <c r="AU214" s="549"/>
      <c r="AV214" s="351">
        <f>AV213/AQ213-1</f>
        <v>0.1425474254742547</v>
      </c>
      <c r="AW214" s="351">
        <f>AW213/AR213-1</f>
        <v>0.16135662898252834</v>
      </c>
      <c r="AX214" s="351"/>
      <c r="AY214" s="351"/>
      <c r="AZ214" s="549"/>
      <c r="BB214" s="351"/>
      <c r="BC214" s="351"/>
      <c r="BD214" s="351"/>
      <c r="BE214" s="549"/>
      <c r="BI214" s="351"/>
      <c r="BJ214" s="549"/>
      <c r="BO214" s="549"/>
      <c r="BT214" s="549"/>
      <c r="BY214" s="549"/>
      <c r="CD214" s="549"/>
      <c r="CE214" s="601"/>
    </row>
    <row r="215" spans="1:83">
      <c r="A215" s="538"/>
      <c r="B215" s="670" t="s">
        <v>118</v>
      </c>
      <c r="G215" s="549"/>
      <c r="H215" s="351"/>
      <c r="I215" s="351"/>
      <c r="J215" s="351"/>
      <c r="K215" s="351"/>
      <c r="L215" s="549"/>
      <c r="M215" s="351"/>
      <c r="N215" s="351"/>
      <c r="O215" s="351"/>
      <c r="P215" s="351"/>
      <c r="Q215" s="549"/>
      <c r="R215" s="351"/>
      <c r="S215" s="351"/>
      <c r="T215" s="351"/>
      <c r="U215" s="351"/>
      <c r="V215" s="549"/>
      <c r="W215" s="351"/>
      <c r="X215" s="351"/>
      <c r="Y215" s="351"/>
      <c r="Z215" s="351"/>
      <c r="AA215" s="549"/>
      <c r="AB215" s="351"/>
      <c r="AC215" s="351"/>
      <c r="AD215" s="351"/>
      <c r="AE215" s="351"/>
      <c r="AF215" s="549"/>
      <c r="AG215" s="784">
        <v>0.31</v>
      </c>
      <c r="AH215" s="784">
        <v>0.27</v>
      </c>
      <c r="AI215" s="784">
        <v>0.24</v>
      </c>
      <c r="AJ215" s="784">
        <v>0.24</v>
      </c>
      <c r="AK215" s="549"/>
      <c r="AL215" s="784">
        <v>0.2</v>
      </c>
      <c r="AM215" s="784">
        <v>0.21</v>
      </c>
      <c r="AN215" s="784">
        <v>0.2</v>
      </c>
      <c r="AO215" s="784">
        <v>0.2</v>
      </c>
      <c r="AP215" s="785"/>
      <c r="AQ215" s="786">
        <v>0.2</v>
      </c>
      <c r="AR215" s="786">
        <v>0.2</v>
      </c>
      <c r="AS215" s="786">
        <v>0.21</v>
      </c>
      <c r="AT215" s="784">
        <v>0.18</v>
      </c>
      <c r="AU215" s="549"/>
      <c r="AV215" s="677">
        <v>0.17</v>
      </c>
      <c r="AW215" s="677">
        <v>0.19</v>
      </c>
      <c r="AX215" s="677"/>
      <c r="AY215" s="677"/>
      <c r="AZ215" s="549"/>
      <c r="BB215" s="677"/>
      <c r="BC215" s="677"/>
      <c r="BD215" s="677"/>
      <c r="BE215" s="549"/>
      <c r="BI215" s="677"/>
      <c r="BJ215" s="549"/>
      <c r="BO215" s="549"/>
      <c r="BT215" s="549"/>
      <c r="BY215" s="549"/>
      <c r="CD215" s="549"/>
      <c r="CE215" s="601"/>
    </row>
    <row r="216" spans="1:83">
      <c r="A216" s="538"/>
      <c r="B216" s="787" t="s">
        <v>374</v>
      </c>
      <c r="G216" s="549"/>
      <c r="L216" s="549"/>
      <c r="Q216" s="549"/>
      <c r="V216" s="549"/>
      <c r="AA216" s="549"/>
      <c r="AF216" s="549"/>
      <c r="AK216" s="549"/>
      <c r="AP216" s="549"/>
      <c r="AQ216" s="788"/>
      <c r="AU216" s="549"/>
      <c r="AW216" s="650"/>
      <c r="AX216" s="650"/>
      <c r="AY216" s="650"/>
      <c r="AZ216" s="549"/>
      <c r="BB216" s="650"/>
      <c r="BC216" s="650"/>
      <c r="BD216" s="650"/>
      <c r="BE216" s="549"/>
      <c r="BI216" s="650"/>
      <c r="BJ216" s="549"/>
      <c r="BO216" s="549"/>
      <c r="BT216" s="549"/>
      <c r="BY216" s="549"/>
      <c r="CD216" s="549"/>
      <c r="CE216" s="601"/>
    </row>
    <row r="217" spans="1:83">
      <c r="A217" s="538"/>
      <c r="B217" s="670" t="s">
        <v>21</v>
      </c>
      <c r="G217" s="549"/>
      <c r="L217" s="549"/>
      <c r="Q217" s="549"/>
      <c r="V217" s="549"/>
      <c r="AA217" s="549"/>
      <c r="AF217" s="549"/>
      <c r="AK217" s="549"/>
      <c r="AP217" s="549"/>
      <c r="AQ217" s="788"/>
      <c r="AU217" s="549"/>
      <c r="AW217" s="650"/>
      <c r="AX217" s="650"/>
      <c r="AY217" s="650"/>
      <c r="AZ217" s="549"/>
      <c r="BB217" s="650"/>
      <c r="BC217" s="650"/>
      <c r="BD217" s="650"/>
      <c r="BE217" s="549"/>
      <c r="BI217" s="650"/>
      <c r="BJ217" s="549"/>
      <c r="BO217" s="549"/>
      <c r="BT217" s="549"/>
      <c r="BY217" s="549"/>
      <c r="CD217" s="549"/>
      <c r="CE217" s="601"/>
    </row>
    <row r="218" spans="1:83">
      <c r="A218" s="538"/>
      <c r="B218" s="670" t="s">
        <v>318</v>
      </c>
      <c r="G218" s="549"/>
      <c r="L218" s="549"/>
      <c r="Q218" s="549"/>
      <c r="V218" s="549"/>
      <c r="AA218" s="549"/>
      <c r="AF218" s="549"/>
      <c r="AK218" s="549"/>
      <c r="AP218" s="549"/>
      <c r="AQ218" s="788"/>
      <c r="AU218" s="549"/>
      <c r="AW218" s="650"/>
      <c r="AX218" s="650"/>
      <c r="AY218" s="650"/>
      <c r="AZ218" s="549"/>
      <c r="BB218" s="650"/>
      <c r="BC218" s="650"/>
      <c r="BD218" s="650"/>
      <c r="BE218" s="549"/>
      <c r="BI218" s="650"/>
      <c r="BJ218" s="549"/>
      <c r="BO218" s="549"/>
      <c r="BT218" s="549"/>
      <c r="BY218" s="549"/>
      <c r="CD218" s="549"/>
      <c r="CE218" s="601"/>
    </row>
    <row r="219" spans="1:83">
      <c r="A219" s="538"/>
      <c r="B219" s="670"/>
      <c r="G219" s="549"/>
      <c r="L219" s="549"/>
      <c r="Q219" s="549"/>
      <c r="V219" s="549"/>
      <c r="AA219" s="549"/>
      <c r="AF219" s="549"/>
      <c r="AK219" s="549"/>
      <c r="AP219" s="549"/>
      <c r="AQ219" s="788"/>
      <c r="AU219" s="549"/>
      <c r="AW219" s="650"/>
      <c r="AX219" s="650"/>
      <c r="AY219" s="650"/>
      <c r="AZ219" s="549"/>
      <c r="BB219" s="650"/>
      <c r="BC219" s="650"/>
      <c r="BD219" s="650"/>
      <c r="BE219" s="549"/>
      <c r="BI219" s="650"/>
      <c r="BJ219" s="549"/>
      <c r="BO219" s="549"/>
      <c r="BT219" s="549"/>
      <c r="BY219" s="549"/>
      <c r="CD219" s="549"/>
      <c r="CE219" s="601"/>
    </row>
    <row r="220" spans="1:83">
      <c r="A220" s="538"/>
      <c r="B220" s="787" t="s">
        <v>375</v>
      </c>
      <c r="G220" s="549"/>
      <c r="L220" s="549"/>
      <c r="Q220" s="549"/>
      <c r="V220" s="549"/>
      <c r="AA220" s="549"/>
      <c r="AF220" s="549"/>
      <c r="AK220" s="549"/>
      <c r="AP220" s="549"/>
      <c r="AQ220" s="788"/>
      <c r="AU220" s="549"/>
      <c r="AW220" s="650"/>
      <c r="AX220" s="650"/>
      <c r="AY220" s="650"/>
      <c r="AZ220" s="549"/>
      <c r="BB220" s="650"/>
      <c r="BC220" s="650"/>
      <c r="BD220" s="650"/>
      <c r="BE220" s="549"/>
      <c r="BI220" s="650"/>
      <c r="BJ220" s="549"/>
      <c r="BO220" s="549"/>
      <c r="BT220" s="549"/>
      <c r="BY220" s="549"/>
      <c r="CD220" s="549"/>
      <c r="CE220" s="601"/>
    </row>
    <row r="221" spans="1:83">
      <c r="A221" s="538"/>
      <c r="B221" s="670" t="s">
        <v>21</v>
      </c>
      <c r="G221" s="549"/>
      <c r="L221" s="549"/>
      <c r="Q221" s="549"/>
      <c r="V221" s="549"/>
      <c r="AA221" s="549"/>
      <c r="AF221" s="549"/>
      <c r="AK221" s="549"/>
      <c r="AP221" s="549"/>
      <c r="AQ221" s="788"/>
      <c r="AU221" s="549"/>
      <c r="AW221" s="650"/>
      <c r="AX221" s="650"/>
      <c r="AY221" s="650"/>
      <c r="AZ221" s="549"/>
      <c r="BB221" s="650"/>
      <c r="BC221" s="650"/>
      <c r="BD221" s="650"/>
      <c r="BE221" s="549"/>
      <c r="BI221" s="650"/>
      <c r="BJ221" s="549"/>
      <c r="BO221" s="549"/>
      <c r="BT221" s="549"/>
      <c r="BY221" s="549"/>
      <c r="CD221" s="549"/>
      <c r="CE221" s="601"/>
    </row>
    <row r="222" spans="1:83">
      <c r="A222" s="538"/>
      <c r="B222" s="670" t="s">
        <v>318</v>
      </c>
      <c r="G222" s="549"/>
      <c r="L222" s="549"/>
      <c r="Q222" s="549"/>
      <c r="V222" s="549"/>
      <c r="AA222" s="549"/>
      <c r="AF222" s="549"/>
      <c r="AK222" s="549"/>
      <c r="AP222" s="549"/>
      <c r="AQ222" s="788"/>
      <c r="AU222" s="549"/>
      <c r="AW222" s="650"/>
      <c r="AX222" s="650"/>
      <c r="AY222" s="650"/>
      <c r="AZ222" s="549"/>
      <c r="BB222" s="650"/>
      <c r="BC222" s="650"/>
      <c r="BD222" s="650"/>
      <c r="BE222" s="549"/>
      <c r="BI222" s="650"/>
      <c r="BJ222" s="549"/>
      <c r="BO222" s="549"/>
      <c r="BT222" s="549"/>
      <c r="BY222" s="549"/>
      <c r="CD222" s="549"/>
      <c r="CE222" s="601"/>
    </row>
    <row r="223" spans="1:83">
      <c r="A223" s="538"/>
      <c r="B223" s="603"/>
      <c r="G223" s="549"/>
      <c r="L223" s="549"/>
      <c r="Q223" s="549"/>
      <c r="V223" s="549"/>
      <c r="AA223" s="549"/>
      <c r="AF223" s="549"/>
      <c r="AK223" s="549"/>
      <c r="AP223" s="549"/>
      <c r="AQ223" s="788"/>
      <c r="AU223" s="549"/>
      <c r="AW223" s="650"/>
      <c r="AX223" s="650"/>
      <c r="AY223" s="650"/>
      <c r="AZ223" s="549"/>
      <c r="BB223" s="650"/>
      <c r="BC223" s="650"/>
      <c r="BD223" s="650"/>
      <c r="BE223" s="549"/>
      <c r="BI223" s="650"/>
      <c r="BJ223" s="549"/>
      <c r="BO223" s="549"/>
      <c r="BT223" s="549"/>
      <c r="BY223" s="549"/>
      <c r="CD223" s="549"/>
      <c r="CE223" s="601"/>
    </row>
    <row r="224" spans="1:83">
      <c r="A224" s="538"/>
      <c r="B224" s="771" t="s">
        <v>376</v>
      </c>
      <c r="G224" s="549"/>
      <c r="L224" s="549"/>
      <c r="Q224" s="549"/>
      <c r="V224" s="549"/>
      <c r="AA224" s="549"/>
      <c r="AF224" s="549"/>
      <c r="AK224" s="549"/>
      <c r="AP224" s="549"/>
      <c r="AQ224" s="788"/>
      <c r="AU224" s="549"/>
      <c r="AW224" s="650"/>
      <c r="AX224" s="650"/>
      <c r="AY224" s="650"/>
      <c r="AZ224" s="549"/>
      <c r="BB224" s="650"/>
      <c r="BC224" s="650"/>
      <c r="BD224" s="650"/>
      <c r="BE224" s="549"/>
      <c r="BI224" s="650"/>
      <c r="BJ224" s="549"/>
      <c r="BO224" s="549"/>
      <c r="BT224" s="549"/>
      <c r="BY224" s="549"/>
      <c r="CD224" s="549"/>
      <c r="CE224" s="601"/>
    </row>
    <row r="225" spans="1:82">
      <c r="B225" s="603"/>
      <c r="G225" s="549"/>
      <c r="L225" s="549"/>
      <c r="Q225" s="549"/>
      <c r="V225" s="549"/>
      <c r="AA225" s="549"/>
      <c r="AF225" s="549"/>
      <c r="AK225" s="549"/>
      <c r="AP225" s="549"/>
      <c r="AQ225" s="789"/>
      <c r="AU225" s="549"/>
      <c r="AW225" s="650"/>
      <c r="AX225" s="650"/>
      <c r="AY225" s="650"/>
      <c r="AZ225" s="549"/>
      <c r="BB225" s="650"/>
      <c r="BC225" s="650"/>
      <c r="BD225" s="650"/>
      <c r="BE225" s="549"/>
      <c r="BI225" s="650"/>
      <c r="BJ225" s="549"/>
      <c r="BO225" s="549"/>
      <c r="BT225" s="549"/>
      <c r="BY225" s="549"/>
      <c r="CD225" s="549"/>
    </row>
    <row r="226" spans="1:82">
      <c r="B226" s="778" t="s">
        <v>377</v>
      </c>
      <c r="C226" s="223"/>
      <c r="D226" s="772"/>
      <c r="E226" s="772"/>
      <c r="F226" s="773"/>
      <c r="G226" s="646"/>
      <c r="H226" s="223"/>
      <c r="I226" s="772"/>
      <c r="J226" s="772"/>
      <c r="K226" s="773"/>
      <c r="L226" s="646"/>
      <c r="M226" s="223"/>
      <c r="N226" s="772"/>
      <c r="O226" s="772"/>
      <c r="P226" s="773"/>
      <c r="Q226" s="646"/>
      <c r="R226" s="223"/>
      <c r="S226" s="772"/>
      <c r="T226" s="772"/>
      <c r="U226" s="773"/>
      <c r="V226" s="646"/>
      <c r="W226" s="223"/>
      <c r="X226" s="772"/>
      <c r="Y226" s="772"/>
      <c r="Z226" s="773"/>
      <c r="AA226" s="646"/>
      <c r="AB226" s="223"/>
      <c r="AC226" s="772"/>
      <c r="AD226" s="772"/>
      <c r="AE226" s="773"/>
      <c r="AF226" s="646"/>
      <c r="AG226" s="223">
        <v>22433</v>
      </c>
      <c r="AH226" s="772">
        <v>23114</v>
      </c>
      <c r="AI226" s="772">
        <v>23704</v>
      </c>
      <c r="AJ226" s="773">
        <f>97277-SUM(AG226:AI226)</f>
        <v>28026</v>
      </c>
      <c r="AK226" s="655">
        <f>SUM(AG226:AJ226)</f>
        <v>97277</v>
      </c>
      <c r="AL226" s="223">
        <v>28087</v>
      </c>
      <c r="AM226" s="772">
        <v>29807</v>
      </c>
      <c r="AN226" s="772">
        <v>30725</v>
      </c>
      <c r="AO226" s="773">
        <f>125281-SUM(AL226:AN226)</f>
        <v>36662</v>
      </c>
      <c r="AP226" s="655">
        <f>SUM(AL226:AO226)</f>
        <v>125281</v>
      </c>
      <c r="AQ226" s="223">
        <v>37162</v>
      </c>
      <c r="AR226" s="772">
        <v>40371</v>
      </c>
      <c r="AS226" s="772">
        <v>42235</v>
      </c>
      <c r="AT226" s="773">
        <f>168361-SUM(AQ226:AS226)</f>
        <v>48593</v>
      </c>
      <c r="AU226" s="655">
        <f>SUM(AQ226:AT226)</f>
        <v>168361</v>
      </c>
      <c r="AV226" s="223">
        <v>46732</v>
      </c>
      <c r="AW226" s="650"/>
      <c r="AX226" s="650"/>
      <c r="AY226" s="650"/>
      <c r="AZ226" s="655"/>
      <c r="BA226" s="650"/>
      <c r="BB226" s="650"/>
      <c r="BC226" s="650"/>
      <c r="BD226" s="650"/>
      <c r="BE226" s="655"/>
      <c r="BF226" s="650"/>
      <c r="BG226" s="650"/>
      <c r="BH226" s="650"/>
      <c r="BI226" s="650"/>
      <c r="BJ226" s="655"/>
      <c r="BK226" s="650"/>
      <c r="BL226" s="650"/>
      <c r="BM226" s="650"/>
      <c r="BN226" s="650"/>
      <c r="BO226" s="655"/>
      <c r="BP226" s="650"/>
      <c r="BQ226" s="650"/>
      <c r="BR226" s="650"/>
      <c r="BS226" s="650"/>
      <c r="BT226" s="655"/>
      <c r="BU226" s="650"/>
      <c r="BV226" s="650"/>
      <c r="BW226" s="650"/>
      <c r="BX226" s="650"/>
      <c r="BY226" s="655"/>
      <c r="BZ226" s="650"/>
      <c r="CA226" s="650"/>
      <c r="CB226" s="650"/>
      <c r="CC226" s="650"/>
      <c r="CD226" s="655"/>
    </row>
    <row r="227" spans="1:82">
      <c r="A227" s="129"/>
      <c r="B227" s="670" t="s">
        <v>21</v>
      </c>
      <c r="C227" s="223"/>
      <c r="D227" s="772"/>
      <c r="E227" s="772"/>
      <c r="F227" s="773"/>
      <c r="G227" s="646"/>
      <c r="H227" s="223"/>
      <c r="I227" s="772"/>
      <c r="J227" s="772"/>
      <c r="K227" s="773"/>
      <c r="L227" s="646"/>
      <c r="M227" s="223"/>
      <c r="N227" s="772"/>
      <c r="O227" s="772"/>
      <c r="P227" s="773"/>
      <c r="Q227" s="646"/>
      <c r="R227" s="223"/>
      <c r="S227" s="772"/>
      <c r="T227" s="772"/>
      <c r="U227" s="773"/>
      <c r="V227" s="646"/>
      <c r="W227" s="223"/>
      <c r="X227" s="772"/>
      <c r="Y227" s="772"/>
      <c r="Z227" s="773"/>
      <c r="AA227" s="646"/>
      <c r="AB227" s="223"/>
      <c r="AC227" s="772"/>
      <c r="AD227" s="772"/>
      <c r="AE227" s="773"/>
      <c r="AF227" s="646"/>
      <c r="AG227" s="223"/>
      <c r="AH227" s="772"/>
      <c r="AI227" s="772"/>
      <c r="AJ227" s="773"/>
      <c r="AK227" s="655"/>
      <c r="AL227" s="173">
        <f>AL226/AG226-1</f>
        <v>0.25203940623189047</v>
      </c>
      <c r="AM227" s="173">
        <f>AM226/AH226-1</f>
        <v>0.28956476594271874</v>
      </c>
      <c r="AN227" s="173">
        <f>AN226/AI226-1</f>
        <v>0.29619473506581162</v>
      </c>
      <c r="AO227" s="173">
        <f>AO226/AJ226-1</f>
        <v>0.30814243916363382</v>
      </c>
      <c r="AP227" s="655"/>
      <c r="AQ227" s="173">
        <f t="shared" ref="AQ227:AV227" si="65">AQ226/AL226-1</f>
        <v>0.3231032150105031</v>
      </c>
      <c r="AR227" s="173">
        <f t="shared" si="65"/>
        <v>0.3544133928271882</v>
      </c>
      <c r="AS227" s="173">
        <f t="shared" si="65"/>
        <v>0.374613506916192</v>
      </c>
      <c r="AT227" s="173">
        <f t="shared" si="65"/>
        <v>0.32543232775080466</v>
      </c>
      <c r="AU227" s="549">
        <f>AU226/AP226-1</f>
        <v>0.34386698701319429</v>
      </c>
      <c r="AV227" s="173">
        <f t="shared" si="65"/>
        <v>0.25752112372853997</v>
      </c>
      <c r="AW227" s="650"/>
      <c r="AX227" s="650"/>
      <c r="AY227" s="650"/>
      <c r="AZ227" s="655"/>
      <c r="BA227" s="650"/>
      <c r="BB227" s="650"/>
      <c r="BC227" s="650"/>
      <c r="BD227" s="650"/>
      <c r="BE227" s="655"/>
      <c r="BF227" s="650"/>
      <c r="BG227" s="650"/>
      <c r="BH227" s="650"/>
      <c r="BI227" s="650"/>
      <c r="BJ227" s="655"/>
      <c r="BK227" s="650"/>
      <c r="BL227" s="650"/>
      <c r="BM227" s="650"/>
      <c r="BN227" s="650"/>
      <c r="BO227" s="655"/>
      <c r="BP227" s="650"/>
      <c r="BQ227" s="650"/>
      <c r="BR227" s="650"/>
      <c r="BS227" s="650"/>
      <c r="BT227" s="655"/>
      <c r="BU227" s="650"/>
      <c r="BV227" s="650"/>
      <c r="BW227" s="650"/>
      <c r="BX227" s="650"/>
      <c r="BY227" s="655"/>
      <c r="BZ227" s="650"/>
      <c r="CA227" s="650"/>
      <c r="CB227" s="650"/>
      <c r="CC227" s="650"/>
      <c r="CD227" s="655"/>
    </row>
    <row r="228" spans="1:82">
      <c r="A228" s="129"/>
      <c r="B228" s="670" t="s">
        <v>378</v>
      </c>
      <c r="C228" s="173"/>
      <c r="D228" s="173"/>
      <c r="E228" s="173"/>
      <c r="F228" s="173"/>
      <c r="G228" s="549"/>
      <c r="H228" s="173"/>
      <c r="I228" s="173"/>
      <c r="J228" s="173"/>
      <c r="K228" s="173"/>
      <c r="L228" s="549"/>
      <c r="M228" s="173"/>
      <c r="N228" s="173"/>
      <c r="O228" s="173"/>
      <c r="P228" s="173"/>
      <c r="Q228" s="549"/>
      <c r="R228" s="173"/>
      <c r="S228" s="173"/>
      <c r="T228" s="173"/>
      <c r="U228" s="173"/>
      <c r="V228" s="549"/>
      <c r="W228" s="173"/>
      <c r="X228" s="173"/>
      <c r="Y228" s="173"/>
      <c r="Z228" s="173"/>
      <c r="AA228" s="549"/>
      <c r="AB228" s="173"/>
      <c r="AC228" s="173"/>
      <c r="AD228" s="173"/>
      <c r="AE228" s="173"/>
      <c r="AF228" s="549"/>
      <c r="AG228" s="173">
        <f t="shared" ref="AG228:AV228" si="66">AG226/AG232</f>
        <v>0.66258085477153916</v>
      </c>
      <c r="AH228" s="173">
        <f t="shared" si="66"/>
        <v>0.67092392093117759</v>
      </c>
      <c r="AI228" s="173">
        <f t="shared" si="66"/>
        <v>0.674194374128957</v>
      </c>
      <c r="AJ228" s="173">
        <f t="shared" si="66"/>
        <v>0.67581384133108269</v>
      </c>
      <c r="AK228" s="549">
        <f t="shared" si="66"/>
        <v>0.67116747276402855</v>
      </c>
      <c r="AL228" s="173">
        <f t="shared" si="66"/>
        <v>0.6843810916179337</v>
      </c>
      <c r="AM228" s="173">
        <f t="shared" si="66"/>
        <v>0.69621376684651859</v>
      </c>
      <c r="AN228" s="173">
        <f t="shared" si="66"/>
        <v>0.70089194059812487</v>
      </c>
      <c r="AO228" s="173">
        <f t="shared" si="66"/>
        <v>0.7054047293787159</v>
      </c>
      <c r="AP228" s="549">
        <f t="shared" si="66"/>
        <v>0.69731107684943483</v>
      </c>
      <c r="AQ228" s="173">
        <f t="shared" si="66"/>
        <v>0.71457139560819904</v>
      </c>
      <c r="AR228" s="173">
        <f t="shared" si="66"/>
        <v>0.73340478872215964</v>
      </c>
      <c r="AS228" s="173">
        <f t="shared" si="66"/>
        <v>0.74651795814479638</v>
      </c>
      <c r="AT228" s="173">
        <f t="shared" si="66"/>
        <v>0.7557701878810501</v>
      </c>
      <c r="AU228" s="549">
        <f t="shared" si="66"/>
        <v>0.73867166248398586</v>
      </c>
      <c r="AV228" s="173">
        <f t="shared" si="66"/>
        <v>0.76094637943106513</v>
      </c>
      <c r="AW228" s="650"/>
      <c r="AX228" s="650"/>
      <c r="AY228" s="650"/>
      <c r="AZ228" s="655"/>
      <c r="BA228" s="650"/>
      <c r="BB228" s="650"/>
      <c r="BC228" s="650"/>
      <c r="BD228" s="650"/>
      <c r="BE228" s="655"/>
      <c r="BF228" s="650"/>
      <c r="BG228" s="650"/>
      <c r="BH228" s="650"/>
      <c r="BI228" s="650"/>
      <c r="BJ228" s="655"/>
      <c r="BK228" s="650"/>
      <c r="BL228" s="650"/>
      <c r="BM228" s="650"/>
      <c r="BN228" s="650"/>
      <c r="BO228" s="655"/>
      <c r="BP228" s="650"/>
      <c r="BQ228" s="650"/>
      <c r="BR228" s="650"/>
      <c r="BS228" s="650"/>
      <c r="BT228" s="655"/>
      <c r="BU228" s="650"/>
      <c r="BV228" s="650"/>
      <c r="BW228" s="650"/>
      <c r="BX228" s="650"/>
      <c r="BY228" s="655"/>
      <c r="BZ228" s="650"/>
      <c r="CA228" s="650"/>
      <c r="CB228" s="650"/>
      <c r="CC228" s="650"/>
      <c r="CD228" s="655"/>
    </row>
    <row r="229" spans="1:82">
      <c r="B229" s="778" t="s">
        <v>379</v>
      </c>
      <c r="C229" s="223"/>
      <c r="D229" s="772"/>
      <c r="E229" s="772"/>
      <c r="F229" s="773"/>
      <c r="G229" s="646"/>
      <c r="H229" s="223"/>
      <c r="I229" s="772"/>
      <c r="J229" s="772"/>
      <c r="K229" s="773"/>
      <c r="L229" s="646"/>
      <c r="M229" s="223"/>
      <c r="N229" s="772"/>
      <c r="O229" s="772"/>
      <c r="P229" s="773"/>
      <c r="Q229" s="646"/>
      <c r="R229" s="223"/>
      <c r="S229" s="772"/>
      <c r="T229" s="772"/>
      <c r="U229" s="773"/>
      <c r="V229" s="646"/>
      <c r="W229" s="223"/>
      <c r="X229" s="772"/>
      <c r="Y229" s="772"/>
      <c r="Z229" s="773"/>
      <c r="AA229" s="646"/>
      <c r="AB229" s="223"/>
      <c r="AC229" s="772"/>
      <c r="AD229" s="772"/>
      <c r="AE229" s="773"/>
      <c r="AF229" s="646"/>
      <c r="AG229" s="223">
        <v>11424</v>
      </c>
      <c r="AH229" s="772">
        <v>11337</v>
      </c>
      <c r="AI229" s="772">
        <v>11455</v>
      </c>
      <c r="AJ229" s="773">
        <f>47660-SUM(AG229:AI229)</f>
        <v>13444</v>
      </c>
      <c r="AK229" s="655">
        <f>SUM(AG229:AJ229)</f>
        <v>47660</v>
      </c>
      <c r="AL229" s="223">
        <v>12953</v>
      </c>
      <c r="AM229" s="772">
        <v>13006</v>
      </c>
      <c r="AN229" s="772">
        <v>13112</v>
      </c>
      <c r="AO229" s="773">
        <f>54382-SUM(AL229:AN229)</f>
        <v>15311</v>
      </c>
      <c r="AP229" s="655">
        <f>SUM(AL229:AO229)</f>
        <v>54382</v>
      </c>
      <c r="AQ229" s="223">
        <v>14844</v>
      </c>
      <c r="AR229" s="772">
        <v>14675</v>
      </c>
      <c r="AS229" s="772">
        <v>14341</v>
      </c>
      <c r="AT229" s="773">
        <f>59563-SUM(AQ229:AS229)</f>
        <v>15703</v>
      </c>
      <c r="AU229" s="655">
        <f>SUM(AQ229:AT229)</f>
        <v>59563</v>
      </c>
      <c r="AV229" s="223">
        <v>14681</v>
      </c>
      <c r="AW229" s="650"/>
      <c r="AX229" s="650"/>
      <c r="AY229" s="650"/>
      <c r="AZ229" s="655"/>
      <c r="BA229" s="650"/>
      <c r="BB229" s="650"/>
      <c r="BC229" s="650"/>
      <c r="BD229" s="650"/>
      <c r="BE229" s="655"/>
      <c r="BF229" s="650"/>
      <c r="BG229" s="650"/>
      <c r="BH229" s="650"/>
      <c r="BI229" s="650"/>
      <c r="BJ229" s="655"/>
      <c r="BK229" s="650"/>
      <c r="BL229" s="650"/>
      <c r="BM229" s="650"/>
      <c r="BN229" s="650"/>
      <c r="BO229" s="655"/>
      <c r="BP229" s="650"/>
      <c r="BQ229" s="650"/>
      <c r="BR229" s="650"/>
      <c r="BS229" s="650"/>
      <c r="BT229" s="655"/>
      <c r="BU229" s="650"/>
      <c r="BV229" s="650"/>
      <c r="BW229" s="650"/>
      <c r="BX229" s="650"/>
      <c r="BY229" s="655"/>
      <c r="BZ229" s="650"/>
      <c r="CA229" s="650"/>
      <c r="CB229" s="650"/>
      <c r="CC229" s="650"/>
      <c r="CD229" s="655"/>
    </row>
    <row r="230" spans="1:82">
      <c r="B230" s="670" t="s">
        <v>21</v>
      </c>
      <c r="C230" s="772"/>
      <c r="D230" s="772"/>
      <c r="E230" s="772"/>
      <c r="F230" s="772"/>
      <c r="G230" s="646"/>
      <c r="H230" s="772"/>
      <c r="I230" s="772"/>
      <c r="J230" s="772"/>
      <c r="K230" s="772"/>
      <c r="L230" s="646"/>
      <c r="M230" s="772"/>
      <c r="N230" s="772"/>
      <c r="O230" s="772"/>
      <c r="P230" s="772"/>
      <c r="Q230" s="646"/>
      <c r="R230" s="772"/>
      <c r="S230" s="772"/>
      <c r="T230" s="772"/>
      <c r="U230" s="772"/>
      <c r="V230" s="646"/>
      <c r="W230" s="772"/>
      <c r="X230" s="772"/>
      <c r="Y230" s="772"/>
      <c r="Z230" s="772"/>
      <c r="AA230" s="646"/>
      <c r="AB230" s="772"/>
      <c r="AC230" s="772"/>
      <c r="AD230" s="772"/>
      <c r="AE230" s="772"/>
      <c r="AF230" s="646"/>
      <c r="AG230" s="772"/>
      <c r="AH230" s="772"/>
      <c r="AI230" s="772"/>
      <c r="AJ230" s="772"/>
      <c r="AK230" s="646"/>
      <c r="AL230" s="772"/>
      <c r="AM230" s="772"/>
      <c r="AN230" s="772"/>
      <c r="AO230" s="772"/>
      <c r="AP230" s="655"/>
      <c r="AQ230" s="173">
        <f t="shared" ref="AQ230:AV230" si="67">AQ229/AL229-1</f>
        <v>0.14598934609742908</v>
      </c>
      <c r="AR230" s="173">
        <f t="shared" si="67"/>
        <v>0.1283253882823312</v>
      </c>
      <c r="AS230" s="173">
        <f t="shared" si="67"/>
        <v>9.3730933496034119E-2</v>
      </c>
      <c r="AT230" s="173">
        <f t="shared" si="67"/>
        <v>2.5602508000783786E-2</v>
      </c>
      <c r="AU230" s="549">
        <f>AU229/AP229-1</f>
        <v>9.5270493913427234E-2</v>
      </c>
      <c r="AV230" s="173">
        <f t="shared" si="67"/>
        <v>-1.0980867690649432E-2</v>
      </c>
      <c r="AW230" s="650"/>
      <c r="AX230" s="650"/>
      <c r="AY230" s="650"/>
      <c r="AZ230" s="655"/>
      <c r="BA230" s="650"/>
      <c r="BB230" s="650"/>
      <c r="BC230" s="650"/>
      <c r="BD230" s="650"/>
      <c r="BE230" s="655"/>
      <c r="BF230" s="650"/>
      <c r="BG230" s="650"/>
      <c r="BH230" s="650"/>
      <c r="BI230" s="650"/>
      <c r="BJ230" s="655"/>
      <c r="BK230" s="650"/>
      <c r="BL230" s="650"/>
      <c r="BM230" s="650"/>
      <c r="BN230" s="650"/>
      <c r="BO230" s="655"/>
      <c r="BP230" s="650"/>
      <c r="BQ230" s="650"/>
      <c r="BR230" s="650"/>
      <c r="BS230" s="650"/>
      <c r="BT230" s="655"/>
      <c r="BU230" s="650"/>
      <c r="BV230" s="650"/>
      <c r="BW230" s="650"/>
      <c r="BX230" s="650"/>
      <c r="BY230" s="655"/>
      <c r="BZ230" s="650"/>
      <c r="CA230" s="650"/>
      <c r="CB230" s="650"/>
      <c r="CC230" s="650"/>
      <c r="CD230" s="655"/>
    </row>
    <row r="231" spans="1:82">
      <c r="B231" s="790" t="s">
        <v>378</v>
      </c>
      <c r="C231" s="173"/>
      <c r="D231" s="173"/>
      <c r="E231" s="173"/>
      <c r="F231" s="173"/>
      <c r="G231" s="549"/>
      <c r="H231" s="173"/>
      <c r="I231" s="173"/>
      <c r="J231" s="173"/>
      <c r="K231" s="173"/>
      <c r="L231" s="549"/>
      <c r="M231" s="173"/>
      <c r="N231" s="173"/>
      <c r="O231" s="173"/>
      <c r="P231" s="173"/>
      <c r="Q231" s="549"/>
      <c r="R231" s="173"/>
      <c r="S231" s="173"/>
      <c r="T231" s="173"/>
      <c r="U231" s="173"/>
      <c r="V231" s="549"/>
      <c r="W231" s="173"/>
      <c r="X231" s="173"/>
      <c r="Y231" s="173"/>
      <c r="Z231" s="173"/>
      <c r="AA231" s="549"/>
      <c r="AB231" s="173"/>
      <c r="AC231" s="173"/>
      <c r="AD231" s="173"/>
      <c r="AE231" s="173"/>
      <c r="AF231" s="549"/>
      <c r="AG231" s="173"/>
      <c r="AH231" s="173"/>
      <c r="AI231" s="173"/>
      <c r="AJ231" s="173"/>
      <c r="AK231" s="549">
        <f t="shared" ref="AK231:AV231" si="68">AK229/AK232</f>
        <v>0.32883252723597151</v>
      </c>
      <c r="AL231" s="173">
        <f t="shared" si="68"/>
        <v>0.3156189083820663</v>
      </c>
      <c r="AM231" s="173">
        <f t="shared" si="68"/>
        <v>0.30378623315348141</v>
      </c>
      <c r="AN231" s="173">
        <f t="shared" si="68"/>
        <v>0.29910805940187513</v>
      </c>
      <c r="AO231" s="173">
        <f t="shared" si="68"/>
        <v>0.29459527062128416</v>
      </c>
      <c r="AP231" s="549">
        <f t="shared" si="68"/>
        <v>0.30268892315056523</v>
      </c>
      <c r="AQ231" s="173">
        <f t="shared" si="68"/>
        <v>0.28542860439180096</v>
      </c>
      <c r="AR231" s="173">
        <f t="shared" si="68"/>
        <v>0.26659521127784036</v>
      </c>
      <c r="AS231" s="173">
        <f t="shared" si="68"/>
        <v>0.25348204185520362</v>
      </c>
      <c r="AT231" s="173">
        <f t="shared" si="68"/>
        <v>0.24422981211894987</v>
      </c>
      <c r="AU231" s="549">
        <f t="shared" si="68"/>
        <v>0.26132833751601409</v>
      </c>
      <c r="AV231" s="173">
        <f t="shared" si="68"/>
        <v>0.23905362056893492</v>
      </c>
      <c r="AW231" s="650"/>
      <c r="AX231" s="650"/>
      <c r="AY231" s="650"/>
      <c r="AZ231" s="655"/>
      <c r="BA231" s="650"/>
      <c r="BB231" s="650"/>
      <c r="BC231" s="650"/>
      <c r="BD231" s="650"/>
      <c r="BE231" s="655"/>
      <c r="BF231" s="650"/>
      <c r="BG231" s="650"/>
      <c r="BH231" s="650"/>
      <c r="BI231" s="650"/>
      <c r="BJ231" s="655"/>
      <c r="BK231" s="650"/>
      <c r="BL231" s="650"/>
      <c r="BM231" s="650"/>
      <c r="BN231" s="650"/>
      <c r="BO231" s="655"/>
      <c r="BP231" s="650"/>
      <c r="BQ231" s="650"/>
      <c r="BR231" s="650"/>
      <c r="BS231" s="650"/>
      <c r="BT231" s="655"/>
      <c r="BU231" s="650"/>
      <c r="BV231" s="650"/>
      <c r="BW231" s="650"/>
      <c r="BX231" s="650"/>
      <c r="BY231" s="655"/>
      <c r="BZ231" s="650"/>
      <c r="CA231" s="650"/>
      <c r="CB231" s="650"/>
      <c r="CC231" s="650"/>
      <c r="CD231" s="655"/>
    </row>
    <row r="232" spans="1:82">
      <c r="B232" s="779" t="s">
        <v>380</v>
      </c>
      <c r="C232" s="791"/>
      <c r="D232" s="791"/>
      <c r="E232" s="791"/>
      <c r="F232" s="792">
        <v>10439</v>
      </c>
      <c r="G232" s="781"/>
      <c r="H232" s="792">
        <v>10777</v>
      </c>
      <c r="I232" s="792">
        <v>11080</v>
      </c>
      <c r="J232" s="792">
        <v>11569</v>
      </c>
      <c r="K232" s="792">
        <v>14044</v>
      </c>
      <c r="L232" s="782">
        <f>SUM(H232:K232)</f>
        <v>47470</v>
      </c>
      <c r="M232" s="792">
        <v>14417</v>
      </c>
      <c r="N232" s="792">
        <v>14930</v>
      </c>
      <c r="O232" s="792">
        <v>14812</v>
      </c>
      <c r="P232" s="792">
        <v>15988</v>
      </c>
      <c r="Q232" s="782">
        <f>SUM(M232:P232)</f>
        <v>60147</v>
      </c>
      <c r="R232" s="792">
        <v>15859</v>
      </c>
      <c r="S232" s="792">
        <v>16075</v>
      </c>
      <c r="T232" s="792">
        <v>17686</v>
      </c>
      <c r="U232" s="792">
        <v>21361</v>
      </c>
      <c r="V232" s="782">
        <f>SUM(R232:U232)</f>
        <v>70981</v>
      </c>
      <c r="W232" s="792">
        <v>21342</v>
      </c>
      <c r="X232" s="792">
        <v>21382</v>
      </c>
      <c r="Y232" s="792">
        <v>22365</v>
      </c>
      <c r="Z232" s="792">
        <v>26866</v>
      </c>
      <c r="AA232" s="782">
        <f>SUM(W232:Z232)</f>
        <v>91955</v>
      </c>
      <c r="AB232" s="792">
        <v>27362</v>
      </c>
      <c r="AC232" s="792">
        <v>28742</v>
      </c>
      <c r="AD232" s="792">
        <v>29282</v>
      </c>
      <c r="AE232" s="792">
        <v>33372</v>
      </c>
      <c r="AF232" s="782">
        <f>SUM(AB232:AE232)</f>
        <v>118758</v>
      </c>
      <c r="AG232" s="791">
        <f t="shared" ref="AG232:AV232" si="69">SUM(AG226,AG229)</f>
        <v>33857</v>
      </c>
      <c r="AH232" s="791">
        <f t="shared" si="69"/>
        <v>34451</v>
      </c>
      <c r="AI232" s="791">
        <f t="shared" si="69"/>
        <v>35159</v>
      </c>
      <c r="AJ232" s="783">
        <f t="shared" si="69"/>
        <v>41470</v>
      </c>
      <c r="AK232" s="782">
        <f t="shared" si="69"/>
        <v>144937</v>
      </c>
      <c r="AL232" s="791">
        <f t="shared" si="69"/>
        <v>41040</v>
      </c>
      <c r="AM232" s="791">
        <f t="shared" si="69"/>
        <v>42813</v>
      </c>
      <c r="AN232" s="791">
        <f t="shared" si="69"/>
        <v>43837</v>
      </c>
      <c r="AO232" s="783">
        <f t="shared" si="69"/>
        <v>51973</v>
      </c>
      <c r="AP232" s="782">
        <f t="shared" si="69"/>
        <v>179663</v>
      </c>
      <c r="AQ232" s="783">
        <f t="shared" si="69"/>
        <v>52006</v>
      </c>
      <c r="AR232" s="783">
        <f t="shared" si="69"/>
        <v>55046</v>
      </c>
      <c r="AS232" s="783">
        <f t="shared" si="69"/>
        <v>56576</v>
      </c>
      <c r="AT232" s="783">
        <f t="shared" si="69"/>
        <v>64296</v>
      </c>
      <c r="AU232" s="782">
        <f t="shared" si="69"/>
        <v>227924</v>
      </c>
      <c r="AV232" s="783">
        <f t="shared" si="69"/>
        <v>61413</v>
      </c>
      <c r="AW232" s="783">
        <v>65936</v>
      </c>
      <c r="AX232" s="783"/>
      <c r="AY232" s="783"/>
      <c r="AZ232" s="782"/>
      <c r="BA232" s="783"/>
      <c r="BB232" s="783"/>
      <c r="BC232" s="783"/>
      <c r="BD232" s="783"/>
      <c r="BE232" s="782"/>
      <c r="BF232" s="783"/>
      <c r="BG232" s="783"/>
      <c r="BH232" s="783"/>
      <c r="BI232" s="783"/>
      <c r="BJ232" s="782"/>
      <c r="BK232" s="783"/>
      <c r="BL232" s="783"/>
      <c r="BM232" s="783"/>
      <c r="BN232" s="783"/>
      <c r="BO232" s="782"/>
      <c r="BP232" s="783"/>
      <c r="BQ232" s="783"/>
      <c r="BR232" s="783"/>
      <c r="BS232" s="783"/>
      <c r="BT232" s="782"/>
      <c r="BU232" s="783"/>
      <c r="BV232" s="783"/>
      <c r="BW232" s="783"/>
      <c r="BX232" s="783"/>
      <c r="BY232" s="782"/>
      <c r="BZ232" s="783"/>
      <c r="CA232" s="783"/>
      <c r="CB232" s="783"/>
      <c r="CC232" s="783"/>
      <c r="CD232" s="782"/>
    </row>
    <row r="233" spans="1:82">
      <c r="B233" s="793" t="s">
        <v>21</v>
      </c>
      <c r="C233" s="173"/>
      <c r="D233" s="173"/>
      <c r="E233" s="173"/>
      <c r="F233" s="173"/>
      <c r="G233" s="549"/>
      <c r="H233" s="173"/>
      <c r="I233" s="173"/>
      <c r="J233" s="173"/>
      <c r="K233" s="173"/>
      <c r="L233" s="549"/>
      <c r="M233" s="173">
        <f t="shared" ref="M233:AV233" si="70">M232/H232-1</f>
        <v>0.33775633293124252</v>
      </c>
      <c r="N233" s="173">
        <f t="shared" si="70"/>
        <v>0.34747292418772568</v>
      </c>
      <c r="O233" s="173">
        <f t="shared" si="70"/>
        <v>0.28031809145129216</v>
      </c>
      <c r="P233" s="173">
        <f t="shared" si="70"/>
        <v>0.13842210196525206</v>
      </c>
      <c r="Q233" s="549">
        <f t="shared" si="70"/>
        <v>0.26705287550031609</v>
      </c>
      <c r="R233" s="173">
        <f t="shared" si="70"/>
        <v>0.10002080876742725</v>
      </c>
      <c r="S233" s="173">
        <f t="shared" si="70"/>
        <v>7.6691225720026734E-2</v>
      </c>
      <c r="T233" s="173">
        <f t="shared" si="70"/>
        <v>0.19403186605455036</v>
      </c>
      <c r="U233" s="173">
        <f t="shared" si="70"/>
        <v>0.33606454841130851</v>
      </c>
      <c r="V233" s="549">
        <f t="shared" si="70"/>
        <v>0.18012535953580389</v>
      </c>
      <c r="W233" s="173">
        <f t="shared" si="70"/>
        <v>0.34573428337221768</v>
      </c>
      <c r="X233" s="173">
        <f t="shared" si="70"/>
        <v>0.33013996889580088</v>
      </c>
      <c r="Y233" s="173">
        <f t="shared" si="70"/>
        <v>0.2645595386181161</v>
      </c>
      <c r="Z233" s="173">
        <f t="shared" si="70"/>
        <v>0.25771265390197096</v>
      </c>
      <c r="AA233" s="549">
        <f t="shared" si="70"/>
        <v>0.29548752483058838</v>
      </c>
      <c r="AB233" s="173">
        <f t="shared" si="70"/>
        <v>0.28207290788117323</v>
      </c>
      <c r="AC233" s="173">
        <f t="shared" si="70"/>
        <v>0.34421476007857077</v>
      </c>
      <c r="AD233" s="173">
        <f t="shared" si="70"/>
        <v>0.3092778895595798</v>
      </c>
      <c r="AE233" s="173">
        <f t="shared" si="70"/>
        <v>0.242164817985558</v>
      </c>
      <c r="AF233" s="549">
        <f t="shared" si="70"/>
        <v>0.29147952803001465</v>
      </c>
      <c r="AG233" s="173">
        <f t="shared" si="70"/>
        <v>0.23737299904977704</v>
      </c>
      <c r="AH233" s="173">
        <f t="shared" si="70"/>
        <v>0.19862918377287597</v>
      </c>
      <c r="AI233" s="173">
        <f t="shared" si="70"/>
        <v>0.20070350385902613</v>
      </c>
      <c r="AJ233" s="173">
        <f t="shared" si="70"/>
        <v>0.24265851612129929</v>
      </c>
      <c r="AK233" s="549">
        <f t="shared" si="70"/>
        <v>0.22043988615503807</v>
      </c>
      <c r="AL233" s="173">
        <f t="shared" si="70"/>
        <v>0.21215701332073134</v>
      </c>
      <c r="AM233" s="173">
        <f t="shared" si="70"/>
        <v>0.24272154654436728</v>
      </c>
      <c r="AN233" s="173">
        <f t="shared" si="70"/>
        <v>0.24682158195625581</v>
      </c>
      <c r="AO233" s="173">
        <f t="shared" si="70"/>
        <v>0.25326742223293941</v>
      </c>
      <c r="AP233" s="549">
        <f>AP232/AK232-1</f>
        <v>0.23959375452782927</v>
      </c>
      <c r="AQ233" s="173">
        <f t="shared" si="70"/>
        <v>0.26720272904483422</v>
      </c>
      <c r="AR233" s="173">
        <f t="shared" si="70"/>
        <v>0.28573096956531896</v>
      </c>
      <c r="AS233" s="173">
        <f t="shared" si="70"/>
        <v>0.29059926546068393</v>
      </c>
      <c r="AT233" s="173">
        <f t="shared" si="70"/>
        <v>0.23710388086121648</v>
      </c>
      <c r="AU233" s="549">
        <f>AU232/AP232-1</f>
        <v>0.26861958221781901</v>
      </c>
      <c r="AV233" s="173">
        <f t="shared" si="70"/>
        <v>0.18088297504134143</v>
      </c>
      <c r="AW233" s="173">
        <f>+AW232/AR232-1</f>
        <v>0.19783453838607712</v>
      </c>
      <c r="AX233" s="173"/>
      <c r="AY233" s="173"/>
      <c r="AZ233" s="549"/>
      <c r="BA233" s="173"/>
      <c r="BB233" s="173"/>
      <c r="BC233" s="173"/>
      <c r="BD233" s="173"/>
      <c r="BE233" s="549"/>
      <c r="BF233" s="173"/>
      <c r="BG233" s="173"/>
      <c r="BH233" s="173"/>
      <c r="BI233" s="173"/>
      <c r="BJ233" s="549"/>
      <c r="BK233" s="173"/>
      <c r="BL233" s="173"/>
      <c r="BM233" s="173"/>
      <c r="BN233" s="173"/>
      <c r="BO233" s="549"/>
      <c r="BP233" s="173"/>
      <c r="BQ233" s="173"/>
      <c r="BR233" s="173"/>
      <c r="BS233" s="173"/>
      <c r="BT233" s="549"/>
      <c r="BU233" s="173"/>
      <c r="BV233" s="173"/>
      <c r="BW233" s="173"/>
      <c r="BX233" s="173"/>
      <c r="BY233" s="549"/>
      <c r="BZ233" s="173"/>
      <c r="CA233" s="173"/>
      <c r="CB233" s="173"/>
      <c r="CC233" s="173"/>
      <c r="CD233" s="549"/>
    </row>
    <row r="234" spans="1:82">
      <c r="B234" s="670" t="s">
        <v>381</v>
      </c>
      <c r="C234" s="173"/>
      <c r="D234" s="173"/>
      <c r="E234" s="173"/>
      <c r="F234" s="173"/>
      <c r="G234" s="549"/>
      <c r="H234" s="173"/>
      <c r="I234" s="173"/>
      <c r="J234" s="173"/>
      <c r="K234" s="173"/>
      <c r="L234" s="549"/>
      <c r="M234" s="173"/>
      <c r="N234" s="173"/>
      <c r="O234" s="173"/>
      <c r="P234" s="173"/>
      <c r="Q234" s="549"/>
      <c r="R234" s="173"/>
      <c r="S234" s="173"/>
      <c r="T234" s="173"/>
      <c r="U234" s="173"/>
      <c r="V234" s="549"/>
      <c r="W234" s="794">
        <v>0.31</v>
      </c>
      <c r="X234" s="795">
        <v>0.28999999999999998</v>
      </c>
      <c r="Y234" s="795">
        <v>0.28999999999999998</v>
      </c>
      <c r="Z234" s="796">
        <v>0.28000000000000003</v>
      </c>
      <c r="AA234" s="549"/>
      <c r="AB234" s="794">
        <v>0.27</v>
      </c>
      <c r="AC234" s="795">
        <v>0.28999999999999998</v>
      </c>
      <c r="AD234" s="795">
        <v>0.27</v>
      </c>
      <c r="AE234" s="796">
        <v>0.24</v>
      </c>
      <c r="AF234" s="549"/>
      <c r="AG234" s="794">
        <v>0.25</v>
      </c>
      <c r="AH234" s="795">
        <v>0.23</v>
      </c>
      <c r="AI234" s="795">
        <v>0.23</v>
      </c>
      <c r="AJ234" s="796">
        <v>0.25</v>
      </c>
      <c r="AK234" s="549"/>
      <c r="AL234" s="794">
        <v>0.22</v>
      </c>
      <c r="AM234" s="795">
        <v>0.25</v>
      </c>
      <c r="AN234" s="795">
        <v>0.25</v>
      </c>
      <c r="AO234" s="796">
        <v>0.25</v>
      </c>
      <c r="AP234" s="549"/>
      <c r="AQ234" s="794">
        <v>0.26</v>
      </c>
      <c r="AR234" s="795">
        <v>0.26</v>
      </c>
      <c r="AS234" s="795">
        <v>0.28000000000000003</v>
      </c>
      <c r="AT234" s="795">
        <v>0.27</v>
      </c>
      <c r="AU234" s="549"/>
      <c r="AV234" s="795">
        <v>0.25</v>
      </c>
      <c r="AW234" s="795">
        <v>0.28000000000000003</v>
      </c>
      <c r="AX234" s="795"/>
      <c r="AY234" s="795"/>
      <c r="AZ234" s="549"/>
      <c r="BA234" s="173"/>
      <c r="BB234" s="795"/>
      <c r="BC234" s="795"/>
      <c r="BD234" s="795"/>
      <c r="BE234" s="549"/>
      <c r="BF234" s="173"/>
      <c r="BG234" s="173"/>
      <c r="BH234" s="173"/>
      <c r="BI234" s="795"/>
      <c r="BJ234" s="549"/>
      <c r="BK234" s="173"/>
      <c r="BL234" s="173"/>
      <c r="BM234" s="173"/>
      <c r="BN234" s="173"/>
      <c r="BO234" s="549"/>
      <c r="BP234" s="173"/>
      <c r="BQ234" s="173"/>
      <c r="BR234" s="173"/>
      <c r="BS234" s="173"/>
      <c r="BT234" s="549"/>
      <c r="BU234" s="173"/>
      <c r="BV234" s="173"/>
      <c r="BW234" s="173"/>
      <c r="BX234" s="173"/>
      <c r="BY234" s="549"/>
      <c r="BZ234" s="173"/>
      <c r="CA234" s="173"/>
      <c r="CB234" s="173"/>
      <c r="CC234" s="173"/>
      <c r="CD234" s="549"/>
    </row>
    <row r="235" spans="1:82">
      <c r="B235" s="670"/>
      <c r="C235" s="173"/>
      <c r="D235" s="173"/>
      <c r="E235" s="173"/>
      <c r="F235" s="173"/>
      <c r="G235" s="549"/>
      <c r="H235" s="173"/>
      <c r="I235" s="173"/>
      <c r="J235" s="173"/>
      <c r="K235" s="173"/>
      <c r="L235" s="549"/>
      <c r="M235" s="173"/>
      <c r="N235" s="173"/>
      <c r="O235" s="173"/>
      <c r="P235" s="173"/>
      <c r="Q235" s="549"/>
      <c r="R235" s="173"/>
      <c r="S235" s="173"/>
      <c r="T235" s="173"/>
      <c r="U235" s="173"/>
      <c r="V235" s="549"/>
      <c r="W235" s="173"/>
      <c r="X235" s="173"/>
      <c r="Y235" s="173"/>
      <c r="Z235" s="173"/>
      <c r="AA235" s="549"/>
      <c r="AB235" s="173"/>
      <c r="AC235" s="173"/>
      <c r="AD235" s="173"/>
      <c r="AE235" s="173"/>
      <c r="AF235" s="549"/>
      <c r="AG235" s="173"/>
      <c r="AH235" s="173"/>
      <c r="AI235" s="173"/>
      <c r="AJ235" s="173"/>
      <c r="AK235" s="549"/>
      <c r="AL235" s="173"/>
      <c r="AM235" s="173"/>
      <c r="AN235" s="173"/>
      <c r="AO235" s="173"/>
      <c r="AP235" s="549"/>
      <c r="AQ235" s="794"/>
      <c r="AR235" s="795"/>
      <c r="AS235" s="795"/>
      <c r="AT235" s="795"/>
      <c r="AU235" s="549"/>
      <c r="AV235" s="173"/>
      <c r="AW235" s="650"/>
      <c r="AX235" s="650"/>
      <c r="AY235" s="650"/>
      <c r="AZ235" s="549"/>
      <c r="BA235" s="173"/>
      <c r="BB235" s="650"/>
      <c r="BC235" s="650"/>
      <c r="BD235" s="650"/>
      <c r="BE235" s="549"/>
      <c r="BF235" s="173"/>
      <c r="BG235" s="173"/>
      <c r="BH235" s="173"/>
      <c r="BI235" s="650"/>
      <c r="BJ235" s="549"/>
      <c r="BK235" s="173"/>
      <c r="BL235" s="173"/>
      <c r="BM235" s="173"/>
      <c r="BN235" s="173"/>
      <c r="BO235" s="549"/>
      <c r="BP235" s="173"/>
      <c r="BQ235" s="173"/>
      <c r="BR235" s="173"/>
      <c r="BS235" s="173"/>
      <c r="BT235" s="549"/>
      <c r="BU235" s="173"/>
      <c r="BV235" s="173"/>
      <c r="BW235" s="173"/>
      <c r="BX235" s="173"/>
      <c r="BY235" s="549"/>
      <c r="BZ235" s="173"/>
      <c r="CA235" s="173"/>
      <c r="CB235" s="173"/>
      <c r="CC235" s="173"/>
      <c r="CD235" s="549"/>
    </row>
    <row r="236" spans="1:82">
      <c r="B236" s="787" t="s">
        <v>316</v>
      </c>
      <c r="C236" s="173"/>
      <c r="D236" s="173"/>
      <c r="E236" s="173"/>
      <c r="F236" s="173"/>
      <c r="G236" s="549"/>
      <c r="H236" s="173"/>
      <c r="I236" s="173"/>
      <c r="J236" s="173"/>
      <c r="K236" s="173"/>
      <c r="L236" s="549"/>
      <c r="M236" s="173"/>
      <c r="N236" s="173"/>
      <c r="O236" s="173"/>
      <c r="P236" s="173"/>
      <c r="Q236" s="549"/>
      <c r="R236" s="173"/>
      <c r="S236" s="173"/>
      <c r="T236" s="173"/>
      <c r="U236" s="173"/>
      <c r="V236" s="549"/>
      <c r="W236" s="173"/>
      <c r="X236" s="173"/>
      <c r="Y236" s="173"/>
      <c r="Z236" s="173"/>
      <c r="AA236" s="549"/>
      <c r="AB236" s="173"/>
      <c r="AC236" s="173"/>
      <c r="AD236" s="173"/>
      <c r="AE236" s="173"/>
      <c r="AF236" s="549"/>
      <c r="AG236" s="173"/>
      <c r="AH236" s="173"/>
      <c r="AI236" s="173"/>
      <c r="AJ236" s="173"/>
      <c r="AK236" s="549"/>
      <c r="AL236" s="173"/>
      <c r="AM236" s="173"/>
      <c r="AN236" s="173"/>
      <c r="AO236" s="173"/>
      <c r="AP236" s="549"/>
      <c r="AQ236" s="794"/>
      <c r="AR236" s="795"/>
      <c r="AS236" s="795"/>
      <c r="AT236" s="795"/>
      <c r="AU236" s="549"/>
      <c r="AV236" s="173"/>
      <c r="AW236" s="650"/>
      <c r="AX236" s="650"/>
      <c r="AY236" s="650"/>
      <c r="AZ236" s="549"/>
      <c r="BA236" s="173"/>
      <c r="BB236" s="650"/>
      <c r="BC236" s="650"/>
      <c r="BD236" s="650"/>
      <c r="BE236" s="549"/>
      <c r="BF236" s="173"/>
      <c r="BG236" s="173"/>
      <c r="BH236" s="173"/>
      <c r="BI236" s="650"/>
      <c r="BJ236" s="549"/>
      <c r="BK236" s="173"/>
      <c r="BL236" s="173"/>
      <c r="BM236" s="173"/>
      <c r="BN236" s="173"/>
      <c r="BO236" s="549"/>
      <c r="BP236" s="173"/>
      <c r="BQ236" s="173"/>
      <c r="BR236" s="173"/>
      <c r="BS236" s="173"/>
      <c r="BT236" s="549"/>
      <c r="BU236" s="173"/>
      <c r="BV236" s="173"/>
      <c r="BW236" s="173"/>
      <c r="BX236" s="173"/>
      <c r="BY236" s="549"/>
      <c r="BZ236" s="173"/>
      <c r="CA236" s="173"/>
      <c r="CB236" s="173"/>
      <c r="CC236" s="173"/>
      <c r="CD236" s="549"/>
    </row>
    <row r="237" spans="1:82">
      <c r="B237" s="670" t="s">
        <v>21</v>
      </c>
      <c r="C237" s="173"/>
      <c r="D237" s="173"/>
      <c r="E237" s="173"/>
      <c r="F237" s="173"/>
      <c r="G237" s="549"/>
      <c r="H237" s="173"/>
      <c r="I237" s="173"/>
      <c r="J237" s="173"/>
      <c r="K237" s="173"/>
      <c r="L237" s="549"/>
      <c r="M237" s="173"/>
      <c r="N237" s="173"/>
      <c r="O237" s="173"/>
      <c r="P237" s="173"/>
      <c r="Q237" s="549"/>
      <c r="R237" s="173"/>
      <c r="S237" s="173"/>
      <c r="T237" s="173"/>
      <c r="U237" s="173"/>
      <c r="V237" s="549"/>
      <c r="W237" s="173"/>
      <c r="X237" s="173"/>
      <c r="Y237" s="173"/>
      <c r="Z237" s="173"/>
      <c r="AA237" s="549"/>
      <c r="AB237" s="173"/>
      <c r="AC237" s="173"/>
      <c r="AD237" s="173"/>
      <c r="AE237" s="173"/>
      <c r="AF237" s="549"/>
      <c r="AG237" s="173"/>
      <c r="AH237" s="173"/>
      <c r="AI237" s="173"/>
      <c r="AJ237" s="173"/>
      <c r="AK237" s="549"/>
      <c r="AL237" s="173"/>
      <c r="AM237" s="173"/>
      <c r="AN237" s="173"/>
      <c r="AO237" s="173"/>
      <c r="AP237" s="549"/>
      <c r="AQ237" s="794"/>
      <c r="AR237" s="795"/>
      <c r="AS237" s="795"/>
      <c r="AT237" s="795"/>
      <c r="AU237" s="549"/>
      <c r="AV237" s="173"/>
      <c r="AW237" s="650"/>
      <c r="AX237" s="650"/>
      <c r="AY237" s="650"/>
      <c r="AZ237" s="549"/>
      <c r="BA237" s="173"/>
      <c r="BB237" s="650"/>
      <c r="BC237" s="650"/>
      <c r="BD237" s="650"/>
      <c r="BE237" s="549"/>
      <c r="BF237" s="173"/>
      <c r="BG237" s="173"/>
      <c r="BH237" s="173"/>
      <c r="BI237" s="650"/>
      <c r="BJ237" s="549"/>
      <c r="BK237" s="173"/>
      <c r="BL237" s="173"/>
      <c r="BM237" s="173"/>
      <c r="BN237" s="173"/>
      <c r="BO237" s="549"/>
      <c r="BP237" s="173"/>
      <c r="BQ237" s="173"/>
      <c r="BR237" s="173"/>
      <c r="BS237" s="173"/>
      <c r="BT237" s="549"/>
      <c r="BU237" s="173"/>
      <c r="BV237" s="173"/>
      <c r="BW237" s="173"/>
      <c r="BX237" s="173"/>
      <c r="BY237" s="549"/>
      <c r="BZ237" s="173"/>
      <c r="CA237" s="173"/>
      <c r="CB237" s="173"/>
      <c r="CC237" s="173"/>
      <c r="CD237" s="549"/>
    </row>
    <row r="238" spans="1:82">
      <c r="B238" s="670"/>
      <c r="C238" s="173"/>
      <c r="D238" s="173"/>
      <c r="E238" s="173"/>
      <c r="F238" s="173"/>
      <c r="G238" s="549"/>
      <c r="H238" s="173"/>
      <c r="I238" s="173"/>
      <c r="J238" s="173"/>
      <c r="K238" s="173"/>
      <c r="L238" s="549"/>
      <c r="M238" s="173"/>
      <c r="N238" s="173"/>
      <c r="O238" s="173"/>
      <c r="P238" s="173"/>
      <c r="Q238" s="549"/>
      <c r="R238" s="173"/>
      <c r="S238" s="173"/>
      <c r="T238" s="173"/>
      <c r="U238" s="173"/>
      <c r="V238" s="549"/>
      <c r="W238" s="173"/>
      <c r="X238" s="173"/>
      <c r="Y238" s="173"/>
      <c r="Z238" s="173"/>
      <c r="AA238" s="549"/>
      <c r="AB238" s="173"/>
      <c r="AC238" s="173"/>
      <c r="AD238" s="173"/>
      <c r="AE238" s="173"/>
      <c r="AF238" s="549"/>
      <c r="AG238" s="173"/>
      <c r="AH238" s="173"/>
      <c r="AI238" s="173"/>
      <c r="AJ238" s="173"/>
      <c r="AK238" s="549"/>
      <c r="AL238" s="173"/>
      <c r="AM238" s="173"/>
      <c r="AN238" s="173"/>
      <c r="AO238" s="173"/>
      <c r="AP238" s="549"/>
      <c r="AQ238" s="794"/>
      <c r="AR238" s="795"/>
      <c r="AS238" s="795"/>
      <c r="AT238" s="795"/>
      <c r="AU238" s="549"/>
      <c r="AV238" s="173"/>
      <c r="AW238" s="650"/>
      <c r="AX238" s="650"/>
      <c r="AY238" s="650"/>
      <c r="AZ238" s="549"/>
      <c r="BA238" s="173"/>
      <c r="BB238" s="650"/>
      <c r="BC238" s="650"/>
      <c r="BD238" s="650"/>
      <c r="BE238" s="549"/>
      <c r="BF238" s="173"/>
      <c r="BG238" s="173"/>
      <c r="BH238" s="173"/>
      <c r="BI238" s="650"/>
      <c r="BJ238" s="549"/>
      <c r="BK238" s="173"/>
      <c r="BL238" s="173"/>
      <c r="BM238" s="173"/>
      <c r="BN238" s="173"/>
      <c r="BO238" s="549"/>
      <c r="BP238" s="173"/>
      <c r="BQ238" s="173"/>
      <c r="BR238" s="173"/>
      <c r="BS238" s="173"/>
      <c r="BT238" s="549"/>
      <c r="BU238" s="173"/>
      <c r="BV238" s="173"/>
      <c r="BW238" s="173"/>
      <c r="BX238" s="173"/>
      <c r="BY238" s="549"/>
      <c r="BZ238" s="173"/>
      <c r="CA238" s="173"/>
      <c r="CB238" s="173"/>
      <c r="CC238" s="173"/>
      <c r="CD238" s="549"/>
    </row>
    <row r="239" spans="1:82">
      <c r="B239" s="787" t="s">
        <v>319</v>
      </c>
      <c r="C239" s="173"/>
      <c r="D239" s="173"/>
      <c r="E239" s="173"/>
      <c r="F239" s="173"/>
      <c r="G239" s="549"/>
      <c r="H239" s="173"/>
      <c r="I239" s="173"/>
      <c r="J239" s="173"/>
      <c r="K239" s="173"/>
      <c r="L239" s="549"/>
      <c r="M239" s="173"/>
      <c r="N239" s="173"/>
      <c r="O239" s="173"/>
      <c r="P239" s="173"/>
      <c r="Q239" s="549"/>
      <c r="R239" s="173"/>
      <c r="S239" s="173"/>
      <c r="T239" s="173"/>
      <c r="U239" s="173"/>
      <c r="V239" s="549"/>
      <c r="W239" s="173"/>
      <c r="X239" s="173"/>
      <c r="Y239" s="173"/>
      <c r="Z239" s="173"/>
      <c r="AA239" s="549"/>
      <c r="AB239" s="173"/>
      <c r="AC239" s="173"/>
      <c r="AD239" s="173"/>
      <c r="AE239" s="173"/>
      <c r="AF239" s="549"/>
      <c r="AG239" s="173"/>
      <c r="AH239" s="173"/>
      <c r="AI239" s="173"/>
      <c r="AJ239" s="173"/>
      <c r="AK239" s="549"/>
      <c r="AL239" s="173"/>
      <c r="AM239" s="173"/>
      <c r="AN239" s="173"/>
      <c r="AO239" s="173"/>
      <c r="AP239" s="549"/>
      <c r="AQ239" s="794"/>
      <c r="AR239" s="795"/>
      <c r="AS239" s="795"/>
      <c r="AT239" s="795"/>
      <c r="AU239" s="549"/>
      <c r="AV239" s="173"/>
      <c r="AW239" s="650"/>
      <c r="AX239" s="650"/>
      <c r="AY239" s="650"/>
      <c r="AZ239" s="549"/>
      <c r="BA239" s="173"/>
      <c r="BB239" s="650"/>
      <c r="BC239" s="650"/>
      <c r="BD239" s="650"/>
      <c r="BE239" s="549"/>
      <c r="BF239" s="173"/>
      <c r="BG239" s="173"/>
      <c r="BH239" s="173"/>
      <c r="BI239" s="650"/>
      <c r="BJ239" s="549"/>
      <c r="BK239" s="173"/>
      <c r="BL239" s="173"/>
      <c r="BM239" s="173"/>
      <c r="BN239" s="173"/>
      <c r="BO239" s="549"/>
      <c r="BP239" s="173"/>
      <c r="BQ239" s="173"/>
      <c r="BR239" s="173"/>
      <c r="BS239" s="173"/>
      <c r="BT239" s="549"/>
      <c r="BU239" s="173"/>
      <c r="BV239" s="173"/>
      <c r="BW239" s="173"/>
      <c r="BX239" s="173"/>
      <c r="BY239" s="549"/>
      <c r="BZ239" s="173"/>
      <c r="CA239" s="173"/>
      <c r="CB239" s="173"/>
      <c r="CC239" s="173"/>
      <c r="CD239" s="549"/>
    </row>
    <row r="240" spans="1:82">
      <c r="B240" s="670" t="s">
        <v>21</v>
      </c>
      <c r="C240" s="173"/>
      <c r="D240" s="173"/>
      <c r="E240" s="173"/>
      <c r="F240" s="173"/>
      <c r="G240" s="549"/>
      <c r="H240" s="173"/>
      <c r="I240" s="173"/>
      <c r="J240" s="173"/>
      <c r="K240" s="173"/>
      <c r="L240" s="549"/>
      <c r="M240" s="173"/>
      <c r="N240" s="173"/>
      <c r="O240" s="173"/>
      <c r="P240" s="173"/>
      <c r="Q240" s="549"/>
      <c r="R240" s="173"/>
      <c r="S240" s="173"/>
      <c r="T240" s="173"/>
      <c r="U240" s="173"/>
      <c r="V240" s="549"/>
      <c r="W240" s="173"/>
      <c r="X240" s="173"/>
      <c r="Y240" s="173"/>
      <c r="Z240" s="173"/>
      <c r="AA240" s="549"/>
      <c r="AB240" s="173"/>
      <c r="AC240" s="173"/>
      <c r="AD240" s="173"/>
      <c r="AE240" s="173"/>
      <c r="AF240" s="549"/>
      <c r="AG240" s="173"/>
      <c r="AH240" s="173"/>
      <c r="AI240" s="173"/>
      <c r="AJ240" s="173"/>
      <c r="AK240" s="549"/>
      <c r="AL240" s="173"/>
      <c r="AM240" s="173"/>
      <c r="AN240" s="173"/>
      <c r="AO240" s="173"/>
      <c r="AP240" s="549"/>
      <c r="AQ240" s="794"/>
      <c r="AR240" s="795"/>
      <c r="AS240" s="795"/>
      <c r="AT240" s="795"/>
      <c r="AU240" s="549"/>
      <c r="AV240" s="173"/>
      <c r="AW240" s="650"/>
      <c r="AX240" s="650"/>
      <c r="AY240" s="650"/>
      <c r="AZ240" s="549"/>
      <c r="BA240" s="173"/>
      <c r="BB240" s="650"/>
      <c r="BC240" s="650"/>
      <c r="BD240" s="650"/>
      <c r="BE240" s="549"/>
      <c r="BF240" s="173"/>
      <c r="BG240" s="173"/>
      <c r="BH240" s="173"/>
      <c r="BI240" s="650"/>
      <c r="BJ240" s="549"/>
      <c r="BK240" s="173"/>
      <c r="BL240" s="173"/>
      <c r="BM240" s="173"/>
      <c r="BN240" s="173"/>
      <c r="BO240" s="549"/>
      <c r="BP240" s="173"/>
      <c r="BQ240" s="173"/>
      <c r="BR240" s="173"/>
      <c r="BS240" s="173"/>
      <c r="BT240" s="549"/>
      <c r="BU240" s="173"/>
      <c r="BV240" s="173"/>
      <c r="BW240" s="173"/>
      <c r="BX240" s="173"/>
      <c r="BY240" s="549"/>
      <c r="BZ240" s="173"/>
      <c r="CA240" s="173"/>
      <c r="CB240" s="173"/>
      <c r="CC240" s="173"/>
      <c r="CD240" s="549"/>
    </row>
    <row r="241" spans="1:83">
      <c r="B241" s="670"/>
      <c r="C241" s="173"/>
      <c r="D241" s="173"/>
      <c r="E241" s="173"/>
      <c r="F241" s="173"/>
      <c r="G241" s="549"/>
      <c r="H241" s="173"/>
      <c r="I241" s="173"/>
      <c r="J241" s="173"/>
      <c r="K241" s="173"/>
      <c r="L241" s="549"/>
      <c r="M241" s="173"/>
      <c r="N241" s="173"/>
      <c r="O241" s="173"/>
      <c r="P241" s="173"/>
      <c r="Q241" s="549"/>
      <c r="R241" s="173"/>
      <c r="S241" s="173"/>
      <c r="T241" s="173"/>
      <c r="U241" s="173"/>
      <c r="V241" s="549"/>
      <c r="W241" s="173"/>
      <c r="X241" s="173"/>
      <c r="Y241" s="173"/>
      <c r="Z241" s="173"/>
      <c r="AA241" s="549"/>
      <c r="AB241" s="173"/>
      <c r="AC241" s="173"/>
      <c r="AD241" s="173"/>
      <c r="AE241" s="173"/>
      <c r="AF241" s="549"/>
      <c r="AG241" s="173"/>
      <c r="AH241" s="173"/>
      <c r="AI241" s="173"/>
      <c r="AJ241" s="173"/>
      <c r="AK241" s="549"/>
      <c r="AL241" s="173"/>
      <c r="AM241" s="173"/>
      <c r="AN241" s="173"/>
      <c r="AO241" s="173"/>
      <c r="AP241" s="549"/>
      <c r="AQ241" s="794"/>
      <c r="AR241" s="795"/>
      <c r="AS241" s="795"/>
      <c r="AT241" s="795"/>
      <c r="AU241" s="549"/>
      <c r="AV241" s="173"/>
      <c r="AW241" s="650"/>
      <c r="AX241" s="650"/>
      <c r="AY241" s="650"/>
      <c r="AZ241" s="549"/>
      <c r="BA241" s="173"/>
      <c r="BB241" s="650"/>
      <c r="BC241" s="650"/>
      <c r="BD241" s="650"/>
      <c r="BE241" s="549"/>
      <c r="BF241" s="173"/>
      <c r="BG241" s="173"/>
      <c r="BH241" s="173"/>
      <c r="BI241" s="650"/>
      <c r="BJ241" s="549"/>
      <c r="BK241" s="173"/>
      <c r="BL241" s="173"/>
      <c r="BM241" s="173"/>
      <c r="BN241" s="173"/>
      <c r="BO241" s="549"/>
      <c r="BP241" s="173"/>
      <c r="BQ241" s="173"/>
      <c r="BR241" s="173"/>
      <c r="BS241" s="173"/>
      <c r="BT241" s="549"/>
      <c r="BU241" s="173"/>
      <c r="BV241" s="173"/>
      <c r="BW241" s="173"/>
      <c r="BX241" s="173"/>
      <c r="BY241" s="549"/>
      <c r="BZ241" s="173"/>
      <c r="CA241" s="173"/>
      <c r="CB241" s="173"/>
      <c r="CC241" s="173"/>
      <c r="CD241" s="549"/>
    </row>
    <row r="242" spans="1:83">
      <c r="B242" s="670"/>
      <c r="C242" s="173"/>
      <c r="D242" s="173"/>
      <c r="E242" s="173"/>
      <c r="F242" s="173"/>
      <c r="G242" s="549"/>
      <c r="H242" s="173"/>
      <c r="I242" s="173"/>
      <c r="J242" s="173"/>
      <c r="K242" s="173"/>
      <c r="L242" s="549"/>
      <c r="M242" s="173"/>
      <c r="N242" s="173"/>
      <c r="O242" s="173"/>
      <c r="P242" s="173"/>
      <c r="Q242" s="549"/>
      <c r="R242" s="173"/>
      <c r="S242" s="173"/>
      <c r="T242" s="173"/>
      <c r="U242" s="173"/>
      <c r="V242" s="549"/>
      <c r="W242" s="173"/>
      <c r="X242" s="173"/>
      <c r="Y242" s="173"/>
      <c r="Z242" s="173"/>
      <c r="AA242" s="549"/>
      <c r="AB242" s="173"/>
      <c r="AC242" s="173"/>
      <c r="AD242" s="173"/>
      <c r="AE242" s="173"/>
      <c r="AF242" s="549"/>
      <c r="AG242" s="173"/>
      <c r="AH242" s="173"/>
      <c r="AI242" s="173"/>
      <c r="AJ242" s="173"/>
      <c r="AK242" s="549"/>
      <c r="AL242" s="173"/>
      <c r="AM242" s="173"/>
      <c r="AN242" s="173"/>
      <c r="AO242" s="173"/>
      <c r="AP242" s="549"/>
      <c r="AQ242" s="794"/>
      <c r="AR242" s="795"/>
      <c r="AS242" s="795"/>
      <c r="AT242" s="795"/>
      <c r="AU242" s="549"/>
      <c r="AV242" s="173"/>
      <c r="AW242" s="650"/>
      <c r="AX242" s="650"/>
      <c r="AY242" s="650"/>
      <c r="AZ242" s="549"/>
      <c r="BA242" s="173"/>
      <c r="BB242" s="650"/>
      <c r="BC242" s="650"/>
      <c r="BD242" s="650"/>
      <c r="BE242" s="549"/>
      <c r="BF242" s="173"/>
      <c r="BG242" s="173"/>
      <c r="BH242" s="173"/>
      <c r="BI242" s="650"/>
      <c r="BJ242" s="549"/>
      <c r="BK242" s="173"/>
      <c r="BL242" s="173"/>
      <c r="BM242" s="173"/>
      <c r="BN242" s="173"/>
      <c r="BO242" s="549"/>
      <c r="BP242" s="173"/>
      <c r="BQ242" s="173"/>
      <c r="BR242" s="173"/>
      <c r="BS242" s="173"/>
      <c r="BT242" s="549"/>
      <c r="BU242" s="173"/>
      <c r="BV242" s="173"/>
      <c r="BW242" s="173"/>
      <c r="BX242" s="173"/>
      <c r="BY242" s="549"/>
      <c r="BZ242" s="173"/>
      <c r="CA242" s="173"/>
      <c r="CB242" s="173"/>
      <c r="CC242" s="173"/>
      <c r="CD242" s="549"/>
    </row>
    <row r="243" spans="1:83">
      <c r="B243" s="670"/>
      <c r="C243" s="173"/>
      <c r="D243" s="173"/>
      <c r="E243" s="173"/>
      <c r="F243" s="173"/>
      <c r="G243" s="549"/>
      <c r="H243" s="173"/>
      <c r="I243" s="173"/>
      <c r="J243" s="173"/>
      <c r="K243" s="173"/>
      <c r="L243" s="549"/>
      <c r="M243" s="173"/>
      <c r="N243" s="173"/>
      <c r="O243" s="173"/>
      <c r="P243" s="173"/>
      <c r="Q243" s="549"/>
      <c r="R243" s="173"/>
      <c r="S243" s="173"/>
      <c r="T243" s="173"/>
      <c r="U243" s="173"/>
      <c r="V243" s="549"/>
      <c r="W243" s="173"/>
      <c r="X243" s="173"/>
      <c r="Y243" s="173"/>
      <c r="Z243" s="173"/>
      <c r="AA243" s="549"/>
      <c r="AB243" s="173"/>
      <c r="AC243" s="173"/>
      <c r="AD243" s="173"/>
      <c r="AE243" s="173"/>
      <c r="AF243" s="549"/>
      <c r="AG243" s="173"/>
      <c r="AH243" s="173"/>
      <c r="AI243" s="173"/>
      <c r="AJ243" s="173"/>
      <c r="AK243" s="549"/>
      <c r="AL243" s="173"/>
      <c r="AM243" s="173"/>
      <c r="AN243" s="173"/>
      <c r="AO243" s="173"/>
      <c r="AP243" s="549"/>
      <c r="AQ243" s="794"/>
      <c r="AR243" s="795"/>
      <c r="AS243" s="795"/>
      <c r="AT243" s="795"/>
      <c r="AU243" s="549"/>
      <c r="AV243" s="173"/>
      <c r="AW243" s="650"/>
      <c r="AX243" s="650"/>
      <c r="AY243" s="650"/>
      <c r="AZ243" s="549"/>
      <c r="BA243" s="173"/>
      <c r="BB243" s="650"/>
      <c r="BC243" s="650"/>
      <c r="BD243" s="650"/>
      <c r="BE243" s="549"/>
      <c r="BF243" s="173"/>
      <c r="BG243" s="173"/>
      <c r="BH243" s="173"/>
      <c r="BI243" s="650"/>
      <c r="BJ243" s="549"/>
      <c r="BK243" s="173"/>
      <c r="BL243" s="173"/>
      <c r="BM243" s="173"/>
      <c r="BN243" s="173"/>
      <c r="BO243" s="549"/>
      <c r="BP243" s="173"/>
      <c r="BQ243" s="173"/>
      <c r="BR243" s="173"/>
      <c r="BS243" s="173"/>
      <c r="BT243" s="549"/>
      <c r="BU243" s="173"/>
      <c r="BV243" s="173"/>
      <c r="BW243" s="173"/>
      <c r="BX243" s="173"/>
      <c r="BY243" s="549"/>
      <c r="BZ243" s="173"/>
      <c r="CA243" s="173"/>
      <c r="CB243" s="173"/>
      <c r="CC243" s="173"/>
      <c r="CD243" s="549"/>
    </row>
    <row r="244" spans="1:83">
      <c r="B244" s="670"/>
      <c r="C244" s="173"/>
      <c r="D244" s="173"/>
      <c r="E244" s="173"/>
      <c r="F244" s="173"/>
      <c r="G244" s="549"/>
      <c r="H244" s="173"/>
      <c r="I244" s="173"/>
      <c r="J244" s="173"/>
      <c r="K244" s="173"/>
      <c r="L244" s="549"/>
      <c r="M244" s="173"/>
      <c r="N244" s="173"/>
      <c r="O244" s="173"/>
      <c r="P244" s="173"/>
      <c r="Q244" s="549"/>
      <c r="R244" s="173"/>
      <c r="S244" s="173"/>
      <c r="T244" s="173"/>
      <c r="U244" s="173"/>
      <c r="V244" s="549"/>
      <c r="W244" s="173"/>
      <c r="X244" s="173"/>
      <c r="Y244" s="173"/>
      <c r="Z244" s="173"/>
      <c r="AA244" s="549"/>
      <c r="AB244" s="173"/>
      <c r="AC244" s="173"/>
      <c r="AD244" s="173"/>
      <c r="AE244" s="173"/>
      <c r="AF244" s="549"/>
      <c r="AG244" s="173"/>
      <c r="AH244" s="173"/>
      <c r="AI244" s="173"/>
      <c r="AJ244" s="173"/>
      <c r="AK244" s="549"/>
      <c r="AL244" s="173"/>
      <c r="AM244" s="173"/>
      <c r="AN244" s="173"/>
      <c r="AO244" s="173"/>
      <c r="AP244" s="549"/>
      <c r="AQ244" s="794"/>
      <c r="AR244" s="795"/>
      <c r="AS244" s="795"/>
      <c r="AT244" s="795"/>
      <c r="AU244" s="549"/>
      <c r="AV244" s="173"/>
      <c r="AW244" s="650"/>
      <c r="AX244" s="650"/>
      <c r="AY244" s="650"/>
      <c r="AZ244" s="549"/>
      <c r="BA244" s="173"/>
      <c r="BB244" s="650"/>
      <c r="BC244" s="650"/>
      <c r="BD244" s="650"/>
      <c r="BE244" s="549"/>
      <c r="BF244" s="173"/>
      <c r="BG244" s="173"/>
      <c r="BH244" s="173"/>
      <c r="BI244" s="650"/>
      <c r="BJ244" s="549"/>
      <c r="BK244" s="173"/>
      <c r="BL244" s="173"/>
      <c r="BM244" s="173"/>
      <c r="BN244" s="173"/>
      <c r="BO244" s="549"/>
      <c r="BP244" s="173"/>
      <c r="BQ244" s="173"/>
      <c r="BR244" s="173"/>
      <c r="BS244" s="173"/>
      <c r="BT244" s="549"/>
      <c r="BU244" s="173"/>
      <c r="BV244" s="173"/>
      <c r="BW244" s="173"/>
      <c r="BX244" s="173"/>
      <c r="BY244" s="549"/>
      <c r="BZ244" s="173"/>
      <c r="CA244" s="173"/>
      <c r="CB244" s="173"/>
      <c r="CC244" s="173"/>
      <c r="CD244" s="549"/>
    </row>
    <row r="245" spans="1:83">
      <c r="B245" s="670"/>
      <c r="C245" s="173"/>
      <c r="D245" s="173"/>
      <c r="E245" s="173"/>
      <c r="F245" s="173"/>
      <c r="G245" s="549"/>
      <c r="H245" s="173"/>
      <c r="I245" s="173"/>
      <c r="J245" s="173"/>
      <c r="K245" s="173"/>
      <c r="L245" s="549"/>
      <c r="M245" s="173"/>
      <c r="N245" s="173"/>
      <c r="O245" s="173"/>
      <c r="P245" s="173"/>
      <c r="Q245" s="549"/>
      <c r="R245" s="173"/>
      <c r="S245" s="173"/>
      <c r="T245" s="173"/>
      <c r="U245" s="173"/>
      <c r="V245" s="549"/>
      <c r="W245" s="173"/>
      <c r="X245" s="173"/>
      <c r="Y245" s="173"/>
      <c r="Z245" s="173"/>
      <c r="AA245" s="549"/>
      <c r="AB245" s="173"/>
      <c r="AC245" s="173"/>
      <c r="AD245" s="173"/>
      <c r="AE245" s="173"/>
      <c r="AF245" s="549"/>
      <c r="AG245" s="173"/>
      <c r="AH245" s="173"/>
      <c r="AI245" s="173"/>
      <c r="AJ245" s="173"/>
      <c r="AK245" s="549"/>
      <c r="AL245" s="173"/>
      <c r="AM245" s="173"/>
      <c r="AN245" s="173"/>
      <c r="AO245" s="173"/>
      <c r="AP245" s="549"/>
      <c r="AQ245" s="794"/>
      <c r="AR245" s="795"/>
      <c r="AS245" s="795"/>
      <c r="AT245" s="795"/>
      <c r="AU245" s="549"/>
      <c r="AV245" s="173"/>
      <c r="AW245" s="650"/>
      <c r="AX245" s="650"/>
      <c r="AY245" s="650"/>
      <c r="AZ245" s="549"/>
      <c r="BA245" s="173"/>
      <c r="BB245" s="650"/>
      <c r="BC245" s="650"/>
      <c r="BD245" s="650"/>
      <c r="BE245" s="549"/>
      <c r="BF245" s="173"/>
      <c r="BG245" s="173"/>
      <c r="BH245" s="173"/>
      <c r="BI245" s="650"/>
      <c r="BJ245" s="549"/>
      <c r="BK245" s="173"/>
      <c r="BL245" s="173"/>
      <c r="BM245" s="173"/>
      <c r="BN245" s="173"/>
      <c r="BO245" s="549"/>
      <c r="BP245" s="173"/>
      <c r="BQ245" s="173"/>
      <c r="BR245" s="173"/>
      <c r="BS245" s="173"/>
      <c r="BT245" s="549"/>
      <c r="BU245" s="173"/>
      <c r="BV245" s="173"/>
      <c r="BW245" s="173"/>
      <c r="BX245" s="173"/>
      <c r="BY245" s="549"/>
      <c r="BZ245" s="173"/>
      <c r="CA245" s="173"/>
      <c r="CB245" s="173"/>
      <c r="CC245" s="173"/>
      <c r="CD245" s="549"/>
    </row>
    <row r="246" spans="1:83">
      <c r="B246" s="670"/>
      <c r="C246" s="173"/>
      <c r="D246" s="173"/>
      <c r="E246" s="173"/>
      <c r="F246" s="173"/>
      <c r="G246" s="549"/>
      <c r="H246" s="173"/>
      <c r="I246" s="173"/>
      <c r="J246" s="173"/>
      <c r="K246" s="173"/>
      <c r="L246" s="549"/>
      <c r="M246" s="173"/>
      <c r="N246" s="173"/>
      <c r="O246" s="173"/>
      <c r="P246" s="173"/>
      <c r="Q246" s="549"/>
      <c r="R246" s="173"/>
      <c r="S246" s="173"/>
      <c r="T246" s="173"/>
      <c r="U246" s="173"/>
      <c r="V246" s="549"/>
      <c r="W246" s="173"/>
      <c r="X246" s="173"/>
      <c r="Y246" s="173"/>
      <c r="Z246" s="173"/>
      <c r="AA246" s="549"/>
      <c r="AB246" s="173"/>
      <c r="AC246" s="173"/>
      <c r="AD246" s="173"/>
      <c r="AE246" s="173"/>
      <c r="AF246" s="549"/>
      <c r="AG246" s="173"/>
      <c r="AH246" s="173"/>
      <c r="AI246" s="173"/>
      <c r="AJ246" s="173"/>
      <c r="AK246" s="549"/>
      <c r="AL246" s="173"/>
      <c r="AM246" s="173"/>
      <c r="AN246" s="173"/>
      <c r="AO246" s="173"/>
      <c r="AP246" s="549"/>
      <c r="AQ246" s="794"/>
      <c r="AR246" s="795"/>
      <c r="AS246" s="795"/>
      <c r="AT246" s="795"/>
      <c r="AU246" s="549"/>
      <c r="AV246" s="173"/>
      <c r="AW246" s="650"/>
      <c r="AX246" s="650"/>
      <c r="AY246" s="650"/>
      <c r="AZ246" s="549"/>
      <c r="BA246" s="173"/>
      <c r="BB246" s="650"/>
      <c r="BC246" s="650"/>
      <c r="BD246" s="650"/>
      <c r="BE246" s="549"/>
      <c r="BF246" s="173"/>
      <c r="BG246" s="173"/>
      <c r="BH246" s="173"/>
      <c r="BI246" s="650"/>
      <c r="BJ246" s="549"/>
      <c r="BK246" s="173"/>
      <c r="BL246" s="173"/>
      <c r="BM246" s="173"/>
      <c r="BN246" s="173"/>
      <c r="BO246" s="549"/>
      <c r="BP246" s="173"/>
      <c r="BQ246" s="173"/>
      <c r="BR246" s="173"/>
      <c r="BS246" s="173"/>
      <c r="BT246" s="549"/>
      <c r="BU246" s="173"/>
      <c r="BV246" s="173"/>
      <c r="BW246" s="173"/>
      <c r="BX246" s="173"/>
      <c r="BY246" s="549"/>
      <c r="BZ246" s="173"/>
      <c r="CA246" s="173"/>
      <c r="CB246" s="173"/>
      <c r="CC246" s="173"/>
      <c r="CD246" s="549"/>
    </row>
    <row r="247" spans="1:83">
      <c r="B247" s="670"/>
      <c r="C247" s="173"/>
      <c r="D247" s="173"/>
      <c r="E247" s="173"/>
      <c r="F247" s="173"/>
      <c r="G247" s="549"/>
      <c r="H247" s="173"/>
      <c r="I247" s="173"/>
      <c r="J247" s="173"/>
      <c r="K247" s="173"/>
      <c r="L247" s="549"/>
      <c r="M247" s="173"/>
      <c r="N247" s="173"/>
      <c r="O247" s="173"/>
      <c r="P247" s="173"/>
      <c r="Q247" s="549"/>
      <c r="R247" s="173"/>
      <c r="S247" s="173"/>
      <c r="T247" s="173"/>
      <c r="U247" s="173"/>
      <c r="V247" s="549"/>
      <c r="W247" s="173"/>
      <c r="X247" s="173"/>
      <c r="Y247" s="173"/>
      <c r="Z247" s="173"/>
      <c r="AA247" s="549"/>
      <c r="AB247" s="173"/>
      <c r="AC247" s="173"/>
      <c r="AD247" s="173"/>
      <c r="AE247" s="173"/>
      <c r="AF247" s="549"/>
      <c r="AG247" s="173"/>
      <c r="AH247" s="173"/>
      <c r="AI247" s="173"/>
      <c r="AJ247" s="173"/>
      <c r="AK247" s="549"/>
      <c r="AL247" s="173"/>
      <c r="AM247" s="173"/>
      <c r="AN247" s="173"/>
      <c r="AO247" s="173"/>
      <c r="AP247" s="549"/>
      <c r="AQ247" s="794"/>
      <c r="AR247" s="795"/>
      <c r="AS247" s="795"/>
      <c r="AT247" s="795"/>
      <c r="AU247" s="549"/>
      <c r="AV247" s="173"/>
      <c r="AW247" s="650"/>
      <c r="AX247" s="650"/>
      <c r="AY247" s="650"/>
      <c r="AZ247" s="549"/>
      <c r="BA247" s="173"/>
      <c r="BB247" s="650"/>
      <c r="BC247" s="650"/>
      <c r="BD247" s="650"/>
      <c r="BE247" s="549"/>
      <c r="BF247" s="173"/>
      <c r="BG247" s="173"/>
      <c r="BH247" s="173"/>
      <c r="BI247" s="650"/>
      <c r="BJ247" s="549"/>
      <c r="BK247" s="173"/>
      <c r="BL247" s="173"/>
      <c r="BM247" s="173"/>
      <c r="BN247" s="173"/>
      <c r="BO247" s="549"/>
      <c r="BP247" s="173"/>
      <c r="BQ247" s="173"/>
      <c r="BR247" s="173"/>
      <c r="BS247" s="173"/>
      <c r="BT247" s="549"/>
      <c r="BU247" s="173"/>
      <c r="BV247" s="173"/>
      <c r="BW247" s="173"/>
      <c r="BX247" s="173"/>
      <c r="BY247" s="549"/>
      <c r="BZ247" s="173"/>
      <c r="CA247" s="173"/>
      <c r="CB247" s="173"/>
      <c r="CC247" s="173"/>
      <c r="CD247" s="549"/>
    </row>
    <row r="248" spans="1:83">
      <c r="A248" s="538"/>
      <c r="B248" s="797" t="s">
        <v>382</v>
      </c>
      <c r="C248" s="223"/>
      <c r="D248" s="772"/>
      <c r="E248" s="772"/>
      <c r="F248" s="773">
        <v>49.4</v>
      </c>
      <c r="G248" s="655">
        <f>F248</f>
        <v>49.4</v>
      </c>
      <c r="H248" s="223">
        <v>51.3</v>
      </c>
      <c r="I248" s="772">
        <v>52.8</v>
      </c>
      <c r="J248" s="772">
        <v>54.8</v>
      </c>
      <c r="K248" s="773">
        <v>57.3</v>
      </c>
      <c r="L248" s="655">
        <f>K248</f>
        <v>57.3</v>
      </c>
      <c r="M248" s="223">
        <v>60.2</v>
      </c>
      <c r="N248" s="772">
        <v>62.6</v>
      </c>
      <c r="O248" s="772">
        <v>65.3</v>
      </c>
      <c r="P248" s="773">
        <v>70.400000000000006</v>
      </c>
      <c r="Q248" s="655">
        <f>P248</f>
        <v>70.400000000000006</v>
      </c>
      <c r="R248" s="223">
        <v>73.099999999999994</v>
      </c>
      <c r="S248" s="772">
        <v>75.400000000000006</v>
      </c>
      <c r="T248" s="772">
        <v>78</v>
      </c>
      <c r="U248" s="773">
        <v>81</v>
      </c>
      <c r="V248" s="655">
        <f>U248</f>
        <v>81</v>
      </c>
      <c r="W248" s="223">
        <v>84.3</v>
      </c>
      <c r="X248" s="772">
        <v>87.2</v>
      </c>
      <c r="Y248" s="772">
        <v>90.5</v>
      </c>
      <c r="Z248" s="773">
        <v>94.4</v>
      </c>
      <c r="AA248" s="655">
        <f>Z248</f>
        <v>94.4</v>
      </c>
      <c r="AB248" s="223">
        <v>97.7</v>
      </c>
      <c r="AC248" s="772">
        <v>100.3</v>
      </c>
      <c r="AD248" s="772">
        <v>103</v>
      </c>
      <c r="AE248" s="773">
        <v>106.3</v>
      </c>
      <c r="AF248" s="655">
        <f>AE248</f>
        <v>106.3</v>
      </c>
      <c r="AG248" s="223">
        <v>109.8</v>
      </c>
      <c r="AH248" s="772">
        <v>113.2</v>
      </c>
      <c r="AI248" s="772">
        <v>117.4</v>
      </c>
      <c r="AJ248" s="773">
        <v>122.7</v>
      </c>
      <c r="AK248" s="655">
        <f>AJ248</f>
        <v>122.7</v>
      </c>
      <c r="AL248" s="223">
        <v>127.7</v>
      </c>
      <c r="AM248" s="772">
        <v>132.4</v>
      </c>
      <c r="AN248" s="772">
        <v>137.4</v>
      </c>
      <c r="AO248" s="773">
        <v>142.6</v>
      </c>
      <c r="AP248" s="655">
        <f>AO248</f>
        <v>142.6</v>
      </c>
      <c r="AQ248" s="223">
        <v>148.4</v>
      </c>
      <c r="AR248" s="772">
        <v>152.5</v>
      </c>
      <c r="AS248" s="772">
        <v>156.9</v>
      </c>
      <c r="AT248" s="773">
        <v>161.5</v>
      </c>
      <c r="AU248" s="655">
        <f>AT248</f>
        <v>161.5</v>
      </c>
      <c r="AV248" s="223">
        <v>165.2</v>
      </c>
      <c r="AW248" s="650"/>
      <c r="AX248" s="650"/>
      <c r="AY248" s="650"/>
      <c r="AZ248" s="655"/>
      <c r="BA248" s="650"/>
      <c r="BB248" s="650"/>
      <c r="BC248" s="650"/>
      <c r="BD248" s="650"/>
      <c r="BE248" s="655"/>
      <c r="BF248" s="650"/>
      <c r="BG248" s="650"/>
      <c r="BH248" s="650"/>
      <c r="BI248" s="650"/>
      <c r="BJ248" s="655"/>
      <c r="BK248" s="650"/>
      <c r="BL248" s="650"/>
      <c r="BM248" s="650"/>
      <c r="BN248" s="650"/>
      <c r="BO248" s="655"/>
      <c r="BP248" s="650"/>
      <c r="BQ248" s="650"/>
      <c r="BR248" s="650"/>
      <c r="BS248" s="650"/>
      <c r="BT248" s="655"/>
      <c r="BU248" s="650"/>
      <c r="BV248" s="650"/>
      <c r="BW248" s="650"/>
      <c r="BX248" s="650"/>
      <c r="BY248" s="655"/>
      <c r="BZ248" s="650"/>
      <c r="CA248" s="650"/>
      <c r="CB248" s="650"/>
      <c r="CC248" s="650"/>
      <c r="CD248" s="655"/>
      <c r="CE248" s="601"/>
    </row>
    <row r="249" spans="1:83">
      <c r="A249" s="538"/>
      <c r="B249" s="670" t="s">
        <v>383</v>
      </c>
      <c r="C249" s="798"/>
      <c r="D249" s="101"/>
      <c r="E249" s="101"/>
      <c r="F249" s="799">
        <v>0.05</v>
      </c>
      <c r="G249" s="658"/>
      <c r="H249" s="798">
        <v>0.04</v>
      </c>
      <c r="I249" s="101">
        <v>0.03</v>
      </c>
      <c r="J249" s="101">
        <v>0.04</v>
      </c>
      <c r="K249" s="799">
        <v>0.05</v>
      </c>
      <c r="L249" s="189"/>
      <c r="M249" s="798">
        <v>0.05</v>
      </c>
      <c r="N249" s="101">
        <v>0.04</v>
      </c>
      <c r="O249" s="101">
        <v>0.04</v>
      </c>
      <c r="P249" s="799">
        <v>0.08</v>
      </c>
      <c r="Q249" s="189"/>
      <c r="R249" s="798">
        <v>0.04</v>
      </c>
      <c r="S249" s="101">
        <v>0.03</v>
      </c>
      <c r="T249" s="101">
        <v>0.03</v>
      </c>
      <c r="U249" s="799">
        <v>0.04</v>
      </c>
      <c r="V249" s="189"/>
      <c r="W249" s="798">
        <v>0.04</v>
      </c>
      <c r="X249" s="101">
        <v>0.03</v>
      </c>
      <c r="Y249" s="101">
        <v>0.04</v>
      </c>
      <c r="Z249" s="799">
        <v>0.04</v>
      </c>
      <c r="AA249" s="189"/>
      <c r="AB249" s="798">
        <v>0.03</v>
      </c>
      <c r="AC249" s="101">
        <v>0.03</v>
      </c>
      <c r="AD249" s="101">
        <v>0.03</v>
      </c>
      <c r="AE249" s="799">
        <v>0.03</v>
      </c>
      <c r="AF249" s="189"/>
      <c r="AG249" s="798">
        <v>0.03</v>
      </c>
      <c r="AH249" s="101">
        <v>0.03</v>
      </c>
      <c r="AI249" s="101">
        <v>0.04</v>
      </c>
      <c r="AJ249" s="799">
        <v>0.05</v>
      </c>
      <c r="AK249" s="189"/>
      <c r="AL249" s="798">
        <v>0.04</v>
      </c>
      <c r="AM249" s="101">
        <v>0.04</v>
      </c>
      <c r="AN249" s="101">
        <v>0.04</v>
      </c>
      <c r="AO249" s="799">
        <v>0.04</v>
      </c>
      <c r="AP249" s="189"/>
      <c r="AQ249" s="798">
        <v>0.04</v>
      </c>
      <c r="AR249" s="101">
        <v>0.03</v>
      </c>
      <c r="AS249" s="101">
        <v>0.03</v>
      </c>
      <c r="AT249" s="799">
        <v>0.03</v>
      </c>
      <c r="AU249" s="189"/>
      <c r="AV249" s="798">
        <v>0.02</v>
      </c>
      <c r="AW249" s="490"/>
      <c r="AX249" s="490"/>
      <c r="AY249" s="490"/>
      <c r="AZ249" s="189"/>
      <c r="BA249" s="490"/>
      <c r="BB249" s="490"/>
      <c r="BC249" s="490"/>
      <c r="BD249" s="490"/>
      <c r="BE249" s="189"/>
      <c r="BF249" s="490"/>
      <c r="BG249" s="490"/>
      <c r="BH249" s="490"/>
      <c r="BI249" s="490"/>
      <c r="BJ249" s="189"/>
      <c r="BK249" s="490"/>
      <c r="BL249" s="490"/>
      <c r="BM249" s="490"/>
      <c r="BN249" s="490"/>
      <c r="BO249" s="189"/>
      <c r="BP249" s="490"/>
      <c r="BQ249" s="490"/>
      <c r="BR249" s="490"/>
      <c r="BS249" s="490"/>
      <c r="BT249" s="189"/>
      <c r="BU249" s="490"/>
      <c r="BV249" s="490"/>
      <c r="BW249" s="490"/>
      <c r="BX249" s="490"/>
      <c r="BY249" s="189"/>
      <c r="BZ249" s="490"/>
      <c r="CA249" s="490"/>
      <c r="CB249" s="490"/>
      <c r="CC249" s="490"/>
      <c r="CD249" s="189"/>
      <c r="CE249" s="601"/>
    </row>
    <row r="250" spans="1:83">
      <c r="A250" s="538"/>
      <c r="B250" s="670" t="s">
        <v>21</v>
      </c>
      <c r="C250" s="798"/>
      <c r="D250" s="101"/>
      <c r="E250" s="101"/>
      <c r="F250" s="799">
        <v>0.2</v>
      </c>
      <c r="G250" s="658"/>
      <c r="H250" s="798">
        <v>0.18</v>
      </c>
      <c r="I250" s="101">
        <v>0.16</v>
      </c>
      <c r="J250" s="101">
        <v>0.16</v>
      </c>
      <c r="K250" s="799">
        <v>0.16</v>
      </c>
      <c r="L250" s="189"/>
      <c r="M250" s="798">
        <v>0.17</v>
      </c>
      <c r="N250" s="101">
        <v>0.19</v>
      </c>
      <c r="O250" s="101">
        <v>0.19</v>
      </c>
      <c r="P250" s="799">
        <v>0.23</v>
      </c>
      <c r="Q250" s="189"/>
      <c r="R250" s="798">
        <v>0.22</v>
      </c>
      <c r="S250" s="101">
        <v>0.2</v>
      </c>
      <c r="T250" s="101">
        <v>0.19</v>
      </c>
      <c r="U250" s="799">
        <v>0.15</v>
      </c>
      <c r="V250" s="189"/>
      <c r="W250" s="798">
        <v>0.15</v>
      </c>
      <c r="X250" s="101">
        <v>0.16</v>
      </c>
      <c r="Y250" s="101">
        <v>0.16</v>
      </c>
      <c r="Z250" s="799">
        <v>0.17</v>
      </c>
      <c r="AA250" s="189"/>
      <c r="AB250" s="798">
        <v>0.16</v>
      </c>
      <c r="AC250" s="101">
        <v>0.15</v>
      </c>
      <c r="AD250" s="101">
        <v>0.14000000000000001</v>
      </c>
      <c r="AE250" s="799">
        <v>0.13</v>
      </c>
      <c r="AF250" s="189"/>
      <c r="AG250" s="798">
        <v>0.12</v>
      </c>
      <c r="AH250" s="101">
        <v>0.13</v>
      </c>
      <c r="AI250" s="101">
        <v>0.14000000000000001</v>
      </c>
      <c r="AJ250" s="799">
        <v>0.15</v>
      </c>
      <c r="AK250" s="189"/>
      <c r="AL250" s="798">
        <v>0.16</v>
      </c>
      <c r="AM250" s="101">
        <v>0.17</v>
      </c>
      <c r="AN250" s="101">
        <v>0.17</v>
      </c>
      <c r="AO250" s="799">
        <v>0.16</v>
      </c>
      <c r="AP250" s="189"/>
      <c r="AQ250" s="798">
        <v>0.16</v>
      </c>
      <c r="AR250" s="101">
        <v>0.15</v>
      </c>
      <c r="AS250" s="101">
        <v>0.14000000000000001</v>
      </c>
      <c r="AT250" s="799">
        <v>0.13</v>
      </c>
      <c r="AU250" s="189"/>
      <c r="AV250" s="798">
        <v>0.11</v>
      </c>
      <c r="AW250" s="490"/>
      <c r="AX250" s="490"/>
      <c r="AY250" s="490"/>
      <c r="AZ250" s="189"/>
      <c r="BA250" s="490"/>
      <c r="BB250" s="490"/>
      <c r="BC250" s="490"/>
      <c r="BD250" s="490"/>
      <c r="BE250" s="189"/>
      <c r="BF250" s="490"/>
      <c r="BG250" s="490"/>
      <c r="BH250" s="490"/>
      <c r="BI250" s="490"/>
      <c r="BJ250" s="189"/>
      <c r="BK250" s="490"/>
      <c r="BL250" s="490"/>
      <c r="BM250" s="490"/>
      <c r="BN250" s="490"/>
      <c r="BO250" s="189"/>
      <c r="BP250" s="490"/>
      <c r="BQ250" s="490"/>
      <c r="BR250" s="490"/>
      <c r="BS250" s="490"/>
      <c r="BT250" s="189"/>
      <c r="BU250" s="490"/>
      <c r="BV250" s="490"/>
      <c r="BW250" s="490"/>
      <c r="BX250" s="490"/>
      <c r="BY250" s="189"/>
      <c r="BZ250" s="490"/>
      <c r="CA250" s="490"/>
      <c r="CB250" s="490"/>
      <c r="CC250" s="490"/>
      <c r="CD250" s="189"/>
      <c r="CE250" s="601"/>
    </row>
    <row r="251" spans="1:83">
      <c r="A251" s="538"/>
      <c r="B251" s="603"/>
      <c r="G251" s="549"/>
      <c r="L251" s="549"/>
      <c r="Q251" s="549"/>
      <c r="V251" s="549"/>
      <c r="AA251" s="549"/>
      <c r="AF251" s="549"/>
      <c r="AK251" s="549"/>
      <c r="AP251" s="549"/>
      <c r="AQ251" s="800"/>
      <c r="AU251" s="549"/>
      <c r="AW251" s="650"/>
      <c r="AX251" s="650"/>
      <c r="AY251" s="650"/>
      <c r="AZ251" s="549"/>
      <c r="BB251" s="650"/>
      <c r="BC251" s="650"/>
      <c r="BD251" s="650"/>
      <c r="BE251" s="549"/>
      <c r="BI251" s="650"/>
      <c r="BJ251" s="549"/>
      <c r="BO251" s="549"/>
      <c r="BT251" s="549"/>
      <c r="BY251" s="549"/>
      <c r="CD251" s="549"/>
      <c r="CE251" s="601"/>
    </row>
    <row r="252" spans="1:83">
      <c r="A252" s="538"/>
      <c r="B252" s="797" t="s">
        <v>384</v>
      </c>
      <c r="C252" s="223"/>
      <c r="D252" s="772"/>
      <c r="E252" s="772"/>
      <c r="F252" s="773">
        <v>167.2</v>
      </c>
      <c r="G252" s="646"/>
      <c r="H252" s="223">
        <v>171.9</v>
      </c>
      <c r="I252" s="772">
        <v>168</v>
      </c>
      <c r="J252" s="772">
        <v>172.2</v>
      </c>
      <c r="K252" s="773">
        <v>203.9</v>
      </c>
      <c r="L252" s="655">
        <f>SUM(H252:K252)</f>
        <v>715.99999999999989</v>
      </c>
      <c r="M252" s="223">
        <v>211</v>
      </c>
      <c r="N252" s="772">
        <v>210.9</v>
      </c>
      <c r="O252" s="772">
        <v>214.5</v>
      </c>
      <c r="P252" s="773">
        <v>252.2</v>
      </c>
      <c r="Q252" s="655">
        <f>SUM(M252:P252)</f>
        <v>888.59999999999991</v>
      </c>
      <c r="R252" s="223">
        <v>254.1</v>
      </c>
      <c r="S252" s="772">
        <v>259.60000000000002</v>
      </c>
      <c r="T252" s="772">
        <v>273.89999999999998</v>
      </c>
      <c r="U252" s="773">
        <v>329</v>
      </c>
      <c r="V252" s="655">
        <f>SUM(R252:U252)</f>
        <v>1116.5999999999999</v>
      </c>
      <c r="W252" s="223">
        <v>336</v>
      </c>
      <c r="X252" s="772">
        <v>335</v>
      </c>
      <c r="Y252" s="772">
        <v>357</v>
      </c>
      <c r="Z252" s="773">
        <v>421.1</v>
      </c>
      <c r="AA252" s="655">
        <f>SUM(W252:Z252)</f>
        <v>1449.1</v>
      </c>
      <c r="AB252" s="223">
        <v>424.6</v>
      </c>
      <c r="AC252" s="772">
        <v>432</v>
      </c>
      <c r="AD252" s="772">
        <v>459.2</v>
      </c>
      <c r="AE252" s="773">
        <v>548.1</v>
      </c>
      <c r="AF252" s="655">
        <f>SUM(AB252:AE252)</f>
        <v>1863.9</v>
      </c>
      <c r="AG252" s="223">
        <v>555.70000000000005</v>
      </c>
      <c r="AH252" s="772">
        <v>564.79999999999995</v>
      </c>
      <c r="AI252" s="772">
        <v>589.20000000000005</v>
      </c>
      <c r="AJ252" s="773">
        <v>691.7</v>
      </c>
      <c r="AK252" s="655">
        <f>SUM(AG252:AJ252)</f>
        <v>2401.4</v>
      </c>
      <c r="AL252" s="223">
        <v>681.6</v>
      </c>
      <c r="AM252" s="772">
        <v>700.6</v>
      </c>
      <c r="AN252" s="772">
        <v>729.4</v>
      </c>
      <c r="AO252" s="773">
        <v>846.1</v>
      </c>
      <c r="AP252" s="655">
        <f>SUM(AL252:AO252)</f>
        <v>2957.7</v>
      </c>
      <c r="AQ252" s="223">
        <v>835.3</v>
      </c>
      <c r="AR252" s="772">
        <v>849.7</v>
      </c>
      <c r="AS252" s="772">
        <v>893</v>
      </c>
      <c r="AT252" s="773">
        <v>1057.7</v>
      </c>
      <c r="AU252" s="655">
        <f>SUM(AQ252:AT252)</f>
        <v>3635.7</v>
      </c>
      <c r="AV252" s="223">
        <v>1039.7</v>
      </c>
      <c r="AW252" s="650"/>
      <c r="AX252" s="650"/>
      <c r="AY252" s="650"/>
      <c r="AZ252" s="655"/>
      <c r="BA252" s="650"/>
      <c r="BB252" s="650"/>
      <c r="BC252" s="650"/>
      <c r="BD252" s="650"/>
      <c r="BE252" s="655"/>
      <c r="BF252" s="650"/>
      <c r="BG252" s="650"/>
      <c r="BH252" s="650"/>
      <c r="BI252" s="650"/>
      <c r="BJ252" s="655"/>
      <c r="BK252" s="650"/>
      <c r="BL252" s="650"/>
      <c r="BM252" s="650"/>
      <c r="BN252" s="650"/>
      <c r="BO252" s="655"/>
      <c r="BP252" s="650"/>
      <c r="BQ252" s="650"/>
      <c r="BR252" s="650"/>
      <c r="BS252" s="650"/>
      <c r="BT252" s="655"/>
      <c r="BU252" s="650"/>
      <c r="BV252" s="650"/>
      <c r="BW252" s="650"/>
      <c r="BX252" s="650"/>
      <c r="BY252" s="655"/>
      <c r="BZ252" s="650"/>
      <c r="CA252" s="650"/>
      <c r="CB252" s="650"/>
      <c r="CC252" s="650"/>
      <c r="CD252" s="655"/>
      <c r="CE252" s="601"/>
    </row>
    <row r="253" spans="1:83">
      <c r="A253" s="129"/>
      <c r="B253" s="670" t="s">
        <v>383</v>
      </c>
      <c r="C253" s="798"/>
      <c r="D253" s="101"/>
      <c r="E253" s="101"/>
      <c r="F253" s="799">
        <v>0.18</v>
      </c>
      <c r="G253" s="658"/>
      <c r="H253" s="798">
        <v>0.03</v>
      </c>
      <c r="I253" s="101">
        <v>-0.02</v>
      </c>
      <c r="J253" s="101">
        <v>0.03</v>
      </c>
      <c r="K253" s="799">
        <v>0.18</v>
      </c>
      <c r="L253" s="658"/>
      <c r="M253" s="798">
        <v>0.03</v>
      </c>
      <c r="N253" s="101">
        <v>0</v>
      </c>
      <c r="O253" s="101">
        <v>0.02</v>
      </c>
      <c r="P253" s="799">
        <v>0.18</v>
      </c>
      <c r="Q253" s="658"/>
      <c r="R253" s="798">
        <v>0.01</v>
      </c>
      <c r="S253" s="101">
        <v>0.02</v>
      </c>
      <c r="T253" s="101">
        <v>0.06</v>
      </c>
      <c r="U253" s="799">
        <v>0.2</v>
      </c>
      <c r="V253" s="658"/>
      <c r="W253" s="798">
        <v>0.02</v>
      </c>
      <c r="X253" s="101">
        <v>0</v>
      </c>
      <c r="Y253" s="101">
        <v>7.0000000000000007E-2</v>
      </c>
      <c r="Z253" s="799">
        <v>0.18</v>
      </c>
      <c r="AA253" s="658"/>
      <c r="AB253" s="798">
        <v>0.01</v>
      </c>
      <c r="AC253" s="101">
        <v>0.02</v>
      </c>
      <c r="AD253" s="101">
        <v>0.06</v>
      </c>
      <c r="AE253" s="799">
        <v>0.19</v>
      </c>
      <c r="AF253" s="658"/>
      <c r="AG253" s="798">
        <v>0.01</v>
      </c>
      <c r="AH253" s="101">
        <v>0.02</v>
      </c>
      <c r="AI253" s="101">
        <v>0.04</v>
      </c>
      <c r="AJ253" s="799">
        <v>0.17</v>
      </c>
      <c r="AK253" s="658"/>
      <c r="AL253" s="798">
        <v>-0.01</v>
      </c>
      <c r="AM253" s="101">
        <v>0.03</v>
      </c>
      <c r="AN253" s="101">
        <v>0.04</v>
      </c>
      <c r="AO253" s="799">
        <v>0.16</v>
      </c>
      <c r="AP253" s="189"/>
      <c r="AQ253" s="798">
        <v>-0.01</v>
      </c>
      <c r="AR253" s="101">
        <v>0.02</v>
      </c>
      <c r="AS253" s="101">
        <v>0.05</v>
      </c>
      <c r="AT253" s="799">
        <v>0.18</v>
      </c>
      <c r="AU253" s="189"/>
      <c r="AV253" s="798">
        <v>-0.02</v>
      </c>
      <c r="AW253" s="490"/>
      <c r="AX253" s="490"/>
      <c r="AY253" s="490"/>
      <c r="AZ253" s="189"/>
      <c r="BA253" s="490"/>
      <c r="BB253" s="490"/>
      <c r="BC253" s="490"/>
      <c r="BD253" s="490"/>
      <c r="BE253" s="189"/>
      <c r="BF253" s="490"/>
      <c r="BG253" s="490"/>
      <c r="BH253" s="490"/>
      <c r="BI253" s="490"/>
      <c r="BJ253" s="189"/>
      <c r="BK253" s="490"/>
      <c r="BL253" s="490"/>
      <c r="BM253" s="490"/>
      <c r="BN253" s="490"/>
      <c r="BO253" s="189"/>
      <c r="BP253" s="490"/>
      <c r="BQ253" s="490"/>
      <c r="BR253" s="490"/>
      <c r="BS253" s="490"/>
      <c r="BT253" s="189"/>
      <c r="BU253" s="490"/>
      <c r="BV253" s="490"/>
      <c r="BW253" s="490"/>
      <c r="BX253" s="490"/>
      <c r="BY253" s="189"/>
      <c r="BZ253" s="490"/>
      <c r="CA253" s="490"/>
      <c r="CB253" s="490"/>
      <c r="CC253" s="490"/>
      <c r="CD253" s="189"/>
    </row>
    <row r="254" spans="1:83">
      <c r="B254" s="670" t="s">
        <v>21</v>
      </c>
      <c r="C254" s="798"/>
      <c r="D254" s="101"/>
      <c r="E254" s="101"/>
      <c r="F254" s="799">
        <v>0.24</v>
      </c>
      <c r="G254" s="658"/>
      <c r="H254" s="798">
        <v>0.19</v>
      </c>
      <c r="I254" s="101">
        <v>0.2</v>
      </c>
      <c r="J254" s="101">
        <v>0.21</v>
      </c>
      <c r="K254" s="799">
        <v>0.22</v>
      </c>
      <c r="L254" s="658"/>
      <c r="M254" s="798">
        <v>0.23</v>
      </c>
      <c r="N254" s="101">
        <v>0.26</v>
      </c>
      <c r="O254" s="101">
        <v>0.25</v>
      </c>
      <c r="P254" s="799">
        <v>0.24</v>
      </c>
      <c r="Q254" s="658"/>
      <c r="R254" s="798">
        <v>0.2</v>
      </c>
      <c r="S254" s="101">
        <v>0.23</v>
      </c>
      <c r="T254" s="101">
        <v>0.28000000000000003</v>
      </c>
      <c r="U254" s="799">
        <v>0.3</v>
      </c>
      <c r="V254" s="658"/>
      <c r="W254" s="798">
        <v>0.32</v>
      </c>
      <c r="X254" s="101">
        <v>0.28999999999999998</v>
      </c>
      <c r="Y254" s="101">
        <v>0.31</v>
      </c>
      <c r="Z254" s="799">
        <v>0.28000000000000003</v>
      </c>
      <c r="AA254" s="658"/>
      <c r="AB254" s="798">
        <v>0.26</v>
      </c>
      <c r="AC254" s="101">
        <v>0.28999999999999998</v>
      </c>
      <c r="AD254" s="101">
        <v>0.28999999999999998</v>
      </c>
      <c r="AE254" s="799">
        <v>0.3</v>
      </c>
      <c r="AF254" s="658"/>
      <c r="AG254" s="798">
        <v>0.31</v>
      </c>
      <c r="AH254" s="101">
        <v>0.31</v>
      </c>
      <c r="AI254" s="101">
        <v>0.28000000000000003</v>
      </c>
      <c r="AJ254" s="799">
        <v>0.26</v>
      </c>
      <c r="AK254" s="658"/>
      <c r="AL254" s="798">
        <v>0.23</v>
      </c>
      <c r="AM254" s="101">
        <v>0.24</v>
      </c>
      <c r="AN254" s="101">
        <v>0.24</v>
      </c>
      <c r="AO254" s="799">
        <v>0.22</v>
      </c>
      <c r="AP254" s="189"/>
      <c r="AQ254" s="798">
        <v>0.23</v>
      </c>
      <c r="AR254" s="101">
        <v>0.21</v>
      </c>
      <c r="AS254" s="101">
        <v>0.22</v>
      </c>
      <c r="AT254" s="799">
        <v>0.25</v>
      </c>
      <c r="AU254" s="189"/>
      <c r="AV254" s="798">
        <v>0.24</v>
      </c>
      <c r="AW254" s="490"/>
      <c r="AX254" s="490"/>
      <c r="AY254" s="490"/>
      <c r="AZ254" s="189"/>
      <c r="BA254" s="490"/>
      <c r="BB254" s="490"/>
      <c r="BC254" s="490"/>
      <c r="BD254" s="490"/>
      <c r="BE254" s="189"/>
      <c r="BF254" s="490"/>
      <c r="BG254" s="490"/>
      <c r="BH254" s="490"/>
      <c r="BI254" s="490"/>
      <c r="BJ254" s="189"/>
      <c r="BK254" s="490"/>
      <c r="BL254" s="490"/>
      <c r="BM254" s="490"/>
      <c r="BN254" s="490"/>
      <c r="BO254" s="189"/>
      <c r="BP254" s="490"/>
      <c r="BQ254" s="490"/>
      <c r="BR254" s="490"/>
      <c r="BS254" s="490"/>
      <c r="BT254" s="189"/>
      <c r="BU254" s="490"/>
      <c r="BV254" s="490"/>
      <c r="BW254" s="490"/>
      <c r="BX254" s="490"/>
      <c r="BY254" s="189"/>
      <c r="BZ254" s="490"/>
      <c r="CA254" s="490"/>
      <c r="CB254" s="490"/>
      <c r="CC254" s="490"/>
      <c r="CD254" s="189"/>
    </row>
    <row r="255" spans="1:83">
      <c r="B255" s="603"/>
      <c r="G255" s="549"/>
      <c r="L255" s="549"/>
      <c r="Q255" s="549"/>
      <c r="V255" s="549"/>
      <c r="AA255" s="549"/>
      <c r="AF255" s="549"/>
      <c r="AK255" s="549"/>
      <c r="AP255" s="549"/>
      <c r="AQ255" s="789"/>
      <c r="AU255" s="549"/>
      <c r="AW255" s="650"/>
      <c r="AX255" s="650"/>
      <c r="AY255" s="650"/>
      <c r="AZ255" s="549"/>
      <c r="BB255" s="650"/>
      <c r="BC255" s="650"/>
      <c r="BD255" s="650"/>
      <c r="BE255" s="549"/>
      <c r="BI255" s="650"/>
      <c r="BJ255" s="549"/>
      <c r="BO255" s="549"/>
      <c r="BT255" s="549"/>
      <c r="BY255" s="549"/>
      <c r="CD255" s="549"/>
    </row>
    <row r="256" spans="1:83">
      <c r="B256" s="603"/>
      <c r="G256" s="549"/>
      <c r="L256" s="549"/>
      <c r="Q256" s="549"/>
      <c r="V256" s="549"/>
      <c r="AA256" s="549"/>
      <c r="AF256" s="549"/>
      <c r="AK256" s="549"/>
      <c r="AP256" s="549"/>
      <c r="AQ256" s="789"/>
      <c r="AU256" s="549"/>
      <c r="AW256" s="650"/>
      <c r="AX256" s="650"/>
      <c r="AY256" s="650"/>
      <c r="AZ256" s="549"/>
      <c r="BB256" s="650"/>
      <c r="BC256" s="650"/>
      <c r="BD256" s="650"/>
      <c r="BE256" s="549"/>
      <c r="BI256" s="650"/>
      <c r="BJ256" s="549"/>
      <c r="BO256" s="549"/>
      <c r="BT256" s="549"/>
      <c r="BY256" s="549"/>
      <c r="CD256" s="549"/>
    </row>
    <row r="257" spans="2:82">
      <c r="B257" s="603" t="s">
        <v>385</v>
      </c>
      <c r="G257" s="549"/>
      <c r="L257" s="549"/>
      <c r="Q257" s="549"/>
      <c r="V257" s="549"/>
      <c r="AA257" s="549"/>
      <c r="AF257" s="549"/>
      <c r="AK257" s="549"/>
      <c r="AP257" s="549"/>
      <c r="AQ257" s="789"/>
      <c r="AU257" s="549"/>
      <c r="AW257" s="650"/>
      <c r="AX257" s="650"/>
      <c r="AY257" s="650"/>
      <c r="AZ257" s="549"/>
      <c r="BB257" s="650"/>
      <c r="BC257" s="650"/>
      <c r="BD257" s="650"/>
      <c r="BE257" s="549"/>
      <c r="BI257" s="650"/>
      <c r="BJ257" s="549"/>
      <c r="BO257" s="549"/>
      <c r="BT257" s="549"/>
      <c r="BY257" s="549"/>
      <c r="CD257" s="549"/>
    </row>
    <row r="258" spans="2:82">
      <c r="B258" s="670"/>
      <c r="C258" s="173"/>
      <c r="D258" s="173"/>
      <c r="E258" s="173"/>
      <c r="F258" s="173"/>
      <c r="G258" s="549"/>
      <c r="H258" s="173"/>
      <c r="I258" s="173"/>
      <c r="J258" s="173"/>
      <c r="K258" s="173"/>
      <c r="L258" s="549"/>
      <c r="M258" s="173"/>
      <c r="N258" s="173"/>
      <c r="O258" s="173"/>
      <c r="P258" s="173"/>
      <c r="Q258" s="549"/>
      <c r="R258" s="173"/>
      <c r="S258" s="173"/>
      <c r="T258" s="173"/>
      <c r="U258" s="173"/>
      <c r="V258" s="549"/>
      <c r="W258" s="173"/>
      <c r="X258" s="173"/>
      <c r="Y258" s="173"/>
      <c r="Z258" s="173"/>
      <c r="AA258" s="549"/>
      <c r="AB258" s="173"/>
      <c r="AC258" s="173"/>
      <c r="AD258" s="173"/>
      <c r="AE258" s="173"/>
      <c r="AF258" s="549"/>
      <c r="AG258" s="173"/>
      <c r="AH258" s="173"/>
      <c r="AI258" s="173"/>
      <c r="AJ258" s="173"/>
      <c r="AK258" s="549"/>
      <c r="AL258" s="173"/>
      <c r="AM258" s="173"/>
      <c r="AN258" s="173"/>
      <c r="AO258" s="173"/>
      <c r="AP258" s="549"/>
      <c r="AQ258" s="794"/>
      <c r="AR258" s="795"/>
      <c r="AS258" s="795"/>
      <c r="AT258" s="795"/>
      <c r="AU258" s="549"/>
      <c r="AV258" s="173"/>
      <c r="AW258" s="650"/>
      <c r="AX258" s="650"/>
      <c r="AY258" s="650"/>
      <c r="AZ258" s="549"/>
      <c r="BA258" s="173"/>
      <c r="BB258" s="650"/>
      <c r="BC258" s="650"/>
      <c r="BD258" s="650"/>
      <c r="BE258" s="549"/>
      <c r="BF258" s="173"/>
      <c r="BG258" s="173"/>
      <c r="BH258" s="173"/>
      <c r="BI258" s="650"/>
      <c r="BJ258" s="549"/>
      <c r="BK258" s="173"/>
      <c r="BL258" s="173"/>
      <c r="BM258" s="173"/>
      <c r="BN258" s="173"/>
      <c r="BO258" s="549"/>
      <c r="BP258" s="173"/>
      <c r="BQ258" s="173"/>
      <c r="BR258" s="173"/>
      <c r="BS258" s="173"/>
      <c r="BT258" s="549"/>
      <c r="BU258" s="173"/>
      <c r="BV258" s="173"/>
      <c r="BW258" s="173"/>
      <c r="BX258" s="173"/>
      <c r="BY258" s="549"/>
      <c r="BZ258" s="173"/>
      <c r="CA258" s="173"/>
      <c r="CB258" s="173"/>
      <c r="CC258" s="173"/>
      <c r="CD258" s="549"/>
    </row>
    <row r="259" spans="2:82">
      <c r="B259" s="260" t="s">
        <v>386</v>
      </c>
      <c r="C259" s="798"/>
      <c r="D259" s="101"/>
      <c r="E259" s="101"/>
      <c r="F259" s="799">
        <v>0.21</v>
      </c>
      <c r="G259" s="658"/>
      <c r="H259" s="798">
        <v>0.03</v>
      </c>
      <c r="I259" s="101">
        <v>0.03</v>
      </c>
      <c r="J259" s="101">
        <v>0.04</v>
      </c>
      <c r="K259" s="799">
        <v>0.21</v>
      </c>
      <c r="L259" s="658"/>
      <c r="M259" s="798">
        <v>0.03</v>
      </c>
      <c r="N259" s="101">
        <v>0.04</v>
      </c>
      <c r="O259" s="101">
        <v>-0.01</v>
      </c>
      <c r="P259" s="799">
        <v>0.08</v>
      </c>
      <c r="Q259" s="658"/>
      <c r="R259" s="798">
        <v>-0.01</v>
      </c>
      <c r="S259" s="101">
        <v>0.05</v>
      </c>
      <c r="T259" s="101">
        <v>0.06</v>
      </c>
      <c r="U259" s="799">
        <v>0.21</v>
      </c>
      <c r="V259" s="658"/>
      <c r="W259" s="798">
        <v>0</v>
      </c>
      <c r="X259" s="101">
        <v>0</v>
      </c>
      <c r="Y259" s="101">
        <v>0.05</v>
      </c>
      <c r="Z259" s="799">
        <v>0.2</v>
      </c>
      <c r="AA259" s="658"/>
      <c r="AB259" s="798">
        <v>0.02</v>
      </c>
      <c r="AC259" s="101">
        <v>0.05</v>
      </c>
      <c r="AD259" s="101">
        <v>0.02</v>
      </c>
      <c r="AE259" s="799">
        <v>0.14000000000000001</v>
      </c>
      <c r="AF259" s="658"/>
      <c r="AG259" s="798">
        <v>0.01</v>
      </c>
      <c r="AH259" s="101">
        <v>0.02</v>
      </c>
      <c r="AI259" s="101">
        <v>0.02</v>
      </c>
      <c r="AJ259" s="799">
        <v>0.18</v>
      </c>
      <c r="AK259" s="658"/>
      <c r="AL259" s="798">
        <v>-0.01</v>
      </c>
      <c r="AM259" s="101">
        <v>0.04</v>
      </c>
      <c r="AN259" s="101">
        <v>0.02</v>
      </c>
      <c r="AO259" s="799">
        <v>0.19</v>
      </c>
      <c r="AP259" s="189"/>
      <c r="AQ259" s="798">
        <v>0</v>
      </c>
      <c r="AR259" s="101">
        <v>0.06</v>
      </c>
      <c r="AS259" s="101">
        <v>0.03</v>
      </c>
      <c r="AT259" s="799">
        <v>0.14000000000000001</v>
      </c>
      <c r="AU259" s="189"/>
      <c r="AV259" s="798">
        <v>-0.04</v>
      </c>
      <c r="AW259" s="490"/>
      <c r="AX259" s="490"/>
      <c r="AY259" s="490"/>
      <c r="AZ259" s="189"/>
      <c r="BA259" s="490"/>
      <c r="BB259" s="490"/>
      <c r="BC259" s="490"/>
      <c r="BD259" s="490"/>
      <c r="BE259" s="189"/>
      <c r="BF259" s="490"/>
      <c r="BG259" s="490"/>
      <c r="BH259" s="490"/>
      <c r="BI259" s="490"/>
      <c r="BJ259" s="189"/>
      <c r="BK259" s="490"/>
      <c r="BL259" s="490"/>
      <c r="BM259" s="490"/>
      <c r="BN259" s="490"/>
      <c r="BO259" s="189"/>
      <c r="BP259" s="490"/>
      <c r="BQ259" s="490"/>
      <c r="BR259" s="490"/>
      <c r="BS259" s="490"/>
      <c r="BT259" s="189"/>
      <c r="BU259" s="490"/>
      <c r="BV259" s="490"/>
      <c r="BW259" s="490"/>
      <c r="BX259" s="490"/>
      <c r="BY259" s="189"/>
      <c r="BZ259" s="490"/>
      <c r="CA259" s="490"/>
      <c r="CB259" s="490"/>
      <c r="CC259" s="490"/>
      <c r="CD259" s="189"/>
    </row>
    <row r="260" spans="2:82">
      <c r="B260" s="260" t="s">
        <v>387</v>
      </c>
      <c r="C260" s="798"/>
      <c r="D260" s="101"/>
      <c r="E260" s="101"/>
      <c r="F260" s="799">
        <v>0.36</v>
      </c>
      <c r="G260" s="658"/>
      <c r="H260" s="798">
        <v>0.3</v>
      </c>
      <c r="I260" s="101">
        <v>0.32</v>
      </c>
      <c r="J260" s="101">
        <v>0.34</v>
      </c>
      <c r="K260" s="799">
        <v>0.35</v>
      </c>
      <c r="L260" s="658"/>
      <c r="M260" s="798">
        <v>0.34</v>
      </c>
      <c r="N260" s="101">
        <v>0.35</v>
      </c>
      <c r="O260" s="101">
        <v>0.28000000000000003</v>
      </c>
      <c r="P260" s="799">
        <v>0.14000000000000001</v>
      </c>
      <c r="Q260" s="658"/>
      <c r="R260" s="798">
        <v>0.1</v>
      </c>
      <c r="S260" s="101">
        <v>0.12</v>
      </c>
      <c r="T260" s="101">
        <v>0.19</v>
      </c>
      <c r="U260" s="799">
        <v>0.34</v>
      </c>
      <c r="V260" s="658"/>
      <c r="W260" s="798">
        <v>0.35</v>
      </c>
      <c r="X260" s="101">
        <v>0.28000000000000003</v>
      </c>
      <c r="Y260" s="101">
        <v>0.26</v>
      </c>
      <c r="Z260" s="799">
        <v>0.26</v>
      </c>
      <c r="AA260" s="658"/>
      <c r="AB260" s="798">
        <v>0.28000000000000003</v>
      </c>
      <c r="AC260" s="101">
        <v>0.34</v>
      </c>
      <c r="AD260" s="101">
        <v>0.31</v>
      </c>
      <c r="AE260" s="799">
        <v>0.24</v>
      </c>
      <c r="AF260" s="658"/>
      <c r="AG260" s="798">
        <v>0.24</v>
      </c>
      <c r="AH260" s="101">
        <v>0.2</v>
      </c>
      <c r="AI260" s="101">
        <v>0.2</v>
      </c>
      <c r="AJ260" s="799">
        <v>0.24</v>
      </c>
      <c r="AK260" s="658"/>
      <c r="AL260" s="798">
        <v>0.21</v>
      </c>
      <c r="AM260" s="101">
        <v>0.24</v>
      </c>
      <c r="AN260" s="101">
        <v>0.25</v>
      </c>
      <c r="AO260" s="799">
        <v>0.25</v>
      </c>
      <c r="AP260" s="189"/>
      <c r="AQ260" s="798">
        <v>0.27</v>
      </c>
      <c r="AR260" s="101">
        <v>0.28999999999999998</v>
      </c>
      <c r="AS260" s="101">
        <v>0.28999999999999998</v>
      </c>
      <c r="AT260" s="799">
        <v>0.24</v>
      </c>
      <c r="AU260" s="189"/>
      <c r="AV260" s="798">
        <v>0.18</v>
      </c>
      <c r="AW260" s="490"/>
      <c r="AX260" s="490"/>
      <c r="AY260" s="490"/>
      <c r="AZ260" s="189"/>
      <c r="BA260" s="490"/>
      <c r="BB260" s="490"/>
      <c r="BC260" s="490"/>
      <c r="BD260" s="490"/>
      <c r="BE260" s="189"/>
      <c r="BF260" s="490"/>
      <c r="BG260" s="490"/>
      <c r="BH260" s="490"/>
      <c r="BI260" s="490"/>
      <c r="BJ260" s="189"/>
      <c r="BK260" s="490"/>
      <c r="BL260" s="490"/>
      <c r="BM260" s="490"/>
      <c r="BN260" s="490"/>
      <c r="BO260" s="189"/>
      <c r="BP260" s="490"/>
      <c r="BQ260" s="490"/>
      <c r="BR260" s="490"/>
      <c r="BS260" s="490"/>
      <c r="BT260" s="189"/>
      <c r="BU260" s="490"/>
      <c r="BV260" s="490"/>
      <c r="BW260" s="490"/>
      <c r="BX260" s="490"/>
      <c r="BY260" s="189"/>
      <c r="BZ260" s="490"/>
      <c r="CA260" s="490"/>
      <c r="CB260" s="490"/>
      <c r="CC260" s="490"/>
      <c r="CD260" s="189"/>
    </row>
    <row r="261" spans="2:82">
      <c r="B261" s="260" t="s">
        <v>388</v>
      </c>
      <c r="C261" s="798"/>
      <c r="D261" s="101"/>
      <c r="E261" s="101"/>
      <c r="F261" s="799">
        <f>1-F262</f>
        <v>0.65</v>
      </c>
      <c r="G261" s="658"/>
      <c r="H261" s="798">
        <f>1-H262</f>
        <v>0.62</v>
      </c>
      <c r="I261" s="101">
        <f>1-I262</f>
        <v>0.58000000000000007</v>
      </c>
      <c r="J261" s="101">
        <f>1-J262</f>
        <v>0.56000000000000005</v>
      </c>
      <c r="K261" s="799">
        <f>1-K262</f>
        <v>0.56000000000000005</v>
      </c>
      <c r="L261" s="658"/>
      <c r="M261" s="798">
        <f>1-M262</f>
        <v>0.54</v>
      </c>
      <c r="N261" s="101">
        <f>1-N262</f>
        <v>0.51</v>
      </c>
      <c r="O261" s="101">
        <f>1-O262</f>
        <v>0.49</v>
      </c>
      <c r="P261" s="799">
        <f>1-P262</f>
        <v>0.5</v>
      </c>
      <c r="Q261" s="658"/>
      <c r="R261" s="798">
        <f>1-R262</f>
        <v>0.47</v>
      </c>
      <c r="S261" s="101">
        <f>1-S262</f>
        <v>0.44999999999999996</v>
      </c>
      <c r="T261" s="101">
        <f>1-T262</f>
        <v>0.43999999999999995</v>
      </c>
      <c r="U261" s="799">
        <f>1-U262</f>
        <v>0.43000000000000005</v>
      </c>
      <c r="V261" s="658"/>
      <c r="W261" s="798">
        <f>1-W262</f>
        <v>0.41000000000000003</v>
      </c>
      <c r="X261" s="101">
        <f>1-X262</f>
        <v>0.39</v>
      </c>
      <c r="Y261" s="101">
        <f>1-Y262</f>
        <v>0.38</v>
      </c>
      <c r="Z261" s="799">
        <f>1-Z262</f>
        <v>0.37</v>
      </c>
      <c r="AA261" s="658"/>
      <c r="AB261" s="798">
        <f>1-AB262</f>
        <v>0.36</v>
      </c>
      <c r="AC261" s="101">
        <f>1-AC262</f>
        <v>0.33999999999999997</v>
      </c>
      <c r="AD261" s="101">
        <f>1-AD262</f>
        <v>0.33999999999999997</v>
      </c>
      <c r="AE261" s="799">
        <f>1-AE262</f>
        <v>0.33999999999999997</v>
      </c>
      <c r="AF261" s="658"/>
      <c r="AG261" s="798">
        <f>1-AG262</f>
        <v>0.33999999999999997</v>
      </c>
      <c r="AH261" s="101">
        <f>1-AH262</f>
        <v>0.32999999999999996</v>
      </c>
      <c r="AI261" s="101">
        <f>1-AI262</f>
        <v>0.32999999999999996</v>
      </c>
      <c r="AJ261" s="799">
        <v>0.32</v>
      </c>
      <c r="AK261" s="658"/>
      <c r="AL261" s="798">
        <v>0.32</v>
      </c>
      <c r="AM261" s="101">
        <v>0.3</v>
      </c>
      <c r="AN261" s="101">
        <v>0.3</v>
      </c>
      <c r="AO261" s="799">
        <v>0.28999999999999998</v>
      </c>
      <c r="AP261" s="189"/>
      <c r="AQ261" s="798">
        <v>0.28999999999999998</v>
      </c>
      <c r="AR261" s="101">
        <v>0.27</v>
      </c>
      <c r="AS261" s="101">
        <v>0.25</v>
      </c>
      <c r="AT261" s="799">
        <v>0.24</v>
      </c>
      <c r="AU261" s="189"/>
      <c r="AV261" s="798">
        <v>0.24</v>
      </c>
      <c r="AW261" s="490"/>
      <c r="AX261" s="490"/>
      <c r="AY261" s="490"/>
      <c r="AZ261" s="189"/>
      <c r="BA261" s="490"/>
      <c r="BB261" s="490"/>
      <c r="BC261" s="490"/>
      <c r="BD261" s="490"/>
      <c r="BE261" s="189"/>
      <c r="BF261" s="490"/>
      <c r="BG261" s="490"/>
      <c r="BH261" s="490"/>
      <c r="BI261" s="490"/>
      <c r="BJ261" s="189"/>
      <c r="BK261" s="490"/>
      <c r="BL261" s="490"/>
      <c r="BM261" s="490"/>
      <c r="BN261" s="490"/>
      <c r="BO261" s="189"/>
      <c r="BP261" s="490"/>
      <c r="BQ261" s="490"/>
      <c r="BR261" s="490"/>
      <c r="BS261" s="490"/>
      <c r="BT261" s="189"/>
      <c r="BU261" s="490"/>
      <c r="BV261" s="490"/>
      <c r="BW261" s="490"/>
      <c r="BX261" s="490"/>
      <c r="BY261" s="189"/>
      <c r="BZ261" s="490"/>
      <c r="CA261" s="490"/>
      <c r="CB261" s="490"/>
      <c r="CC261" s="490"/>
      <c r="CD261" s="189"/>
    </row>
    <row r="262" spans="2:82">
      <c r="B262" s="260" t="s">
        <v>389</v>
      </c>
      <c r="C262" s="798"/>
      <c r="D262" s="101"/>
      <c r="E262" s="101"/>
      <c r="F262" s="799">
        <v>0.35</v>
      </c>
      <c r="G262" s="658"/>
      <c r="H262" s="798">
        <v>0.38</v>
      </c>
      <c r="I262" s="101">
        <v>0.42</v>
      </c>
      <c r="J262" s="101">
        <v>0.44</v>
      </c>
      <c r="K262" s="799">
        <v>0.44</v>
      </c>
      <c r="L262" s="658"/>
      <c r="M262" s="798">
        <v>0.46</v>
      </c>
      <c r="N262" s="101">
        <v>0.49</v>
      </c>
      <c r="O262" s="101">
        <v>0.51</v>
      </c>
      <c r="P262" s="799">
        <v>0.5</v>
      </c>
      <c r="Q262" s="658"/>
      <c r="R262" s="798">
        <v>0.53</v>
      </c>
      <c r="S262" s="101">
        <v>0.55000000000000004</v>
      </c>
      <c r="T262" s="101">
        <v>0.56000000000000005</v>
      </c>
      <c r="U262" s="799">
        <v>0.56999999999999995</v>
      </c>
      <c r="V262" s="658"/>
      <c r="W262" s="798">
        <v>0.59</v>
      </c>
      <c r="X262" s="101">
        <v>0.61</v>
      </c>
      <c r="Y262" s="101">
        <v>0.62</v>
      </c>
      <c r="Z262" s="799">
        <v>0.63</v>
      </c>
      <c r="AA262" s="658"/>
      <c r="AB262" s="798">
        <v>0.64</v>
      </c>
      <c r="AC262" s="101">
        <v>0.66</v>
      </c>
      <c r="AD262" s="101">
        <v>0.66</v>
      </c>
      <c r="AE262" s="799">
        <v>0.66</v>
      </c>
      <c r="AF262" s="658"/>
      <c r="AG262" s="798">
        <v>0.66</v>
      </c>
      <c r="AH262" s="101">
        <v>0.67</v>
      </c>
      <c r="AI262" s="101">
        <v>0.67</v>
      </c>
      <c r="AJ262" s="799">
        <v>0.68</v>
      </c>
      <c r="AK262" s="658"/>
      <c r="AL262" s="798">
        <v>0.68</v>
      </c>
      <c r="AM262" s="101">
        <v>0.7</v>
      </c>
      <c r="AN262" s="101">
        <v>0.7</v>
      </c>
      <c r="AO262" s="799">
        <v>0.71</v>
      </c>
      <c r="AP262" s="189"/>
      <c r="AQ262" s="798">
        <v>0.71</v>
      </c>
      <c r="AR262" s="101">
        <v>0.73</v>
      </c>
      <c r="AS262" s="101">
        <v>0.75</v>
      </c>
      <c r="AT262" s="799">
        <v>0.76</v>
      </c>
      <c r="AU262" s="189"/>
      <c r="AV262" s="798">
        <v>0.76</v>
      </c>
      <c r="AW262" s="490"/>
      <c r="AX262" s="490"/>
      <c r="AY262" s="490"/>
      <c r="AZ262" s="189"/>
      <c r="BA262" s="490"/>
      <c r="BB262" s="490"/>
      <c r="BC262" s="490"/>
      <c r="BD262" s="490"/>
      <c r="BE262" s="189"/>
      <c r="BF262" s="490"/>
      <c r="BG262" s="490"/>
      <c r="BH262" s="490"/>
      <c r="BI262" s="490"/>
      <c r="BJ262" s="189"/>
      <c r="BK262" s="490"/>
      <c r="BL262" s="490"/>
      <c r="BM262" s="490"/>
      <c r="BN262" s="490"/>
      <c r="BO262" s="189"/>
      <c r="BP262" s="490"/>
      <c r="BQ262" s="490"/>
      <c r="BR262" s="490"/>
      <c r="BS262" s="490"/>
      <c r="BT262" s="189"/>
      <c r="BU262" s="490"/>
      <c r="BV262" s="490"/>
      <c r="BW262" s="490"/>
      <c r="BX262" s="490"/>
      <c r="BY262" s="189"/>
      <c r="BZ262" s="490"/>
      <c r="CA262" s="490"/>
      <c r="CB262" s="490"/>
      <c r="CC262" s="490"/>
      <c r="CD262" s="189"/>
    </row>
    <row r="263" spans="2:82">
      <c r="B263" s="603"/>
      <c r="G263" s="549"/>
      <c r="L263" s="549"/>
      <c r="Q263" s="549"/>
      <c r="V263" s="549"/>
      <c r="AA263" s="549"/>
      <c r="AF263" s="549"/>
      <c r="AK263" s="549"/>
      <c r="AP263" s="549"/>
      <c r="AQ263" s="789"/>
      <c r="AU263" s="549"/>
      <c r="AW263" s="650"/>
      <c r="AX263" s="650"/>
      <c r="AY263" s="650"/>
      <c r="AZ263" s="549"/>
      <c r="BB263" s="650"/>
      <c r="BC263" s="650"/>
      <c r="BD263" s="650"/>
      <c r="BE263" s="549"/>
      <c r="BI263" s="650"/>
      <c r="BJ263" s="549"/>
      <c r="BO263" s="549"/>
      <c r="BT263" s="549"/>
      <c r="BY263" s="549"/>
      <c r="CD263" s="549"/>
    </row>
    <row r="264" spans="2:82">
      <c r="B264" s="797" t="s">
        <v>390</v>
      </c>
      <c r="C264" s="801"/>
      <c r="D264" s="530"/>
      <c r="E264" s="530"/>
      <c r="F264" s="802">
        <v>3.8600000000000002E-2</v>
      </c>
      <c r="G264" s="803"/>
      <c r="H264" s="801">
        <v>3.8899999999999997E-2</v>
      </c>
      <c r="I264" s="530">
        <v>3.9E-2</v>
      </c>
      <c r="J264" s="530">
        <v>3.8699999999999998E-2</v>
      </c>
      <c r="K264" s="802">
        <v>3.8399999999999997E-2</v>
      </c>
      <c r="L264" s="803"/>
      <c r="M264" s="801">
        <v>3.8800000000000001E-2</v>
      </c>
      <c r="N264" s="530">
        <v>3.8899999999999997E-2</v>
      </c>
      <c r="O264" s="530">
        <v>3.8899999999999997E-2</v>
      </c>
      <c r="P264" s="802">
        <v>3.78E-2</v>
      </c>
      <c r="Q264" s="803"/>
      <c r="R264" s="801">
        <v>3.8100000000000002E-2</v>
      </c>
      <c r="S264" s="530">
        <v>3.7699999999999997E-2</v>
      </c>
      <c r="T264" s="530">
        <v>3.6700000000000003E-2</v>
      </c>
      <c r="U264" s="802">
        <v>3.5400000000000001E-2</v>
      </c>
      <c r="V264" s="803"/>
      <c r="W264" s="801">
        <v>3.5900000000000001E-2</v>
      </c>
      <c r="X264" s="530">
        <v>3.5999999999999997E-2</v>
      </c>
      <c r="Y264" s="530">
        <v>3.5700000000000003E-2</v>
      </c>
      <c r="Z264" s="802">
        <v>3.61E-2</v>
      </c>
      <c r="AA264" s="803"/>
      <c r="AB264" s="801">
        <v>3.6299999999999999E-2</v>
      </c>
      <c r="AC264" s="530">
        <v>3.73E-2</v>
      </c>
      <c r="AD264" s="530">
        <v>3.78E-2</v>
      </c>
      <c r="AE264" s="802">
        <v>3.7100000000000001E-2</v>
      </c>
      <c r="AF264" s="803"/>
      <c r="AG264" s="801">
        <v>3.8699999999999998E-2</v>
      </c>
      <c r="AH264" s="530">
        <v>3.9399999999999998E-2</v>
      </c>
      <c r="AI264" s="530">
        <v>3.8899999999999997E-2</v>
      </c>
      <c r="AJ264" s="802">
        <v>3.7199999999999997E-2</v>
      </c>
      <c r="AK264" s="804">
        <v>3.85E-2</v>
      </c>
      <c r="AL264" s="801">
        <v>3.7699999999999997E-2</v>
      </c>
      <c r="AM264" s="530">
        <v>3.7900000000000003E-2</v>
      </c>
      <c r="AN264" s="530">
        <v>3.6999999999999998E-2</v>
      </c>
      <c r="AO264" s="802">
        <v>3.5299999999999998E-2</v>
      </c>
      <c r="AP264" s="804">
        <v>3.6900000000000002E-2</v>
      </c>
      <c r="AQ264" s="801">
        <v>3.5499999999999997E-2</v>
      </c>
      <c r="AR264" s="530">
        <v>3.5299999999999998E-2</v>
      </c>
      <c r="AS264" s="530">
        <v>3.4500000000000003E-2</v>
      </c>
      <c r="AT264" s="802">
        <v>3.3599999999999998E-2</v>
      </c>
      <c r="AU264" s="804">
        <v>3.4700000000000002E-2</v>
      </c>
      <c r="AV264" s="801">
        <v>3.4299999999999997E-2</v>
      </c>
      <c r="AW264" s="805"/>
      <c r="AX264" s="805"/>
      <c r="AY264" s="805"/>
      <c r="AZ264" s="806"/>
      <c r="BA264" s="805"/>
      <c r="BB264" s="805"/>
      <c r="BC264" s="805"/>
      <c r="BD264" s="805"/>
      <c r="BE264" s="806"/>
      <c r="BF264" s="805"/>
      <c r="BG264" s="805"/>
      <c r="BH264" s="805"/>
      <c r="BI264" s="805"/>
      <c r="BJ264" s="806"/>
      <c r="BK264" s="805"/>
      <c r="BL264" s="805"/>
      <c r="BM264" s="805"/>
      <c r="BN264" s="805"/>
      <c r="BO264" s="806"/>
      <c r="BP264" s="805"/>
      <c r="BQ264" s="805"/>
      <c r="BR264" s="805"/>
      <c r="BS264" s="805"/>
      <c r="BT264" s="806"/>
      <c r="BU264" s="805"/>
      <c r="BV264" s="805"/>
      <c r="BW264" s="805"/>
      <c r="BX264" s="805"/>
      <c r="BY264" s="806"/>
      <c r="BZ264" s="805"/>
      <c r="CA264" s="805"/>
      <c r="CB264" s="805"/>
      <c r="CC264" s="805"/>
      <c r="CD264" s="806"/>
    </row>
    <row r="265" spans="2:82">
      <c r="B265" s="778"/>
      <c r="C265" s="801"/>
      <c r="D265" s="530"/>
      <c r="E265" s="530"/>
      <c r="F265" s="802"/>
      <c r="G265" s="803"/>
      <c r="H265" s="801"/>
      <c r="I265" s="530"/>
      <c r="J265" s="530"/>
      <c r="K265" s="802"/>
      <c r="L265" s="803"/>
      <c r="M265" s="801"/>
      <c r="N265" s="530"/>
      <c r="O265" s="530"/>
      <c r="P265" s="802"/>
      <c r="Q265" s="803"/>
      <c r="R265" s="801"/>
      <c r="S265" s="530"/>
      <c r="T265" s="530"/>
      <c r="U265" s="802"/>
      <c r="V265" s="803"/>
      <c r="W265" s="801"/>
      <c r="X265" s="530"/>
      <c r="Y265" s="530"/>
      <c r="Z265" s="802"/>
      <c r="AA265" s="803"/>
      <c r="AB265" s="801"/>
      <c r="AC265" s="530"/>
      <c r="AD265" s="530"/>
      <c r="AE265" s="802"/>
      <c r="AF265" s="803"/>
      <c r="AG265" s="801"/>
      <c r="AH265" s="530"/>
      <c r="AI265" s="530"/>
      <c r="AJ265" s="802"/>
      <c r="AK265" s="803"/>
      <c r="AL265" s="801"/>
      <c r="AM265" s="530"/>
      <c r="AN265" s="530"/>
      <c r="AO265" s="802"/>
      <c r="AP265" s="806"/>
      <c r="AQ265" s="801"/>
      <c r="AR265" s="530"/>
      <c r="AS265" s="530"/>
      <c r="AT265" s="802"/>
      <c r="AU265" s="804"/>
      <c r="AV265" s="801"/>
      <c r="AW265" s="805"/>
      <c r="AX265" s="805"/>
      <c r="AY265" s="805"/>
      <c r="AZ265" s="806"/>
      <c r="BA265" s="805"/>
      <c r="BB265" s="805"/>
      <c r="BC265" s="805"/>
      <c r="BD265" s="805"/>
      <c r="BE265" s="806"/>
      <c r="BF265" s="805"/>
      <c r="BG265" s="805"/>
      <c r="BH265" s="805"/>
      <c r="BI265" s="805"/>
      <c r="BJ265" s="806"/>
      <c r="BK265" s="805"/>
      <c r="BL265" s="805"/>
      <c r="BM265" s="805"/>
      <c r="BN265" s="805"/>
      <c r="BO265" s="806"/>
      <c r="BP265" s="805"/>
      <c r="BQ265" s="805"/>
      <c r="BR265" s="805"/>
      <c r="BS265" s="805"/>
      <c r="BT265" s="806"/>
      <c r="BU265" s="805"/>
      <c r="BV265" s="805"/>
      <c r="BW265" s="805"/>
      <c r="BX265" s="805"/>
      <c r="BY265" s="806"/>
      <c r="BZ265" s="805"/>
      <c r="CA265" s="805"/>
      <c r="CB265" s="805"/>
      <c r="CC265" s="805"/>
      <c r="CD265" s="806"/>
    </row>
    <row r="266" spans="2:82">
      <c r="B266" s="797" t="s">
        <v>391</v>
      </c>
      <c r="C266" s="801"/>
      <c r="D266" s="530"/>
      <c r="E266" s="530"/>
      <c r="F266" s="802"/>
      <c r="G266" s="803"/>
      <c r="H266" s="801"/>
      <c r="I266" s="530"/>
      <c r="J266" s="530"/>
      <c r="K266" s="802"/>
      <c r="L266" s="803"/>
      <c r="M266" s="801"/>
      <c r="N266" s="530"/>
      <c r="O266" s="530"/>
      <c r="P266" s="802"/>
      <c r="Q266" s="803"/>
      <c r="R266" s="801"/>
      <c r="S266" s="530"/>
      <c r="T266" s="530"/>
      <c r="U266" s="802"/>
      <c r="V266" s="803"/>
      <c r="W266" s="801"/>
      <c r="X266" s="530"/>
      <c r="Y266" s="530"/>
      <c r="Z266" s="802"/>
      <c r="AA266" s="803"/>
      <c r="AB266" s="801"/>
      <c r="AC266" s="530"/>
      <c r="AD266" s="530"/>
      <c r="AE266" s="802"/>
      <c r="AF266" s="803"/>
      <c r="AG266" s="801"/>
      <c r="AH266" s="530"/>
      <c r="AI266" s="530"/>
      <c r="AJ266" s="802"/>
      <c r="AK266" s="803"/>
      <c r="AL266" s="801"/>
      <c r="AM266" s="530"/>
      <c r="AN266" s="530"/>
      <c r="AO266" s="802"/>
      <c r="AP266" s="806"/>
      <c r="AQ266" s="801"/>
      <c r="AR266" s="530"/>
      <c r="AS266" s="530"/>
      <c r="AT266" s="802"/>
      <c r="AU266" s="806"/>
      <c r="AV266" s="801"/>
      <c r="AW266" s="805"/>
      <c r="AX266" s="805"/>
      <c r="AY266" s="805"/>
      <c r="AZ266" s="806"/>
      <c r="BA266" s="805"/>
      <c r="BB266" s="805"/>
      <c r="BC266" s="805"/>
      <c r="BD266" s="805"/>
      <c r="BE266" s="806"/>
      <c r="BF266" s="805"/>
      <c r="BG266" s="805"/>
      <c r="BH266" s="805"/>
      <c r="BI266" s="805"/>
      <c r="BJ266" s="806"/>
      <c r="BK266" s="805"/>
      <c r="BL266" s="805"/>
      <c r="BM266" s="805"/>
      <c r="BN266" s="805"/>
      <c r="BO266" s="806"/>
      <c r="BP266" s="805"/>
      <c r="BQ266" s="805"/>
      <c r="BR266" s="805"/>
      <c r="BS266" s="805"/>
      <c r="BT266" s="806"/>
      <c r="BU266" s="805"/>
      <c r="BV266" s="805"/>
      <c r="BW266" s="805"/>
      <c r="BX266" s="805"/>
      <c r="BY266" s="806"/>
      <c r="BZ266" s="805"/>
      <c r="CA266" s="805"/>
      <c r="CB266" s="805"/>
      <c r="CC266" s="805"/>
      <c r="CD266" s="806"/>
    </row>
    <row r="267" spans="2:82">
      <c r="B267" s="778" t="s">
        <v>392</v>
      </c>
      <c r="C267" s="801"/>
      <c r="D267" s="530"/>
      <c r="E267" s="530"/>
      <c r="F267" s="802">
        <v>1.1299999999999999E-2</v>
      </c>
      <c r="G267" s="803"/>
      <c r="H267" s="801">
        <v>1.15E-2</v>
      </c>
      <c r="I267" s="530">
        <v>1.18E-2</v>
      </c>
      <c r="J267" s="530">
        <v>1.21E-2</v>
      </c>
      <c r="K267" s="802">
        <v>1.18E-2</v>
      </c>
      <c r="L267" s="803"/>
      <c r="M267" s="801">
        <v>1.18E-2</v>
      </c>
      <c r="N267" s="530">
        <v>1.23E-2</v>
      </c>
      <c r="O267" s="530">
        <v>1.2E-2</v>
      </c>
      <c r="P267" s="802">
        <v>1.1599999999999999E-2</v>
      </c>
      <c r="Q267" s="803"/>
      <c r="R267" s="801">
        <v>1.1599999999999999E-2</v>
      </c>
      <c r="S267" s="530">
        <v>1.15E-2</v>
      </c>
      <c r="T267" s="530">
        <v>1.1599999999999999E-2</v>
      </c>
      <c r="U267" s="802">
        <v>1.14E-2</v>
      </c>
      <c r="V267" s="803"/>
      <c r="W267" s="801">
        <v>1.1299999999999999E-2</v>
      </c>
      <c r="X267" s="530">
        <v>1.17E-2</v>
      </c>
      <c r="Y267" s="530">
        <v>1.18E-2</v>
      </c>
      <c r="Z267" s="802">
        <v>1.11E-2</v>
      </c>
      <c r="AA267" s="803"/>
      <c r="AB267" s="801">
        <v>1.11E-2</v>
      </c>
      <c r="AC267" s="530">
        <v>1.11E-2</v>
      </c>
      <c r="AD267" s="530">
        <v>1.14E-2</v>
      </c>
      <c r="AE267" s="802">
        <v>1.04E-2</v>
      </c>
      <c r="AF267" s="803"/>
      <c r="AG267" s="801">
        <v>1.0699999999999999E-2</v>
      </c>
      <c r="AH267" s="530">
        <v>1.0699999999999999E-2</v>
      </c>
      <c r="AI267" s="530">
        <v>1.0699999999999999E-2</v>
      </c>
      <c r="AJ267" s="802">
        <v>1.03E-2</v>
      </c>
      <c r="AK267" s="803"/>
      <c r="AL267" s="801">
        <v>1.0500000000000001E-2</v>
      </c>
      <c r="AM267" s="530">
        <v>1.04E-2</v>
      </c>
      <c r="AN267" s="530">
        <v>1.0500000000000001E-2</v>
      </c>
      <c r="AO267" s="802">
        <v>9.7000000000000003E-3</v>
      </c>
      <c r="AP267" s="806"/>
      <c r="AQ267" s="801">
        <v>9.9000000000000008E-3</v>
      </c>
      <c r="AR267" s="530">
        <v>9.4999999999999998E-3</v>
      </c>
      <c r="AS267" s="530">
        <v>9.4999999999999998E-3</v>
      </c>
      <c r="AT267" s="802">
        <v>9.1999999999999998E-3</v>
      </c>
      <c r="AU267" s="806"/>
      <c r="AV267" s="801">
        <v>9.4000000000000004E-3</v>
      </c>
      <c r="AW267" s="805"/>
      <c r="AX267" s="805"/>
      <c r="AY267" s="805"/>
      <c r="AZ267" s="806"/>
      <c r="BA267" s="805"/>
      <c r="BB267" s="805"/>
      <c r="BC267" s="805"/>
      <c r="BD267" s="805"/>
      <c r="BE267" s="806"/>
      <c r="BF267" s="805"/>
      <c r="BG267" s="805"/>
      <c r="BH267" s="805"/>
      <c r="BI267" s="805"/>
      <c r="BJ267" s="806"/>
      <c r="BK267" s="805"/>
      <c r="BL267" s="805"/>
      <c r="BM267" s="805"/>
      <c r="BN267" s="805"/>
      <c r="BO267" s="806"/>
      <c r="BP267" s="805"/>
      <c r="BQ267" s="805"/>
      <c r="BR267" s="805"/>
      <c r="BS267" s="805"/>
      <c r="BT267" s="806"/>
      <c r="BU267" s="805"/>
      <c r="BV267" s="805"/>
      <c r="BW267" s="805"/>
      <c r="BX267" s="805"/>
      <c r="BY267" s="806"/>
      <c r="BZ267" s="805"/>
      <c r="CA267" s="805"/>
      <c r="CB267" s="805"/>
      <c r="CC267" s="805"/>
      <c r="CD267" s="806"/>
    </row>
    <row r="268" spans="2:82">
      <c r="B268" s="778" t="s">
        <v>393</v>
      </c>
      <c r="C268" s="801"/>
      <c r="D268" s="530"/>
      <c r="E268" s="530"/>
      <c r="F268" s="802">
        <v>4.3E-3</v>
      </c>
      <c r="G268" s="803"/>
      <c r="H268" s="801">
        <v>3.3E-3</v>
      </c>
      <c r="I268" s="530">
        <v>3.0999999999999999E-3</v>
      </c>
      <c r="J268" s="530">
        <v>2.7000000000000001E-3</v>
      </c>
      <c r="K268" s="802">
        <v>2.7000000000000001E-3</v>
      </c>
      <c r="L268" s="803"/>
      <c r="M268" s="801">
        <v>2.3999999999999998E-3</v>
      </c>
      <c r="N268" s="530">
        <v>2.7000000000000001E-3</v>
      </c>
      <c r="O268" s="530">
        <v>2.8999999999999998E-3</v>
      </c>
      <c r="P268" s="802">
        <v>3.3E-3</v>
      </c>
      <c r="Q268" s="803"/>
      <c r="R268" s="801">
        <v>2.8E-3</v>
      </c>
      <c r="S268" s="530">
        <v>3.0000000000000001E-3</v>
      </c>
      <c r="T268" s="530">
        <v>2.5000000000000001E-3</v>
      </c>
      <c r="U268" s="802">
        <v>2E-3</v>
      </c>
      <c r="V268" s="803"/>
      <c r="W268" s="801">
        <v>1.8E-3</v>
      </c>
      <c r="X268" s="530">
        <v>1.6999999999999999E-3</v>
      </c>
      <c r="Y268" s="530">
        <v>1.6999999999999999E-3</v>
      </c>
      <c r="Z268" s="802">
        <v>2E-3</v>
      </c>
      <c r="AA268" s="803"/>
      <c r="AB268" s="801">
        <v>2.0999999999999999E-3</v>
      </c>
      <c r="AC268" s="530">
        <v>2.5000000000000001E-3</v>
      </c>
      <c r="AD268" s="530">
        <v>3.0999999999999999E-3</v>
      </c>
      <c r="AE268" s="802">
        <v>2.7000000000000001E-3</v>
      </c>
      <c r="AF268" s="803"/>
      <c r="AG268" s="801">
        <v>2.5999999999999999E-3</v>
      </c>
      <c r="AH268" s="530">
        <v>2.5999999999999999E-3</v>
      </c>
      <c r="AI268" s="530">
        <v>3.0000000000000001E-3</v>
      </c>
      <c r="AJ268" s="802">
        <v>2.8E-3</v>
      </c>
      <c r="AK268" s="803"/>
      <c r="AL268" s="801">
        <v>2.8999999999999998E-3</v>
      </c>
      <c r="AM268" s="530">
        <v>3.0999999999999999E-3</v>
      </c>
      <c r="AN268" s="530">
        <v>3.0000000000000001E-3</v>
      </c>
      <c r="AO268" s="802">
        <v>3.2000000000000002E-3</v>
      </c>
      <c r="AP268" s="806"/>
      <c r="AQ268" s="801">
        <v>2.7000000000000001E-3</v>
      </c>
      <c r="AR268" s="530">
        <v>2.8E-3</v>
      </c>
      <c r="AS268" s="530">
        <v>3.3E-3</v>
      </c>
      <c r="AT268" s="802">
        <v>3.2000000000000002E-3</v>
      </c>
      <c r="AU268" s="806"/>
      <c r="AV268" s="801">
        <v>3.0999999999999999E-3</v>
      </c>
      <c r="AW268" s="805"/>
      <c r="AX268" s="805"/>
      <c r="AY268" s="805"/>
      <c r="AZ268" s="806"/>
      <c r="BA268" s="805"/>
      <c r="BB268" s="805"/>
      <c r="BC268" s="805"/>
      <c r="BD268" s="805"/>
      <c r="BE268" s="806"/>
      <c r="BF268" s="805"/>
      <c r="BG268" s="805"/>
      <c r="BH268" s="805"/>
      <c r="BI268" s="805"/>
      <c r="BJ268" s="806"/>
      <c r="BK268" s="805"/>
      <c r="BL268" s="805"/>
      <c r="BM268" s="805"/>
      <c r="BN268" s="805"/>
      <c r="BO268" s="806"/>
      <c r="BP268" s="805"/>
      <c r="BQ268" s="805"/>
      <c r="BR268" s="805"/>
      <c r="BS268" s="805"/>
      <c r="BT268" s="806"/>
      <c r="BU268" s="805"/>
      <c r="BV268" s="805"/>
      <c r="BW268" s="805"/>
      <c r="BX268" s="805"/>
      <c r="BY268" s="806"/>
      <c r="BZ268" s="805"/>
      <c r="CA268" s="805"/>
      <c r="CB268" s="805"/>
      <c r="CC268" s="805"/>
      <c r="CD268" s="806"/>
    </row>
    <row r="269" spans="2:82">
      <c r="B269" s="778" t="s">
        <v>394</v>
      </c>
      <c r="C269" s="801"/>
      <c r="D269" s="530"/>
      <c r="E269" s="530"/>
      <c r="F269" s="802"/>
      <c r="G269" s="803"/>
      <c r="H269" s="801"/>
      <c r="I269" s="530"/>
      <c r="J269" s="530"/>
      <c r="K269" s="802" t="s">
        <v>165</v>
      </c>
      <c r="L269" s="803"/>
      <c r="M269" s="801" t="s">
        <v>165</v>
      </c>
      <c r="N269" s="530" t="s">
        <v>165</v>
      </c>
      <c r="O269" s="530" t="s">
        <v>165</v>
      </c>
      <c r="P269" s="802" t="s">
        <v>165</v>
      </c>
      <c r="Q269" s="803"/>
      <c r="R269" s="801" t="s">
        <v>165</v>
      </c>
      <c r="S269" s="530" t="s">
        <v>165</v>
      </c>
      <c r="T269" s="530" t="s">
        <v>165</v>
      </c>
      <c r="U269" s="802" t="s">
        <v>165</v>
      </c>
      <c r="V269" s="803"/>
      <c r="W269" s="801" t="s">
        <v>165</v>
      </c>
      <c r="X269" s="530" t="s">
        <v>165</v>
      </c>
      <c r="Y269" s="530" t="s">
        <v>165</v>
      </c>
      <c r="Z269" s="802">
        <v>0.63500000000000001</v>
      </c>
      <c r="AA269" s="803"/>
      <c r="AB269" s="801">
        <v>0.63700000000000001</v>
      </c>
      <c r="AC269" s="530">
        <v>0.63600000000000001</v>
      </c>
      <c r="AD269" s="530">
        <v>0.61499999999999999</v>
      </c>
      <c r="AE269" s="802">
        <v>0.64800000000000002</v>
      </c>
      <c r="AF269" s="803"/>
      <c r="AG269" s="801">
        <v>0.65600000000000003</v>
      </c>
      <c r="AH269" s="530">
        <v>0.66300000000000003</v>
      </c>
      <c r="AI269" s="530">
        <v>0.64800000000000002</v>
      </c>
      <c r="AJ269" s="802">
        <v>0.64700000000000002</v>
      </c>
      <c r="AK269" s="803"/>
      <c r="AL269" s="801">
        <v>0.64400000000000002</v>
      </c>
      <c r="AM269" s="530">
        <v>0.64400000000000002</v>
      </c>
      <c r="AN269" s="530">
        <v>0.63400000000000001</v>
      </c>
      <c r="AO269" s="802">
        <v>0.63500000000000001</v>
      </c>
      <c r="AP269" s="806"/>
      <c r="AQ269" s="801">
        <v>0.64600000000000002</v>
      </c>
      <c r="AR269" s="530">
        <v>0.65100000000000002</v>
      </c>
      <c r="AS269" s="530">
        <v>0.628</v>
      </c>
      <c r="AT269" s="802">
        <v>0.63200000000000001</v>
      </c>
      <c r="AU269" s="806"/>
      <c r="AV269" s="801">
        <v>0.63800000000000001</v>
      </c>
      <c r="AW269" s="805"/>
      <c r="AX269" s="805"/>
      <c r="AY269" s="805"/>
      <c r="AZ269" s="806"/>
      <c r="BA269" s="805"/>
      <c r="BB269" s="805"/>
      <c r="BC269" s="805"/>
      <c r="BD269" s="805"/>
      <c r="BE269" s="806"/>
      <c r="BF269" s="805"/>
      <c r="BG269" s="805"/>
      <c r="BH269" s="805"/>
      <c r="BI269" s="805"/>
      <c r="BJ269" s="806"/>
      <c r="BK269" s="805"/>
      <c r="BL269" s="805"/>
      <c r="BM269" s="805"/>
      <c r="BN269" s="805"/>
      <c r="BO269" s="806"/>
      <c r="BP269" s="805"/>
      <c r="BQ269" s="805"/>
      <c r="BR269" s="805"/>
      <c r="BS269" s="805"/>
      <c r="BT269" s="806"/>
      <c r="BU269" s="805"/>
      <c r="BV269" s="805"/>
      <c r="BW269" s="805"/>
      <c r="BX269" s="805"/>
      <c r="BY269" s="806"/>
      <c r="BZ269" s="805"/>
      <c r="CA269" s="805"/>
      <c r="CB269" s="805"/>
      <c r="CC269" s="805"/>
      <c r="CD269" s="806"/>
    </row>
    <row r="270" spans="2:82">
      <c r="B270" s="603"/>
      <c r="G270" s="549"/>
      <c r="L270" s="549"/>
      <c r="Q270" s="549"/>
      <c r="V270" s="549"/>
      <c r="AA270" s="549"/>
      <c r="AF270" s="549"/>
      <c r="AK270" s="549"/>
      <c r="AP270" s="549"/>
      <c r="AQ270" s="789"/>
      <c r="AU270" s="549"/>
      <c r="AW270" s="650"/>
      <c r="AX270" s="650"/>
      <c r="AY270" s="650"/>
      <c r="AZ270" s="549"/>
      <c r="BB270" s="650"/>
      <c r="BC270" s="650"/>
      <c r="BD270" s="650"/>
      <c r="BE270" s="549"/>
      <c r="BI270" s="650"/>
      <c r="BJ270" s="549"/>
      <c r="BO270" s="549"/>
      <c r="BT270" s="549"/>
      <c r="BY270" s="549"/>
      <c r="CD270" s="549"/>
    </row>
    <row r="271" spans="2:82">
      <c r="B271" s="797" t="s">
        <v>395</v>
      </c>
      <c r="G271" s="549"/>
      <c r="L271" s="549"/>
      <c r="Q271" s="549"/>
      <c r="V271" s="549"/>
      <c r="AA271" s="549"/>
      <c r="AF271" s="549"/>
      <c r="AK271" s="549"/>
      <c r="AP271" s="549"/>
      <c r="AQ271" s="789"/>
      <c r="AU271" s="549"/>
      <c r="AW271" s="650"/>
      <c r="AX271" s="650"/>
      <c r="AY271" s="650"/>
      <c r="AZ271" s="549"/>
      <c r="BB271" s="650"/>
      <c r="BC271" s="650"/>
      <c r="BD271" s="650"/>
      <c r="BE271" s="549"/>
      <c r="BI271" s="650"/>
      <c r="BJ271" s="549"/>
      <c r="BO271" s="549"/>
      <c r="BT271" s="549"/>
      <c r="BY271" s="549"/>
      <c r="CD271" s="549"/>
    </row>
    <row r="272" spans="2:82">
      <c r="B272" s="778" t="s">
        <v>396</v>
      </c>
      <c r="C272" s="801"/>
      <c r="D272" s="530"/>
      <c r="E272" s="530"/>
      <c r="F272" s="802" t="s">
        <v>397</v>
      </c>
      <c r="G272" s="803"/>
      <c r="H272" s="801" t="s">
        <v>397</v>
      </c>
      <c r="I272" s="530" t="s">
        <v>397</v>
      </c>
      <c r="J272" s="530" t="s">
        <v>397</v>
      </c>
      <c r="K272" s="802" t="s">
        <v>397</v>
      </c>
      <c r="L272" s="803"/>
      <c r="M272" s="801" t="s">
        <v>397</v>
      </c>
      <c r="N272" s="530" t="s">
        <v>397</v>
      </c>
      <c r="O272" s="530" t="s">
        <v>397</v>
      </c>
      <c r="P272" s="802">
        <v>0.13370000000000001</v>
      </c>
      <c r="Q272" s="803"/>
      <c r="R272" s="801">
        <v>0.11360000000000001</v>
      </c>
      <c r="S272" s="530">
        <v>0.1028</v>
      </c>
      <c r="T272" s="530">
        <v>8.9800000000000005E-2</v>
      </c>
      <c r="U272" s="802">
        <v>0.1026</v>
      </c>
      <c r="V272" s="803"/>
      <c r="W272" s="801">
        <v>0.1153</v>
      </c>
      <c r="X272" s="530">
        <v>0.12820000000000001</v>
      </c>
      <c r="Y272" s="530">
        <v>0.11509999999999999</v>
      </c>
      <c r="Z272" s="802">
        <v>0.14399999999999999</v>
      </c>
      <c r="AA272" s="803"/>
      <c r="AB272" s="801">
        <v>0.14699999999999999</v>
      </c>
      <c r="AC272" s="530">
        <v>0.16500000000000001</v>
      </c>
      <c r="AD272" s="530">
        <v>0.18</v>
      </c>
      <c r="AE272" s="802">
        <v>0.16900000000000001</v>
      </c>
      <c r="AF272" s="803"/>
      <c r="AG272" s="801">
        <v>0.16800000000000001</v>
      </c>
      <c r="AH272" s="530">
        <v>0.155</v>
      </c>
      <c r="AI272" s="530">
        <v>0.16500000000000001</v>
      </c>
      <c r="AJ272" s="802">
        <v>0.156</v>
      </c>
      <c r="AK272" s="803"/>
      <c r="AL272" s="801">
        <v>0.158</v>
      </c>
      <c r="AM272" s="530">
        <v>0.16200000000000001</v>
      </c>
      <c r="AN272" s="530">
        <v>0.161</v>
      </c>
      <c r="AO272" s="802">
        <v>0.158</v>
      </c>
      <c r="AP272" s="806"/>
      <c r="AQ272" s="801">
        <v>0.16200000000000001</v>
      </c>
      <c r="AR272" s="530">
        <v>0.16600000000000001</v>
      </c>
      <c r="AS272" s="530">
        <v>0.16800000000000001</v>
      </c>
      <c r="AT272" s="802">
        <v>0.14699999999999999</v>
      </c>
      <c r="AU272" s="806"/>
      <c r="AV272" s="801" t="s">
        <v>165</v>
      </c>
      <c r="AW272" s="805"/>
      <c r="AX272" s="805"/>
      <c r="AY272" s="805"/>
      <c r="AZ272" s="806"/>
      <c r="BA272" s="805"/>
      <c r="BB272" s="805"/>
      <c r="BC272" s="805"/>
      <c r="BD272" s="805"/>
      <c r="BE272" s="806"/>
      <c r="BF272" s="805"/>
      <c r="BG272" s="805"/>
      <c r="BH272" s="805"/>
      <c r="BI272" s="805"/>
      <c r="BJ272" s="806"/>
      <c r="BK272" s="805"/>
      <c r="BL272" s="805"/>
      <c r="BM272" s="805"/>
      <c r="BN272" s="805"/>
      <c r="BO272" s="806"/>
      <c r="BP272" s="805"/>
      <c r="BQ272" s="805"/>
      <c r="BR272" s="805"/>
      <c r="BS272" s="805"/>
      <c r="BT272" s="806"/>
      <c r="BU272" s="805"/>
      <c r="BV272" s="805"/>
      <c r="BW272" s="805"/>
      <c r="BX272" s="805"/>
      <c r="BY272" s="806"/>
      <c r="BZ272" s="805"/>
      <c r="CA272" s="805"/>
      <c r="CB272" s="805"/>
      <c r="CC272" s="805"/>
      <c r="CD272" s="806"/>
    </row>
    <row r="273" spans="2:82">
      <c r="B273" s="778" t="s">
        <v>398</v>
      </c>
      <c r="C273" s="801"/>
      <c r="D273" s="530"/>
      <c r="E273" s="530"/>
      <c r="F273" s="802" t="s">
        <v>397</v>
      </c>
      <c r="G273" s="803"/>
      <c r="H273" s="801" t="s">
        <v>397</v>
      </c>
      <c r="I273" s="530" t="s">
        <v>397</v>
      </c>
      <c r="J273" s="530" t="s">
        <v>397</v>
      </c>
      <c r="K273" s="802" t="s">
        <v>397</v>
      </c>
      <c r="L273" s="803"/>
      <c r="M273" s="801" t="s">
        <v>397</v>
      </c>
      <c r="N273" s="530" t="s">
        <v>397</v>
      </c>
      <c r="O273" s="530" t="s">
        <v>397</v>
      </c>
      <c r="P273" s="802">
        <v>8.7499999999999994E-2</v>
      </c>
      <c r="Q273" s="803"/>
      <c r="R273" s="801">
        <v>8.9499999999999996E-2</v>
      </c>
      <c r="S273" s="530">
        <v>0.1108</v>
      </c>
      <c r="T273" s="530">
        <v>0.1153</v>
      </c>
      <c r="U273" s="802">
        <v>0.1114</v>
      </c>
      <c r="V273" s="803"/>
      <c r="W273" s="801">
        <v>9.4899999999999998E-2</v>
      </c>
      <c r="X273" s="530">
        <v>8.5599999999999996E-2</v>
      </c>
      <c r="Y273" s="530">
        <v>7.2800000000000004E-2</v>
      </c>
      <c r="Z273" s="802">
        <v>6.0999999999999999E-2</v>
      </c>
      <c r="AA273" s="803"/>
      <c r="AB273" s="801">
        <v>4.9000000000000002E-2</v>
      </c>
      <c r="AC273" s="530">
        <v>4.3999999999999997E-2</v>
      </c>
      <c r="AD273" s="530">
        <v>4.2999999999999997E-2</v>
      </c>
      <c r="AE273" s="802">
        <v>4.3999999999999997E-2</v>
      </c>
      <c r="AF273" s="803"/>
      <c r="AG273" s="801">
        <v>4.4999999999999998E-2</v>
      </c>
      <c r="AH273" s="530">
        <v>4.5999999999999999E-2</v>
      </c>
      <c r="AI273" s="530">
        <v>4.9000000000000002E-2</v>
      </c>
      <c r="AJ273" s="802">
        <v>5.2999999999999999E-2</v>
      </c>
      <c r="AK273" s="803"/>
      <c r="AL273" s="801">
        <v>5.2999999999999999E-2</v>
      </c>
      <c r="AM273" s="530">
        <v>5.6000000000000001E-2</v>
      </c>
      <c r="AN273" s="530">
        <v>5.5E-2</v>
      </c>
      <c r="AO273" s="802">
        <v>6.3E-2</v>
      </c>
      <c r="AP273" s="806"/>
      <c r="AQ273" s="801">
        <v>5.3999999999999999E-2</v>
      </c>
      <c r="AR273" s="530">
        <v>5.5E-2</v>
      </c>
      <c r="AS273" s="530">
        <v>5.2999999999999999E-2</v>
      </c>
      <c r="AT273" s="802">
        <v>6.3E-2</v>
      </c>
      <c r="AU273" s="806"/>
      <c r="AV273" s="801" t="s">
        <v>165</v>
      </c>
      <c r="AW273" s="805"/>
      <c r="AX273" s="805"/>
      <c r="AY273" s="805"/>
      <c r="AZ273" s="806"/>
      <c r="BA273" s="805"/>
      <c r="BB273" s="805"/>
      <c r="BC273" s="805"/>
      <c r="BD273" s="805"/>
      <c r="BE273" s="806"/>
      <c r="BF273" s="805"/>
      <c r="BG273" s="805"/>
      <c r="BH273" s="805"/>
      <c r="BI273" s="805"/>
      <c r="BJ273" s="806"/>
      <c r="BK273" s="805"/>
      <c r="BL273" s="805"/>
      <c r="BM273" s="805"/>
      <c r="BN273" s="805"/>
      <c r="BO273" s="806"/>
      <c r="BP273" s="805"/>
      <c r="BQ273" s="805"/>
      <c r="BR273" s="805"/>
      <c r="BS273" s="805"/>
      <c r="BT273" s="806"/>
      <c r="BU273" s="805"/>
      <c r="BV273" s="805"/>
      <c r="BW273" s="805"/>
      <c r="BX273" s="805"/>
      <c r="BY273" s="806"/>
      <c r="BZ273" s="805"/>
      <c r="CA273" s="805"/>
      <c r="CB273" s="805"/>
      <c r="CC273" s="805"/>
      <c r="CD273" s="806"/>
    </row>
    <row r="274" spans="2:82">
      <c r="B274" s="778" t="s">
        <v>399</v>
      </c>
      <c r="C274" s="801"/>
      <c r="D274" s="530"/>
      <c r="E274" s="530"/>
      <c r="F274" s="802" t="s">
        <v>397</v>
      </c>
      <c r="G274" s="803"/>
      <c r="H274" s="801" t="s">
        <v>397</v>
      </c>
      <c r="I274" s="530" t="s">
        <v>397</v>
      </c>
      <c r="J274" s="530" t="s">
        <v>397</v>
      </c>
      <c r="K274" s="802" t="s">
        <v>397</v>
      </c>
      <c r="L274" s="803"/>
      <c r="M274" s="801" t="s">
        <v>397</v>
      </c>
      <c r="N274" s="530" t="s">
        <v>397</v>
      </c>
      <c r="O274" s="530" t="s">
        <v>397</v>
      </c>
      <c r="P274" s="802">
        <v>3.9399999999999998E-2</v>
      </c>
      <c r="Q274" s="803"/>
      <c r="R274" s="801">
        <v>4.5699999999999998E-2</v>
      </c>
      <c r="S274" s="530">
        <v>4.6399999999999997E-2</v>
      </c>
      <c r="T274" s="530">
        <v>4.9700000000000001E-2</v>
      </c>
      <c r="U274" s="802">
        <v>4.2000000000000003E-2</v>
      </c>
      <c r="V274" s="803"/>
      <c r="W274" s="801">
        <v>3.8399999999999997E-2</v>
      </c>
      <c r="X274" s="530">
        <v>3.3099999999999997E-2</v>
      </c>
      <c r="Y274" s="530">
        <v>3.1E-2</v>
      </c>
      <c r="Z274" s="802">
        <v>2.4E-2</v>
      </c>
      <c r="AA274" s="803"/>
      <c r="AB274" s="801">
        <v>2.1999999999999999E-2</v>
      </c>
      <c r="AC274" s="530">
        <v>2.1999999999999999E-2</v>
      </c>
      <c r="AD274" s="530">
        <v>2.5999999999999999E-2</v>
      </c>
      <c r="AE274" s="802">
        <v>2.4E-2</v>
      </c>
      <c r="AF274" s="803"/>
      <c r="AG274" s="801">
        <v>2.4E-2</v>
      </c>
      <c r="AH274" s="530">
        <v>2.5000000000000001E-2</v>
      </c>
      <c r="AI274" s="530">
        <v>2.9000000000000001E-2</v>
      </c>
      <c r="AJ274" s="802">
        <v>2.7E-2</v>
      </c>
      <c r="AK274" s="803"/>
      <c r="AL274" s="801">
        <v>2.7E-2</v>
      </c>
      <c r="AM274" s="530">
        <v>2.7E-2</v>
      </c>
      <c r="AN274" s="530">
        <v>3.2000000000000001E-2</v>
      </c>
      <c r="AO274" s="802">
        <v>2.9000000000000001E-2</v>
      </c>
      <c r="AP274" s="806"/>
      <c r="AQ274" s="801">
        <v>2.8000000000000001E-2</v>
      </c>
      <c r="AR274" s="530">
        <v>2.7E-2</v>
      </c>
      <c r="AS274" s="530">
        <v>3.2000000000000001E-2</v>
      </c>
      <c r="AT274" s="802">
        <v>3.3000000000000002E-2</v>
      </c>
      <c r="AU274" s="806"/>
      <c r="AV274" s="801" t="s">
        <v>165</v>
      </c>
      <c r="AW274" s="805"/>
      <c r="AX274" s="805"/>
      <c r="AY274" s="805"/>
      <c r="AZ274" s="806"/>
      <c r="BA274" s="805"/>
      <c r="BB274" s="805"/>
      <c r="BC274" s="805"/>
      <c r="BD274" s="805"/>
      <c r="BE274" s="806"/>
      <c r="BF274" s="805"/>
      <c r="BG274" s="805"/>
      <c r="BH274" s="805"/>
      <c r="BI274" s="805"/>
      <c r="BJ274" s="806"/>
      <c r="BK274" s="805"/>
      <c r="BL274" s="805"/>
      <c r="BM274" s="805"/>
      <c r="BN274" s="805"/>
      <c r="BO274" s="806"/>
      <c r="BP274" s="805"/>
      <c r="BQ274" s="805"/>
      <c r="BR274" s="805"/>
      <c r="BS274" s="805"/>
      <c r="BT274" s="806"/>
      <c r="BU274" s="805"/>
      <c r="BV274" s="805"/>
      <c r="BW274" s="805"/>
      <c r="BX274" s="805"/>
      <c r="BY274" s="806"/>
      <c r="BZ274" s="805"/>
      <c r="CA274" s="805"/>
      <c r="CB274" s="805"/>
      <c r="CC274" s="805"/>
      <c r="CD274" s="806"/>
    </row>
    <row r="275" spans="2:82">
      <c r="B275" s="603"/>
      <c r="G275" s="549"/>
      <c r="L275" s="549"/>
      <c r="Q275" s="549"/>
      <c r="V275" s="549"/>
      <c r="AA275" s="549"/>
      <c r="AF275" s="549"/>
      <c r="AK275" s="549"/>
      <c r="AP275" s="549"/>
      <c r="AQ275" s="789"/>
      <c r="AU275" s="549"/>
      <c r="AW275" s="650"/>
      <c r="AX275" s="650"/>
      <c r="AY275" s="650"/>
      <c r="AZ275" s="549"/>
      <c r="BB275" s="650"/>
      <c r="BC275" s="650"/>
      <c r="BD275" s="650"/>
      <c r="BE275" s="549"/>
      <c r="BI275" s="650"/>
      <c r="BJ275" s="549"/>
      <c r="BO275" s="549"/>
      <c r="BT275" s="549"/>
      <c r="BY275" s="549"/>
      <c r="CD275" s="549"/>
    </row>
    <row r="276" spans="2:82">
      <c r="B276" s="603"/>
      <c r="G276" s="549"/>
      <c r="L276" s="549"/>
      <c r="Q276" s="549"/>
      <c r="V276" s="549"/>
      <c r="AA276" s="549"/>
      <c r="AF276" s="549"/>
      <c r="AK276" s="549"/>
      <c r="AP276" s="549"/>
      <c r="AQ276" s="789"/>
      <c r="AU276" s="549"/>
      <c r="AW276" s="650"/>
      <c r="AX276" s="650"/>
      <c r="AY276" s="650"/>
      <c r="AZ276" s="549"/>
      <c r="BB276" s="650"/>
      <c r="BC276" s="650"/>
      <c r="BD276" s="650"/>
      <c r="BE276" s="549"/>
      <c r="BI276" s="650"/>
      <c r="BJ276" s="549"/>
      <c r="BO276" s="549"/>
      <c r="BT276" s="549"/>
      <c r="BY276" s="549"/>
      <c r="CD276" s="549"/>
    </row>
    <row r="277" spans="2:82">
      <c r="B277" s="771" t="s">
        <v>400</v>
      </c>
      <c r="C277" s="223"/>
      <c r="D277" s="772"/>
      <c r="E277" s="772"/>
      <c r="F277" s="773"/>
      <c r="G277" s="646"/>
      <c r="H277" s="223"/>
      <c r="I277" s="772"/>
      <c r="J277" s="772"/>
      <c r="K277" s="773"/>
      <c r="L277" s="646"/>
      <c r="M277" s="223"/>
      <c r="N277" s="772"/>
      <c r="O277" s="772"/>
      <c r="P277" s="773"/>
      <c r="Q277" s="646"/>
      <c r="R277" s="223"/>
      <c r="S277" s="772"/>
      <c r="T277" s="772"/>
      <c r="U277" s="773"/>
      <c r="V277" s="646"/>
      <c r="W277" s="223"/>
      <c r="X277" s="772"/>
      <c r="Y277" s="772"/>
      <c r="Z277" s="773"/>
      <c r="AA277" s="646"/>
      <c r="AB277" s="223"/>
      <c r="AC277" s="772"/>
      <c r="AD277" s="772"/>
      <c r="AE277" s="773"/>
      <c r="AF277" s="646"/>
      <c r="AG277" s="223"/>
      <c r="AH277" s="772"/>
      <c r="AI277" s="772"/>
      <c r="AJ277" s="773"/>
      <c r="AK277" s="646"/>
      <c r="AL277" s="223"/>
      <c r="AM277" s="772"/>
      <c r="AN277" s="772"/>
      <c r="AO277" s="773"/>
      <c r="AP277" s="655"/>
      <c r="AQ277" s="223"/>
      <c r="AR277" s="772"/>
      <c r="AS277" s="772"/>
      <c r="AT277" s="773"/>
      <c r="AU277" s="655"/>
      <c r="AV277" s="223"/>
      <c r="AW277" s="650"/>
      <c r="AX277" s="650"/>
      <c r="AY277" s="650"/>
      <c r="AZ277" s="655"/>
      <c r="BA277" s="650"/>
      <c r="BB277" s="650"/>
      <c r="BC277" s="650"/>
      <c r="BD277" s="650"/>
      <c r="BE277" s="655"/>
      <c r="BF277" s="650"/>
      <c r="BG277" s="650"/>
      <c r="BH277" s="650"/>
      <c r="BI277" s="650"/>
      <c r="BJ277" s="655"/>
      <c r="BK277" s="650"/>
      <c r="BL277" s="650"/>
      <c r="BM277" s="650"/>
      <c r="BN277" s="650"/>
      <c r="BO277" s="655"/>
      <c r="BP277" s="650"/>
      <c r="BQ277" s="650"/>
      <c r="BR277" s="650"/>
      <c r="BS277" s="650"/>
      <c r="BT277" s="655"/>
      <c r="BU277" s="650"/>
      <c r="BV277" s="650"/>
      <c r="BW277" s="650"/>
      <c r="BX277" s="650"/>
      <c r="BY277" s="655"/>
      <c r="BZ277" s="650"/>
      <c r="CA277" s="650"/>
      <c r="CB277" s="650"/>
      <c r="CC277" s="650"/>
      <c r="CD277" s="655"/>
    </row>
    <row r="278" spans="2:82">
      <c r="B278" s="778" t="s">
        <v>401</v>
      </c>
      <c r="C278" s="223"/>
      <c r="D278" s="772"/>
      <c r="E278" s="772"/>
      <c r="F278" s="773"/>
      <c r="G278" s="646"/>
      <c r="H278" s="223"/>
      <c r="I278" s="772"/>
      <c r="J278" s="772"/>
      <c r="K278" s="773"/>
      <c r="L278" s="646"/>
      <c r="M278" s="223"/>
      <c r="N278" s="772"/>
      <c r="O278" s="772"/>
      <c r="P278" s="773"/>
      <c r="Q278" s="646"/>
      <c r="R278" s="223"/>
      <c r="S278" s="772"/>
      <c r="T278" s="772"/>
      <c r="U278" s="773"/>
      <c r="V278" s="646"/>
      <c r="W278" s="223"/>
      <c r="X278" s="772"/>
      <c r="Y278" s="772"/>
      <c r="Z278" s="773"/>
      <c r="AA278" s="646"/>
      <c r="AB278" s="223"/>
      <c r="AC278" s="772"/>
      <c r="AD278" s="772"/>
      <c r="AE278" s="773"/>
      <c r="AF278" s="646"/>
      <c r="AG278" s="223"/>
      <c r="AH278" s="772"/>
      <c r="AI278" s="772"/>
      <c r="AJ278" s="773"/>
      <c r="AK278" s="646">
        <v>67689</v>
      </c>
      <c r="AL278" s="223">
        <v>18307</v>
      </c>
      <c r="AM278" s="772">
        <v>18276</v>
      </c>
      <c r="AN278" s="772">
        <v>18345</v>
      </c>
      <c r="AO278" s="773">
        <f>76432-SUM(AL278:AN278)</f>
        <v>21504</v>
      </c>
      <c r="AP278" s="655">
        <f>SUM(AL278:AO278)</f>
        <v>76432</v>
      </c>
      <c r="AQ278" s="223">
        <v>20545</v>
      </c>
      <c r="AR278" s="772">
        <v>20485</v>
      </c>
      <c r="AS278" s="772">
        <v>20075</v>
      </c>
      <c r="AT278" s="773">
        <f>82954-SUM(AQ278:AS278)</f>
        <v>21849</v>
      </c>
      <c r="AU278" s="655">
        <f>SUM(AQ278:AT278)</f>
        <v>82954</v>
      </c>
      <c r="AV278" s="223">
        <v>20195</v>
      </c>
      <c r="AZ278" s="549"/>
      <c r="BE278" s="549"/>
      <c r="BJ278" s="549"/>
      <c r="BO278" s="549"/>
      <c r="BT278" s="549"/>
      <c r="BY278" s="549"/>
      <c r="CD278" s="549"/>
    </row>
    <row r="279" spans="2:82">
      <c r="B279" s="670" t="s">
        <v>21</v>
      </c>
      <c r="C279" s="173"/>
      <c r="D279" s="173"/>
      <c r="E279" s="173"/>
      <c r="F279" s="173"/>
      <c r="G279" s="549"/>
      <c r="H279" s="173"/>
      <c r="I279" s="173"/>
      <c r="J279" s="173"/>
      <c r="K279" s="173"/>
      <c r="L279" s="549"/>
      <c r="M279" s="173"/>
      <c r="N279" s="173"/>
      <c r="O279" s="173"/>
      <c r="P279" s="173"/>
      <c r="Q279" s="549"/>
      <c r="R279" s="173"/>
      <c r="S279" s="173"/>
      <c r="T279" s="173"/>
      <c r="U279" s="173"/>
      <c r="V279" s="549"/>
      <c r="W279" s="173"/>
      <c r="X279" s="173"/>
      <c r="Y279" s="173"/>
      <c r="Z279" s="173"/>
      <c r="AA279" s="549"/>
      <c r="AB279" s="173"/>
      <c r="AC279" s="173"/>
      <c r="AD279" s="173"/>
      <c r="AE279" s="173"/>
      <c r="AF279" s="549"/>
      <c r="AG279" s="173"/>
      <c r="AH279" s="173"/>
      <c r="AI279" s="173"/>
      <c r="AJ279" s="173"/>
      <c r="AK279" s="549"/>
      <c r="AL279" s="173"/>
      <c r="AM279" s="173"/>
      <c r="AN279" s="173"/>
      <c r="AO279" s="173"/>
      <c r="AP279" s="549">
        <f>AP278/AK278-1</f>
        <v>0.12916426598117869</v>
      </c>
      <c r="AQ279" s="173">
        <f t="shared" ref="AQ279:AV279" si="71">AQ278/AL278-1</f>
        <v>0.12224832031463384</v>
      </c>
      <c r="AR279" s="173">
        <f t="shared" si="71"/>
        <v>0.12086889910264831</v>
      </c>
      <c r="AS279" s="173">
        <f t="shared" si="71"/>
        <v>9.430362496593081E-2</v>
      </c>
      <c r="AT279" s="173">
        <f t="shared" si="71"/>
        <v>1.6043526785714191E-2</v>
      </c>
      <c r="AU279" s="549">
        <f>AU278/AP278-1</f>
        <v>8.5330751517688874E-2</v>
      </c>
      <c r="AV279" s="173">
        <f t="shared" si="71"/>
        <v>-1.7035775127768327E-2</v>
      </c>
      <c r="AW279" s="173"/>
      <c r="AX279" s="173"/>
      <c r="AY279" s="173"/>
      <c r="AZ279" s="549"/>
      <c r="BA279" s="173"/>
      <c r="BB279" s="173"/>
      <c r="BC279" s="173"/>
      <c r="BD279" s="173"/>
      <c r="BE279" s="549"/>
      <c r="BF279" s="173"/>
      <c r="BG279" s="173"/>
      <c r="BH279" s="173"/>
      <c r="BI279" s="173"/>
      <c r="BJ279" s="549"/>
      <c r="BK279" s="173"/>
      <c r="BL279" s="173"/>
      <c r="BM279" s="173"/>
      <c r="BN279" s="173"/>
      <c r="BO279" s="549"/>
      <c r="BP279" s="173"/>
      <c r="BQ279" s="173"/>
      <c r="BR279" s="173"/>
      <c r="BS279" s="173"/>
      <c r="BT279" s="549"/>
      <c r="BU279" s="173"/>
      <c r="BV279" s="173"/>
      <c r="BW279" s="173"/>
      <c r="BX279" s="173"/>
      <c r="BY279" s="549"/>
      <c r="BZ279" s="173"/>
      <c r="CA279" s="173"/>
      <c r="CB279" s="173"/>
      <c r="CC279" s="173"/>
      <c r="CD279" s="549"/>
    </row>
    <row r="285" spans="2:82">
      <c r="B285" s="370" t="s">
        <v>628</v>
      </c>
    </row>
    <row r="286" spans="2:82">
      <c r="B286" s="1302" t="s">
        <v>629</v>
      </c>
      <c r="AZ286" s="1303">
        <v>181</v>
      </c>
      <c r="BE286" s="1303">
        <v>199</v>
      </c>
      <c r="BJ286" s="1303">
        <v>229</v>
      </c>
    </row>
    <row r="287" spans="2:82">
      <c r="B287" s="1302" t="s">
        <v>630</v>
      </c>
      <c r="AZ287" s="1303">
        <v>288038</v>
      </c>
      <c r="BE287" s="1303">
        <v>359928</v>
      </c>
      <c r="BJ287" s="1303">
        <v>456179</v>
      </c>
    </row>
    <row r="288" spans="2:82">
      <c r="B288" s="1302" t="s">
        <v>631</v>
      </c>
      <c r="AZ288" s="1303">
        <v>5087</v>
      </c>
      <c r="BE288" s="1303">
        <v>6295</v>
      </c>
      <c r="BJ288" s="1303">
        <v>7769</v>
      </c>
    </row>
    <row r="289" spans="2:62">
      <c r="B289" s="1302" t="s">
        <v>632</v>
      </c>
      <c r="AZ289" s="1305">
        <f>AZ288/AZ286</f>
        <v>28.104972375690608</v>
      </c>
      <c r="BE289" s="1305">
        <f>BE288/BE286</f>
        <v>31.633165829145728</v>
      </c>
      <c r="BF289" s="713"/>
      <c r="BG289" s="713"/>
      <c r="BH289" s="713"/>
      <c r="BI289" s="713"/>
      <c r="BJ289" s="1305">
        <f>BJ288/BJ286</f>
        <v>33.925764192139738</v>
      </c>
    </row>
    <row r="290" spans="2:62">
      <c r="AZ290" s="1302"/>
      <c r="BJ290" s="1302"/>
    </row>
    <row r="291" spans="2:62">
      <c r="B291" s="1302" t="s">
        <v>633</v>
      </c>
      <c r="AZ291" s="1303">
        <v>8217</v>
      </c>
      <c r="BE291" s="1303">
        <v>9585</v>
      </c>
      <c r="BJ291" s="1303">
        <v>11501</v>
      </c>
    </row>
    <row r="292" spans="2:62">
      <c r="B292" s="1302" t="s">
        <v>634</v>
      </c>
      <c r="AZ292" s="1303">
        <v>1031</v>
      </c>
      <c r="BE292" s="1303">
        <v>1257</v>
      </c>
      <c r="BJ292" s="1303">
        <v>1593</v>
      </c>
    </row>
    <row r="293" spans="2:62">
      <c r="B293" s="1302" t="s">
        <v>635</v>
      </c>
      <c r="AZ293" s="1304">
        <f>SUM(AZ291:AZ292)</f>
        <v>9248</v>
      </c>
      <c r="BE293" s="1304">
        <f>SUM(BE291:BE292)</f>
        <v>10842</v>
      </c>
      <c r="BJ293" s="1304">
        <f>SUM(BJ291:BJ292)</f>
        <v>13094</v>
      </c>
    </row>
  </sheetData>
  <pageMargins left="0.24" right="0.24" top="0.34" bottom="0.3" header="0.2" footer="0.24"/>
  <pageSetup scale="50" fitToHeight="3" orientation="landscape" r:id="rId1"/>
  <headerFooter alignWithMargins="0"/>
  <ignoredErrors>
    <ignoredError sqref="BO6 AU14:AU35 BO7:BO45 BO49:BO51 AZ52:BH52 BP49:CE51 BP7:CE9 BL46:CE47 BL50:BN51 BL7:BN9 AZ56:CE56 AZ53:BH53 BO53 BS53:BT53 BP11:CE28 BT10 BP38:CE45 BT37:BV37 BV53:BY53 CA53:CE53 BJ52 AZ54:BH55 BJ55:CE55 BJ53 BE78 BL11:BN17 BL33:BN36 BL38:BN39 BL19:BN24 BL41:BN45 BV10:BW10 BP33:CE36 BT32:CA32 CD32:CE32 CA10:CE10 BP30:CE31 BP29:BY29 CC29:CE29 BX10:BY10 CA37:CE37 BX37:BY37 BL52:CE52 BJ54 BL54:CE54 BL28:BN31 BM27:BN27 BL26:BN26 BM25:BN25 BM49:BN49 BO48:CE48" formula="1"/>
    <ignoredError sqref="BJ6 BJ7 AZ13:BI15 AZ7:BH7 AZ8:BB8 AZ9:BH12 AZ20:BI24 AZ17:BH19 AZ16:BH16 AZ47:BI48 AZ46:BH46 AZ50:BH51 BE49 BJ9:BJ51 AZ39:BI44 AZ35:BH38 AZ34:BI34 AZ30:BH30 AZ31:BH33 BK34 BK39 BK13:BK15 AZ26:BI29 AZ25:BH25 BK20:BK24 BK46:BK47 BK26:BK29 BE8 BE45 BK41:BK44" formula="1" formulaRange="1"/>
    <ignoredError sqref="BE6" formulaRange="1"/>
  </ignoredErrors>
  <drawing r:id="rId2"/>
  <legacyDrawing r:id="rId3"/>
  <controls>
    <mc:AlternateContent xmlns:mc="http://schemas.openxmlformats.org/markup-compatibility/2006">
      <mc:Choice Requires="x14">
        <control shapeId="3073" r:id="rId4" name="ComboBox1">
          <controlPr defaultSize="0" autoLine="0" autoPict="0" linkedCell="DCF!$A$5" listFillRange="DCF!$A$2:$A$4" r:id="rId5">
            <anchor moveWithCells="1">
              <from>
                <xdr:col>1</xdr:col>
                <xdr:colOff>781050</xdr:colOff>
                <xdr:row>1</xdr:row>
                <xdr:rowOff>142875</xdr:rowOff>
              </from>
              <to>
                <xdr:col>1</xdr:col>
                <xdr:colOff>3048000</xdr:colOff>
                <xdr:row>3</xdr:row>
                <xdr:rowOff>114300</xdr:rowOff>
              </to>
            </anchor>
          </controlPr>
        </control>
      </mc:Choice>
      <mc:Fallback>
        <control shapeId="3073" r:id="rId4" name="ComboBox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theme="3"/>
    <pageSetUpPr fitToPage="1"/>
  </sheetPr>
  <dimension ref="A1:W118"/>
  <sheetViews>
    <sheetView showGridLines="0" zoomScale="85" zoomScaleNormal="85" workbookViewId="0">
      <pane xSplit="2" ySplit="5" topLeftCell="C6" activePane="bottomRight" state="frozen"/>
      <selection activeCell="I43" sqref="I43"/>
      <selection pane="topRight" activeCell="I43" sqref="I43"/>
      <selection pane="bottomLeft" activeCell="I43" sqref="I43"/>
      <selection pane="bottomRight"/>
    </sheetView>
  </sheetViews>
  <sheetFormatPr defaultRowHeight="12.75"/>
  <cols>
    <col min="1" max="1" width="4.42578125" customWidth="1"/>
    <col min="2" max="2" width="34.5703125" customWidth="1"/>
    <col min="3" max="3" width="9.28515625" customWidth="1"/>
    <col min="4" max="15" width="10.140625" customWidth="1"/>
    <col min="16" max="16" width="11.140625" customWidth="1"/>
    <col min="17" max="17" width="10.140625" customWidth="1"/>
    <col min="18" max="18" width="10.42578125" customWidth="1"/>
    <col min="19" max="20" width="8.85546875" customWidth="1"/>
  </cols>
  <sheetData>
    <row r="1" spans="1:23" ht="15.75">
      <c r="A1" s="150"/>
      <c r="B1" s="894" t="s">
        <v>426</v>
      </c>
      <c r="C1" s="92"/>
      <c r="D1" s="92"/>
      <c r="E1" s="92"/>
      <c r="F1" s="92"/>
      <c r="G1" s="92"/>
      <c r="H1" s="92"/>
      <c r="I1" s="895"/>
      <c r="J1" s="895"/>
      <c r="K1" s="895"/>
      <c r="L1" s="150"/>
      <c r="M1" s="895"/>
      <c r="N1" s="895"/>
      <c r="O1" s="150"/>
      <c r="P1" s="150"/>
      <c r="Q1" s="150"/>
      <c r="R1" s="150"/>
      <c r="S1" s="150"/>
      <c r="T1" s="150"/>
      <c r="U1" s="150"/>
      <c r="V1" s="150"/>
      <c r="W1" s="150"/>
    </row>
    <row r="2" spans="1:23">
      <c r="A2" s="896" t="s">
        <v>427</v>
      </c>
      <c r="B2" s="93" t="s">
        <v>428</v>
      </c>
      <c r="G2" s="92"/>
      <c r="H2" s="897"/>
      <c r="I2" s="898"/>
      <c r="J2" s="898"/>
      <c r="K2" s="898"/>
      <c r="L2" s="898"/>
      <c r="M2" s="898"/>
      <c r="N2" s="898"/>
      <c r="O2" s="898"/>
      <c r="P2" s="898"/>
      <c r="Q2" s="898"/>
      <c r="V2" s="113"/>
      <c r="W2" s="899" t="s">
        <v>429</v>
      </c>
    </row>
    <row r="3" spans="1:23" ht="15.75" customHeight="1">
      <c r="A3" s="900" t="s">
        <v>430</v>
      </c>
      <c r="B3" s="108" t="s">
        <v>8</v>
      </c>
      <c r="C3" s="901" t="str">
        <f t="shared" ref="C3:T3" si="0">IF(C4&lt;$V$3,"",IF(C4=$V$3,0.25*(4-$V$4)/2,MAX(0,C4-$V$3+0.5-0.25*$V$4)))</f>
        <v/>
      </c>
      <c r="D3" s="901" t="str">
        <f t="shared" si="0"/>
        <v/>
      </c>
      <c r="E3" s="901" t="str">
        <f t="shared" si="0"/>
        <v/>
      </c>
      <c r="F3" s="901" t="str">
        <f t="shared" si="0"/>
        <v/>
      </c>
      <c r="G3" s="901" t="str">
        <f t="shared" si="0"/>
        <v/>
      </c>
      <c r="H3" s="902" t="str">
        <f t="shared" si="0"/>
        <v/>
      </c>
      <c r="I3" s="903" t="str">
        <f t="shared" si="0"/>
        <v/>
      </c>
      <c r="J3" s="903">
        <f t="shared" si="0"/>
        <v>0.375</v>
      </c>
      <c r="K3" s="903">
        <f t="shared" si="0"/>
        <v>1.25</v>
      </c>
      <c r="L3" s="903">
        <f t="shared" si="0"/>
        <v>2.25</v>
      </c>
      <c r="M3" s="903">
        <f t="shared" si="0"/>
        <v>3.25</v>
      </c>
      <c r="N3" s="903">
        <f t="shared" si="0"/>
        <v>4.25</v>
      </c>
      <c r="O3" s="903">
        <f t="shared" si="0"/>
        <v>5.25</v>
      </c>
      <c r="P3" s="903">
        <f>IF(P4&lt;$V$3,"",IF(P4=$V$3,0.25*(4-$V$4)/2,MAX(0,P4-$V$3+0.5-0.25*$V$4)))</f>
        <v>6.25</v>
      </c>
      <c r="Q3" s="903">
        <f t="shared" si="0"/>
        <v>7.25</v>
      </c>
      <c r="R3" s="903">
        <f t="shared" si="0"/>
        <v>8.25</v>
      </c>
      <c r="S3" s="903">
        <f t="shared" si="0"/>
        <v>9.25</v>
      </c>
      <c r="T3" s="903">
        <f t="shared" si="0"/>
        <v>10.25</v>
      </c>
      <c r="V3" s="904">
        <v>2019</v>
      </c>
      <c r="W3" s="150" t="s">
        <v>431</v>
      </c>
    </row>
    <row r="4" spans="1:23">
      <c r="A4" s="900" t="s">
        <v>432</v>
      </c>
      <c r="B4" s="905"/>
      <c r="C4" s="906">
        <f>LEFT(C5,4)+0</f>
        <v>2012</v>
      </c>
      <c r="D4" s="906">
        <f t="shared" ref="D4:T4" si="1">+C4+1</f>
        <v>2013</v>
      </c>
      <c r="E4" s="906">
        <f t="shared" si="1"/>
        <v>2014</v>
      </c>
      <c r="F4" s="906">
        <f t="shared" si="1"/>
        <v>2015</v>
      </c>
      <c r="G4" s="906">
        <f t="shared" si="1"/>
        <v>2016</v>
      </c>
      <c r="H4" s="906">
        <f t="shared" si="1"/>
        <v>2017</v>
      </c>
      <c r="I4" s="906">
        <f t="shared" si="1"/>
        <v>2018</v>
      </c>
      <c r="J4" s="906">
        <f t="shared" si="1"/>
        <v>2019</v>
      </c>
      <c r="K4" s="906">
        <f t="shared" si="1"/>
        <v>2020</v>
      </c>
      <c r="L4" s="906">
        <f t="shared" si="1"/>
        <v>2021</v>
      </c>
      <c r="M4" s="906">
        <f t="shared" si="1"/>
        <v>2022</v>
      </c>
      <c r="N4" s="906">
        <f t="shared" si="1"/>
        <v>2023</v>
      </c>
      <c r="O4" s="906">
        <f t="shared" si="1"/>
        <v>2024</v>
      </c>
      <c r="P4" s="906">
        <f t="shared" si="1"/>
        <v>2025</v>
      </c>
      <c r="Q4" s="906">
        <f t="shared" si="1"/>
        <v>2026</v>
      </c>
      <c r="R4" s="906">
        <f t="shared" si="1"/>
        <v>2027</v>
      </c>
      <c r="S4" s="906">
        <f t="shared" si="1"/>
        <v>2028</v>
      </c>
      <c r="T4" s="906">
        <f t="shared" si="1"/>
        <v>2029</v>
      </c>
      <c r="V4" s="1301">
        <v>1</v>
      </c>
      <c r="W4" s="907" t="s">
        <v>433</v>
      </c>
    </row>
    <row r="5" spans="1:23">
      <c r="A5" s="348" t="s">
        <v>430</v>
      </c>
      <c r="B5" s="905">
        <f>IF(A5="1=Bull",1,IF(A5="2=Base",2,3))</f>
        <v>2</v>
      </c>
      <c r="C5" s="109" t="str">
        <f>'Quarterly Model'!AK3</f>
        <v>2012A</v>
      </c>
      <c r="D5" s="109" t="str">
        <f>'Quarterly Model'!AP3</f>
        <v>2013A</v>
      </c>
      <c r="E5" s="109" t="str">
        <f>'Quarterly Model'!AU3</f>
        <v>2014A</v>
      </c>
      <c r="F5" s="109" t="str">
        <f>'Quarterly Model'!AZ3</f>
        <v>2015A</v>
      </c>
      <c r="G5" s="109" t="str">
        <f>'Quarterly Model'!BE3</f>
        <v>2016A</v>
      </c>
      <c r="H5" s="109" t="str">
        <f>'Quarterly Model'!BJ3</f>
        <v>2017A</v>
      </c>
      <c r="I5" s="109" t="str">
        <f>I4&amp;"E"</f>
        <v>2018E</v>
      </c>
      <c r="J5" s="109" t="str">
        <f t="shared" ref="J5:O5" si="2">J4&amp;"E"</f>
        <v>2019E</v>
      </c>
      <c r="K5" s="109" t="str">
        <f t="shared" si="2"/>
        <v>2020E</v>
      </c>
      <c r="L5" s="109" t="str">
        <f t="shared" si="2"/>
        <v>2021E</v>
      </c>
      <c r="M5" s="109" t="str">
        <f t="shared" si="2"/>
        <v>2022E</v>
      </c>
      <c r="N5" s="109" t="str">
        <f t="shared" si="2"/>
        <v>2023E</v>
      </c>
      <c r="O5" s="109" t="str">
        <f t="shared" si="2"/>
        <v>2024E</v>
      </c>
      <c r="P5" s="109" t="str">
        <f>P4&amp;"E"</f>
        <v>2025E</v>
      </c>
      <c r="V5" s="78"/>
      <c r="W5" s="78"/>
    </row>
    <row r="6" spans="1:23">
      <c r="A6" s="348"/>
      <c r="B6" s="908" t="s">
        <v>264</v>
      </c>
      <c r="C6" s="909">
        <f>'Segment Detail'!AK6</f>
        <v>150066</v>
      </c>
      <c r="D6" s="909">
        <f>'Segment Detail'!AP6</f>
        <v>185606</v>
      </c>
      <c r="E6" s="909">
        <f>'Segment Detail'!AU6</f>
        <v>234635</v>
      </c>
      <c r="F6" s="909">
        <f>'Segment Detail'!AZ6</f>
        <v>288038</v>
      </c>
      <c r="G6" s="909">
        <f>'Segment Detail'!BE6</f>
        <v>359928</v>
      </c>
      <c r="H6" s="909">
        <f>'Segment Detail'!BJ6</f>
        <v>456178</v>
      </c>
      <c r="I6" s="909">
        <f>'Segment Detail'!BO6</f>
        <v>587573.5404786201</v>
      </c>
      <c r="J6" s="909">
        <f>'Segment Detail'!BT6</f>
        <v>721464.94778726739</v>
      </c>
      <c r="K6" s="909">
        <f>'Segment Detail'!BY6</f>
        <v>858030.17748869467</v>
      </c>
      <c r="L6" s="909">
        <f>'Segment Detail'!CD6</f>
        <v>1003895.3076617728</v>
      </c>
      <c r="M6" s="910">
        <f>(1+M7)*L6</f>
        <v>1166024.3998491494</v>
      </c>
      <c r="N6" s="910">
        <f>(1+N7)*M6</f>
        <v>1335506.0463672234</v>
      </c>
      <c r="O6" s="910">
        <f>(1+O7)*N6</f>
        <v>1485984.1901416504</v>
      </c>
      <c r="P6" s="910">
        <f>(1+P7)*O6</f>
        <v>1604862.9253529825</v>
      </c>
      <c r="Q6" s="408"/>
      <c r="V6" s="78"/>
      <c r="W6" s="78"/>
    </row>
    <row r="7" spans="1:23">
      <c r="A7" s="348"/>
      <c r="B7" s="911" t="s">
        <v>21</v>
      </c>
      <c r="C7" s="912"/>
      <c r="D7" s="912">
        <f t="shared" ref="D7:L7" si="3">D6/C6-1</f>
        <v>0.23682912851678606</v>
      </c>
      <c r="E7" s="912">
        <f t="shared" si="3"/>
        <v>0.26415633115308768</v>
      </c>
      <c r="F7" s="912">
        <f t="shared" si="3"/>
        <v>0.22760031538346803</v>
      </c>
      <c r="G7" s="912">
        <f t="shared" si="3"/>
        <v>0.24958512418500334</v>
      </c>
      <c r="H7" s="912">
        <f t="shared" si="3"/>
        <v>0.26741459402991707</v>
      </c>
      <c r="I7" s="912">
        <f t="shared" si="3"/>
        <v>0.28803568010430158</v>
      </c>
      <c r="J7" s="912">
        <f t="shared" si="3"/>
        <v>0.22787174384943087</v>
      </c>
      <c r="K7" s="912">
        <f t="shared" si="3"/>
        <v>0.18928879375259022</v>
      </c>
      <c r="L7" s="912">
        <f t="shared" si="3"/>
        <v>0.17000000000000015</v>
      </c>
      <c r="M7" s="913">
        <f>IF(_Toggle="2=Base",0.95*L7,IF(_Toggle="1=Bull",0.8*L7,0.9*L7))</f>
        <v>0.16150000000000014</v>
      </c>
      <c r="N7" s="913">
        <f>M7*0.9</f>
        <v>0.14535000000000015</v>
      </c>
      <c r="O7" s="913">
        <f>N7-($N7-$P7)/2</f>
        <v>0.11267500000000008</v>
      </c>
      <c r="P7" s="913">
        <v>0.08</v>
      </c>
      <c r="V7" s="78"/>
      <c r="W7" s="78"/>
    </row>
    <row r="8" spans="1:23" ht="3" customHeight="1">
      <c r="A8" s="348"/>
      <c r="B8" s="914"/>
      <c r="C8" s="915"/>
      <c r="D8" s="915"/>
      <c r="E8" s="915"/>
      <c r="F8" s="915"/>
      <c r="G8" s="915"/>
      <c r="H8" s="915"/>
      <c r="I8" s="915"/>
      <c r="J8" s="915"/>
      <c r="K8" s="915"/>
      <c r="L8" s="915"/>
      <c r="M8" s="916"/>
      <c r="N8" s="916"/>
      <c r="O8" s="916"/>
      <c r="P8" s="916"/>
      <c r="V8" s="78"/>
      <c r="W8" s="78"/>
    </row>
    <row r="9" spans="1:23">
      <c r="A9" s="160"/>
      <c r="B9" s="917" t="s">
        <v>434</v>
      </c>
      <c r="C9" s="909">
        <f>'Quarterly Model'!AK14</f>
        <v>5662</v>
      </c>
      <c r="D9" s="909">
        <f>'Quarterly Model'!AP14</f>
        <v>6727</v>
      </c>
      <c r="E9" s="909">
        <f>'Quarterly Model'!AU14</f>
        <v>8012</v>
      </c>
      <c r="F9" s="909">
        <f>'Quarterly Model'!AZ14</f>
        <v>9248</v>
      </c>
      <c r="G9" s="909">
        <f>'Quarterly Model'!BE14</f>
        <v>10842</v>
      </c>
      <c r="H9" s="909">
        <f>'Quarterly Model'!BJ14</f>
        <v>13055</v>
      </c>
      <c r="I9" s="909">
        <f>'Quarterly Model'!BO14</f>
        <v>15409.207206719526</v>
      </c>
      <c r="J9" s="909">
        <f>'Quarterly Model'!BT14</f>
        <v>17754.760804577836</v>
      </c>
      <c r="K9" s="909">
        <f>'Quarterly Model'!BY14</f>
        <v>20644.020051940057</v>
      </c>
      <c r="L9" s="909">
        <f>'Quarterly Model'!CD14</f>
        <v>23850.821975158746</v>
      </c>
      <c r="M9" s="910">
        <f>M6*M11</f>
        <v>27246.825075627192</v>
      </c>
      <c r="N9" s="910">
        <f>N6*N11</f>
        <v>30940.049891096161</v>
      </c>
      <c r="O9" s="910">
        <f>O6*O11</f>
        <v>34391.79379256285</v>
      </c>
      <c r="P9" s="910">
        <f>P6*P11</f>
        <v>37105.994158671914</v>
      </c>
      <c r="Q9" s="408"/>
      <c r="R9" s="910"/>
      <c r="S9" s="408"/>
      <c r="T9" s="910"/>
      <c r="U9" s="910"/>
      <c r="V9" s="160"/>
      <c r="W9" s="160"/>
    </row>
    <row r="10" spans="1:23">
      <c r="A10" s="160"/>
      <c r="B10" s="911" t="s">
        <v>21</v>
      </c>
      <c r="C10" s="909"/>
      <c r="D10" s="912">
        <f>+D9/C9-1</f>
        <v>0.18809607912398452</v>
      </c>
      <c r="E10" s="912">
        <f t="shared" ref="E10:P10" si="4">+E9/D9-1</f>
        <v>0.19102125761855215</v>
      </c>
      <c r="F10" s="912">
        <f t="shared" si="4"/>
        <v>0.15426859710434337</v>
      </c>
      <c r="G10" s="912">
        <f t="shared" si="4"/>
        <v>0.17236159169550169</v>
      </c>
      <c r="H10" s="912">
        <f t="shared" si="4"/>
        <v>0.20411363217118605</v>
      </c>
      <c r="I10" s="912">
        <f t="shared" si="4"/>
        <v>0.18032992774565493</v>
      </c>
      <c r="J10" s="912">
        <f t="shared" si="4"/>
        <v>0.15221766872181974</v>
      </c>
      <c r="K10" s="912">
        <f t="shared" si="4"/>
        <v>0.16273152193733087</v>
      </c>
      <c r="L10" s="912">
        <f t="shared" si="4"/>
        <v>0.15533805504695408</v>
      </c>
      <c r="M10" s="912">
        <f t="shared" si="4"/>
        <v>0.14238515989115474</v>
      </c>
      <c r="N10" s="912">
        <f t="shared" si="4"/>
        <v>0.13554697860091713</v>
      </c>
      <c r="O10" s="912">
        <f t="shared" si="4"/>
        <v>0.11156232500000018</v>
      </c>
      <c r="P10" s="912">
        <f t="shared" si="4"/>
        <v>7.8920000000000101E-2</v>
      </c>
      <c r="Q10" s="910"/>
      <c r="R10" s="910"/>
      <c r="S10" s="910"/>
      <c r="T10" s="910"/>
      <c r="U10" s="910"/>
      <c r="V10" s="160"/>
      <c r="W10" s="160"/>
    </row>
    <row r="11" spans="1:23">
      <c r="A11" s="370"/>
      <c r="B11" s="911" t="s">
        <v>435</v>
      </c>
      <c r="C11" s="918">
        <f>C9/C6</f>
        <v>3.7730065437874001E-2</v>
      </c>
      <c r="D11" s="918">
        <f t="shared" ref="D11:L11" si="5">D9/D6</f>
        <v>3.6243440406021357E-2</v>
      </c>
      <c r="E11" s="918">
        <f t="shared" si="5"/>
        <v>3.4146653312591896E-2</v>
      </c>
      <c r="F11" s="918">
        <f t="shared" si="5"/>
        <v>3.2106874787354446E-2</v>
      </c>
      <c r="G11" s="918">
        <f t="shared" si="5"/>
        <v>3.012269120490765E-2</v>
      </c>
      <c r="H11" s="918">
        <f t="shared" si="5"/>
        <v>2.8618214819653733E-2</v>
      </c>
      <c r="I11" s="918">
        <f t="shared" si="5"/>
        <v>2.6225155057471854E-2</v>
      </c>
      <c r="J11" s="918">
        <f t="shared" si="5"/>
        <v>2.4609318663410713E-2</v>
      </c>
      <c r="K11" s="918">
        <f t="shared" si="5"/>
        <v>2.4059783202918943E-2</v>
      </c>
      <c r="L11" s="918">
        <f t="shared" si="5"/>
        <v>2.375827617992457E-2</v>
      </c>
      <c r="M11" s="919">
        <f>IF(_Toggle="2=Base",L11-0.0002,IF(_Toggle="1=Bull",L11-0.00015,L11-0.0003))-0.0190990659010806%</f>
        <v>2.3367285520913765E-2</v>
      </c>
      <c r="N11" s="919">
        <f>IF(_Toggle="2=Base",M11-0.0002,IF(_Toggle="1=Bull",M11-0.00015,M11-0.0003))</f>
        <v>2.3167285520913766E-2</v>
      </c>
      <c r="O11" s="919">
        <f t="shared" ref="O11:P11" si="6">N11*0.999</f>
        <v>2.3144118235392853E-2</v>
      </c>
      <c r="P11" s="919">
        <f t="shared" si="6"/>
        <v>2.312097411715746E-2</v>
      </c>
      <c r="Q11" s="370"/>
      <c r="R11" s="370"/>
      <c r="S11" s="370"/>
      <c r="T11" s="370"/>
      <c r="U11" s="370"/>
      <c r="V11" s="370"/>
      <c r="W11" s="370"/>
    </row>
    <row r="12" spans="1:23" ht="3" customHeight="1">
      <c r="A12" s="160"/>
      <c r="B12" s="914"/>
      <c r="C12" s="915"/>
      <c r="D12" s="915"/>
      <c r="E12" s="915"/>
      <c r="F12" s="915"/>
      <c r="G12" s="915"/>
      <c r="H12" s="915"/>
      <c r="I12" s="915"/>
      <c r="J12" s="915"/>
      <c r="K12" s="915"/>
      <c r="L12" s="915"/>
      <c r="M12" s="916"/>
      <c r="N12" s="916"/>
      <c r="O12" s="916"/>
      <c r="P12" s="916"/>
      <c r="Q12" s="160"/>
      <c r="R12" s="160"/>
      <c r="S12" s="160"/>
      <c r="T12" s="160"/>
      <c r="U12" s="160"/>
      <c r="V12" s="160"/>
      <c r="W12" s="160"/>
    </row>
    <row r="13" spans="1:23" ht="12" customHeight="1">
      <c r="A13" s="160"/>
      <c r="B13" s="920" t="s">
        <v>436</v>
      </c>
      <c r="C13" s="921">
        <f>'Quarterly Model'!AK18+'Quarterly Model'!AK25</f>
        <v>1883</v>
      </c>
      <c r="D13" s="921">
        <f>'Quarterly Model'!AP18+'Quarterly Model'!AP25</f>
        <v>2337</v>
      </c>
      <c r="E13" s="921">
        <f>'Quarterly Model'!AU18+'Quarterly Model'!AU25</f>
        <v>2859</v>
      </c>
      <c r="F13" s="921">
        <f>'Quarterly Model'!AZ18+'Quarterly Model'!AZ25</f>
        <v>3441</v>
      </c>
      <c r="G13" s="921">
        <f>'Quarterly Model'!BE18+'Quarterly Model'!BE25</f>
        <v>4434</v>
      </c>
      <c r="H13" s="921">
        <f>'Quarterly Model'!BJ18+'Quarterly Model'!BJ25</f>
        <v>5430</v>
      </c>
      <c r="I13" s="921">
        <f>'Quarterly Model'!BO18+'Quarterly Model'!BO25</f>
        <v>7055.0764470385766</v>
      </c>
      <c r="J13" s="921">
        <f>'Quarterly Model'!BT18+'Quarterly Model'!BT25</f>
        <v>8723.2342551756446</v>
      </c>
      <c r="K13" s="921">
        <f>'Quarterly Model'!BY18+'Quarterly Model'!BY25</f>
        <v>10471.166135190606</v>
      </c>
      <c r="L13" s="921">
        <f>'Quarterly Model'!CD18+'Quarterly Model'!CD25</f>
        <v>12371.731815092422</v>
      </c>
      <c r="M13" s="922">
        <f>M6*M14</f>
        <v>14398.917113226082</v>
      </c>
      <c r="N13" s="922">
        <f>N6*N14</f>
        <v>16525.187366792677</v>
      </c>
      <c r="O13" s="922">
        <f>O6*O14</f>
        <v>18424.312458099583</v>
      </c>
      <c r="P13" s="922">
        <f>P6*P14</f>
        <v>19938.379027881376</v>
      </c>
      <c r="Q13" s="636"/>
      <c r="R13" s="160"/>
      <c r="S13" s="160"/>
      <c r="T13" s="160"/>
      <c r="U13" s="160"/>
      <c r="V13" s="160"/>
      <c r="W13" s="160"/>
    </row>
    <row r="14" spans="1:23" ht="12" customHeight="1">
      <c r="A14" s="370"/>
      <c r="B14" s="911" t="s">
        <v>437</v>
      </c>
      <c r="C14" s="918">
        <f>C13/C6</f>
        <v>1.2547812295923126E-2</v>
      </c>
      <c r="D14" s="918">
        <f t="shared" ref="D14:L14" si="7">D13/D6</f>
        <v>1.2591187784877644E-2</v>
      </c>
      <c r="E14" s="918">
        <f t="shared" si="7"/>
        <v>1.2184882903232681E-2</v>
      </c>
      <c r="F14" s="918">
        <f t="shared" si="7"/>
        <v>1.1946340413417675E-2</v>
      </c>
      <c r="G14" s="918">
        <f t="shared" si="7"/>
        <v>1.231913049276522E-2</v>
      </c>
      <c r="H14" s="918">
        <f t="shared" si="7"/>
        <v>1.1903248293429319E-2</v>
      </c>
      <c r="I14" s="918">
        <f t="shared" si="7"/>
        <v>1.2007137764052002E-2</v>
      </c>
      <c r="J14" s="918">
        <f t="shared" si="7"/>
        <v>1.2091002178178994E-2</v>
      </c>
      <c r="K14" s="918">
        <f t="shared" si="7"/>
        <v>1.2203727106472981E-2</v>
      </c>
      <c r="L14" s="918">
        <f t="shared" si="7"/>
        <v>1.2323727106472981E-2</v>
      </c>
      <c r="M14" s="919">
        <f>L14+0.000025</f>
        <v>1.2348727106472982E-2</v>
      </c>
      <c r="N14" s="919">
        <f t="shared" ref="N14:P14" si="8">M14+0.000025</f>
        <v>1.2373727106472983E-2</v>
      </c>
      <c r="O14" s="919">
        <f t="shared" si="8"/>
        <v>1.2398727106472983E-2</v>
      </c>
      <c r="P14" s="919">
        <f t="shared" si="8"/>
        <v>1.2423727106472984E-2</v>
      </c>
      <c r="Q14" s="370"/>
      <c r="R14" s="370"/>
      <c r="S14" s="370"/>
      <c r="T14" s="370"/>
      <c r="U14" s="370"/>
      <c r="V14" s="370"/>
      <c r="W14" s="370"/>
    </row>
    <row r="15" spans="1:23" ht="2.25" customHeight="1">
      <c r="A15" s="160"/>
      <c r="B15" s="914"/>
      <c r="C15" s="915"/>
      <c r="D15" s="915"/>
      <c r="E15" s="915"/>
      <c r="F15" s="915"/>
      <c r="G15" s="915"/>
      <c r="H15" s="915"/>
      <c r="I15" s="915"/>
      <c r="J15" s="915"/>
      <c r="K15" s="915"/>
      <c r="L15" s="915"/>
      <c r="M15" s="916"/>
      <c r="N15" s="916"/>
      <c r="O15" s="916"/>
      <c r="P15" s="916"/>
      <c r="Q15" s="160"/>
      <c r="R15" s="160"/>
      <c r="S15" s="160"/>
      <c r="T15" s="160"/>
      <c r="U15" s="160"/>
      <c r="V15" s="160"/>
      <c r="W15" s="160"/>
    </row>
    <row r="16" spans="1:23" ht="12" customHeight="1">
      <c r="A16" s="160"/>
      <c r="B16" s="920" t="s">
        <v>128</v>
      </c>
      <c r="C16" s="921">
        <f>'Quarterly Model'!AK37</f>
        <v>765</v>
      </c>
      <c r="D16" s="921">
        <f>'Quarterly Model'!AP37</f>
        <v>876</v>
      </c>
      <c r="E16" s="921">
        <f>'Quarterly Model'!AU37</f>
        <v>952</v>
      </c>
      <c r="F16" s="921">
        <f>'Quarterly Model'!AZ37</f>
        <v>1053</v>
      </c>
      <c r="G16" s="921">
        <f>'Quarterly Model'!BE37</f>
        <v>1182</v>
      </c>
      <c r="H16" s="921">
        <f>'Quarterly Model'!BJ37</f>
        <v>1222</v>
      </c>
      <c r="I16" s="921">
        <f>'Quarterly Model'!BO37</f>
        <v>1285.3563267404338</v>
      </c>
      <c r="J16" s="921">
        <f>'Quarterly Model'!BT37</f>
        <v>1378.5217998003488</v>
      </c>
      <c r="K16" s="921">
        <f>'Quarterly Model'!BY37</f>
        <v>1458.7608458529685</v>
      </c>
      <c r="L16" s="921">
        <f>'Quarterly Model'!CD37</f>
        <v>1482.260876484484</v>
      </c>
      <c r="M16" s="922">
        <f>M17*M9</f>
        <v>1666.0660033075033</v>
      </c>
      <c r="N16" s="922">
        <f>N17*N9</f>
        <v>1860.9561663144445</v>
      </c>
      <c r="O16" s="922">
        <f>O17*O9</f>
        <v>2034.176969159008</v>
      </c>
      <c r="P16" s="922">
        <f>P17*P9</f>
        <v>2157.6082214063654</v>
      </c>
      <c r="Q16" s="160"/>
      <c r="R16" s="160"/>
      <c r="S16" s="160"/>
      <c r="T16" s="160"/>
      <c r="U16" s="160"/>
      <c r="V16" s="160"/>
      <c r="W16" s="160"/>
    </row>
    <row r="17" spans="1:23" ht="12" customHeight="1">
      <c r="A17" s="370"/>
      <c r="B17" s="911" t="s">
        <v>438</v>
      </c>
      <c r="C17" s="912">
        <f t="shared" ref="C17:I17" si="9">C16/C9</f>
        <v>0.13511126810314378</v>
      </c>
      <c r="D17" s="912">
        <f t="shared" si="9"/>
        <v>0.1302214954660324</v>
      </c>
      <c r="E17" s="912">
        <f t="shared" si="9"/>
        <v>0.11882176734897654</v>
      </c>
      <c r="F17" s="912">
        <f t="shared" si="9"/>
        <v>0.11386245674740485</v>
      </c>
      <c r="G17" s="912">
        <f t="shared" si="9"/>
        <v>0.10902047592695074</v>
      </c>
      <c r="H17" s="912">
        <f t="shared" si="9"/>
        <v>9.3603983148219078E-2</v>
      </c>
      <c r="I17" s="912">
        <f t="shared" si="9"/>
        <v>8.3414825272771054E-2</v>
      </c>
      <c r="J17" s="912">
        <f>J16/J9</f>
        <v>7.7642375190147009E-2</v>
      </c>
      <c r="K17" s="912">
        <f>K16/K9</f>
        <v>7.0662634611996469E-2</v>
      </c>
      <c r="L17" s="912">
        <f>L16/L9</f>
        <v>6.214716113466854E-2</v>
      </c>
      <c r="M17" s="913">
        <f>L17-0.001</f>
        <v>6.1147161134668539E-2</v>
      </c>
      <c r="N17" s="913">
        <f>M17-0.001</f>
        <v>6.0147161134668538E-2</v>
      </c>
      <c r="O17" s="913">
        <f>N17-0.001</f>
        <v>5.9147161134668537E-2</v>
      </c>
      <c r="P17" s="913">
        <f>O17-0.001</f>
        <v>5.8147161134668536E-2</v>
      </c>
      <c r="Q17" s="370"/>
      <c r="R17" s="370"/>
      <c r="S17" s="370"/>
      <c r="T17" s="370"/>
      <c r="U17" s="370"/>
      <c r="V17" s="370"/>
      <c r="W17" s="370"/>
    </row>
    <row r="18" spans="1:23" ht="2.25" customHeight="1">
      <c r="A18" s="160"/>
      <c r="B18" s="914"/>
      <c r="C18" s="915"/>
      <c r="D18" s="915"/>
      <c r="E18" s="915"/>
      <c r="F18" s="915"/>
      <c r="G18" s="915"/>
      <c r="H18" s="915"/>
      <c r="I18" s="915"/>
      <c r="J18" s="915"/>
      <c r="K18" s="915"/>
      <c r="L18" s="915"/>
      <c r="M18" s="916"/>
      <c r="N18" s="916"/>
      <c r="O18" s="916"/>
      <c r="P18" s="916"/>
      <c r="Q18" s="160"/>
      <c r="R18" s="160"/>
      <c r="S18" s="160"/>
      <c r="T18" s="160"/>
      <c r="U18" s="160"/>
      <c r="V18" s="160"/>
      <c r="W18" s="160"/>
    </row>
    <row r="19" spans="1:23" ht="12" customHeight="1">
      <c r="A19" s="160"/>
      <c r="B19" s="920" t="str">
        <f>'Quarterly Model'!B44</f>
        <v>Sales and Marketing</v>
      </c>
      <c r="C19" s="921">
        <f>'Quarterly Model'!AK44</f>
        <v>619</v>
      </c>
      <c r="D19" s="921">
        <f>'Quarterly Model'!AP44</f>
        <v>745</v>
      </c>
      <c r="E19" s="921">
        <f>'Quarterly Model'!AU44</f>
        <v>835</v>
      </c>
      <c r="F19" s="921">
        <f>'Quarterly Model'!AZ44</f>
        <v>860</v>
      </c>
      <c r="G19" s="921">
        <f>'Quarterly Model'!BE44</f>
        <v>885</v>
      </c>
      <c r="H19" s="921">
        <f>'Quarterly Model'!BJ44</f>
        <v>988</v>
      </c>
      <c r="I19" s="921">
        <f>'Quarterly Model'!BO44</f>
        <v>1088.0560917303083</v>
      </c>
      <c r="J19" s="921">
        <f>'Quarterly Model'!BT44</f>
        <v>1165.1507476304159</v>
      </c>
      <c r="K19" s="921">
        <f>'Quarterly Model'!BY44</f>
        <v>1251.6010904515531</v>
      </c>
      <c r="L19" s="921">
        <f>'Quarterly Model'!CD44</f>
        <v>1326.8534398738361</v>
      </c>
      <c r="M19" s="922">
        <f>M20*M9</f>
        <v>1488.5308539867738</v>
      </c>
      <c r="N19" s="922">
        <f>N20*N9</f>
        <v>1659.3566639078276</v>
      </c>
      <c r="O19" s="922">
        <f>O20*O9</f>
        <v>1810.0865575450657</v>
      </c>
      <c r="P19" s="922">
        <f>P20*P9</f>
        <v>1915.8325945078507</v>
      </c>
      <c r="Q19" s="160"/>
      <c r="R19" s="160"/>
      <c r="S19" s="160"/>
      <c r="T19" s="160"/>
      <c r="U19" s="160"/>
      <c r="V19" s="160"/>
      <c r="W19" s="160"/>
    </row>
    <row r="20" spans="1:23" ht="12" customHeight="1">
      <c r="A20" s="370"/>
      <c r="B20" s="911" t="s">
        <v>438</v>
      </c>
      <c r="C20" s="912">
        <f t="shared" ref="C20:I20" si="10">C19/C9</f>
        <v>0.10932532673966797</v>
      </c>
      <c r="D20" s="912">
        <f t="shared" si="10"/>
        <v>0.11074773301620336</v>
      </c>
      <c r="E20" s="912">
        <f t="shared" si="10"/>
        <v>0.10421867199201199</v>
      </c>
      <c r="F20" s="912">
        <f t="shared" si="10"/>
        <v>9.2993079584775082E-2</v>
      </c>
      <c r="G20" s="912">
        <f t="shared" si="10"/>
        <v>8.162700608743774E-2</v>
      </c>
      <c r="H20" s="912">
        <f t="shared" si="10"/>
        <v>7.567981616238989E-2</v>
      </c>
      <c r="I20" s="912">
        <f t="shared" si="10"/>
        <v>7.0610776864356614E-2</v>
      </c>
      <c r="J20" s="912">
        <f>J19/J9</f>
        <v>6.5624694156960817E-2</v>
      </c>
      <c r="K20" s="912">
        <f>K19/K9</f>
        <v>6.0627779245638343E-2</v>
      </c>
      <c r="L20" s="912">
        <f>L19/L9</f>
        <v>5.5631350619940421E-2</v>
      </c>
      <c r="M20" s="913">
        <f>L20-0.001</f>
        <v>5.4631350619940421E-2</v>
      </c>
      <c r="N20" s="913">
        <f>M20-0.001</f>
        <v>5.363135061994042E-2</v>
      </c>
      <c r="O20" s="913">
        <f>N20-0.001</f>
        <v>5.2631350619940419E-2</v>
      </c>
      <c r="P20" s="913">
        <f>O20-0.001</f>
        <v>5.1631350619940418E-2</v>
      </c>
      <c r="Q20" s="370"/>
      <c r="R20" s="370"/>
      <c r="S20" s="370"/>
      <c r="T20" s="370"/>
      <c r="U20" s="370"/>
      <c r="V20" s="370"/>
      <c r="W20" s="370"/>
    </row>
    <row r="21" spans="1:23" ht="2.25" customHeight="1">
      <c r="A21" s="160"/>
      <c r="B21" s="914"/>
      <c r="C21" s="915"/>
      <c r="D21" s="915"/>
      <c r="E21" s="915"/>
      <c r="F21" s="915"/>
      <c r="G21" s="915"/>
      <c r="H21" s="915"/>
      <c r="I21" s="915"/>
      <c r="J21" s="915"/>
      <c r="K21" s="915"/>
      <c r="L21" s="915"/>
      <c r="M21" s="916"/>
      <c r="N21" s="916"/>
      <c r="O21" s="916"/>
      <c r="P21" s="916"/>
      <c r="Q21" s="160"/>
      <c r="R21" s="160"/>
      <c r="S21" s="160"/>
      <c r="T21" s="160"/>
      <c r="U21" s="160"/>
      <c r="V21" s="160"/>
      <c r="W21" s="160"/>
    </row>
    <row r="22" spans="1:23" ht="12" customHeight="1">
      <c r="A22" s="160"/>
      <c r="B22" s="920" t="s">
        <v>439</v>
      </c>
      <c r="C22" s="921">
        <f>'Quarterly Model'!AK58</f>
        <v>287</v>
      </c>
      <c r="D22" s="921">
        <f>'Quarterly Model'!AP58</f>
        <v>320</v>
      </c>
      <c r="E22" s="921">
        <f>'Quarterly Model'!AU58</f>
        <v>652</v>
      </c>
      <c r="F22" s="921">
        <f>'Quarterly Model'!AZ58</f>
        <v>751</v>
      </c>
      <c r="G22" s="921">
        <f>'Quarterly Model'!BE58</f>
        <v>887</v>
      </c>
      <c r="H22" s="921">
        <f>'Quarterly Model'!BJ58</f>
        <v>914</v>
      </c>
      <c r="I22" s="921">
        <f>'Quarterly Model'!BO58</f>
        <v>1016.5464111581402</v>
      </c>
      <c r="J22" s="921">
        <f>'Quarterly Model'!BT58</f>
        <v>1081.3775344994951</v>
      </c>
      <c r="K22" s="921">
        <f>'Quarterly Model'!BY58</f>
        <v>1154.1651786471689</v>
      </c>
      <c r="L22" s="921">
        <f>'Quarterly Model'!CD58</f>
        <v>1202.0098753166774</v>
      </c>
      <c r="M22" s="922">
        <f>M23*M9</f>
        <v>1352.723124797669</v>
      </c>
      <c r="N22" s="922">
        <f>N23*N9</f>
        <v>1512.8756198292624</v>
      </c>
      <c r="O22" s="922">
        <f>O23*O9</f>
        <v>1655.8616960688089</v>
      </c>
      <c r="P22" s="922">
        <f>P23*P9</f>
        <v>1758.7128055035555</v>
      </c>
      <c r="Q22" s="160"/>
      <c r="R22" s="160"/>
      <c r="S22" s="160"/>
      <c r="T22" s="160"/>
      <c r="U22" s="160"/>
      <c r="V22" s="160"/>
      <c r="W22" s="160"/>
    </row>
    <row r="23" spans="1:23" ht="12" customHeight="1">
      <c r="A23" s="370"/>
      <c r="B23" s="911" t="s">
        <v>438</v>
      </c>
      <c r="C23" s="912">
        <f t="shared" ref="C23:I23" si="11">C22/C9</f>
        <v>5.0688802543270926E-2</v>
      </c>
      <c r="D23" s="912">
        <f t="shared" si="11"/>
        <v>4.7569496060651105E-2</v>
      </c>
      <c r="E23" s="912">
        <f t="shared" si="11"/>
        <v>8.1377933100349478E-2</v>
      </c>
      <c r="F23" s="912">
        <f t="shared" si="11"/>
        <v>8.1206747404844293E-2</v>
      </c>
      <c r="G23" s="912">
        <f t="shared" si="11"/>
        <v>8.1811473897804826E-2</v>
      </c>
      <c r="H23" s="912">
        <f t="shared" si="11"/>
        <v>7.0011489850631936E-2</v>
      </c>
      <c r="I23" s="912">
        <f t="shared" si="11"/>
        <v>6.5970065657553922E-2</v>
      </c>
      <c r="J23" s="912">
        <f>J22/J9</f>
        <v>6.0906342045491023E-2</v>
      </c>
      <c r="K23" s="912">
        <f>K22/K9</f>
        <v>5.5907966362331848E-2</v>
      </c>
      <c r="L23" s="912">
        <f>L22/L9</f>
        <v>5.0397000009836226E-2</v>
      </c>
      <c r="M23" s="913">
        <f>L23-0.00075</f>
        <v>4.9647000009836226E-2</v>
      </c>
      <c r="N23" s="913">
        <f>M23-0.00075</f>
        <v>4.8897000009836225E-2</v>
      </c>
      <c r="O23" s="913">
        <f>N23-0.00075</f>
        <v>4.8147000009836224E-2</v>
      </c>
      <c r="P23" s="913">
        <f>O23-0.00075</f>
        <v>4.7397000009836224E-2</v>
      </c>
      <c r="Q23" s="370"/>
      <c r="R23" s="370"/>
      <c r="S23" s="370"/>
      <c r="T23" s="370"/>
      <c r="U23" s="370"/>
      <c r="V23" s="370"/>
      <c r="W23" s="370"/>
    </row>
    <row r="24" spans="1:23" ht="2.25" customHeight="1">
      <c r="A24" s="160"/>
      <c r="B24" s="911"/>
      <c r="C24" s="915"/>
      <c r="D24" s="915"/>
      <c r="E24" s="915"/>
      <c r="F24" s="915"/>
      <c r="G24" s="915"/>
      <c r="H24" s="915"/>
      <c r="I24" s="915"/>
      <c r="J24" s="915"/>
      <c r="K24" s="915"/>
      <c r="L24" s="915"/>
      <c r="M24" s="916"/>
      <c r="N24" s="923"/>
      <c r="O24" s="916"/>
      <c r="P24" s="916"/>
      <c r="Q24" s="160"/>
      <c r="R24" s="160"/>
      <c r="S24" s="160"/>
      <c r="T24" s="160"/>
      <c r="U24" s="160"/>
      <c r="V24" s="160"/>
      <c r="W24" s="160"/>
    </row>
    <row r="25" spans="1:23" ht="12" customHeight="1">
      <c r="A25" s="160"/>
      <c r="B25" s="920" t="s">
        <v>440</v>
      </c>
      <c r="C25" s="921">
        <f>'Quarterly Model'!AK51</f>
        <v>617</v>
      </c>
      <c r="D25" s="921">
        <f>'Quarterly Model'!AP51</f>
        <v>640</v>
      </c>
      <c r="E25" s="921">
        <f>'Quarterly Model'!AU51</f>
        <v>639</v>
      </c>
      <c r="F25" s="921">
        <f>'Quarterly Model'!AZ51</f>
        <v>660</v>
      </c>
      <c r="G25" s="921">
        <f>'Quarterly Model'!BE51</f>
        <v>695</v>
      </c>
      <c r="H25" s="921">
        <f>'Quarterly Model'!BJ51</f>
        <v>713</v>
      </c>
      <c r="I25" s="921">
        <f>'Quarterly Model'!BO51</f>
        <v>772.19389711986014</v>
      </c>
      <c r="J25" s="921">
        <f>'Quarterly Model'!BT51</f>
        <v>801.96594684193383</v>
      </c>
      <c r="K25" s="921">
        <f>'Quarterly Model'!BY51</f>
        <v>850.11061182959384</v>
      </c>
      <c r="L25" s="921">
        <f>'Quarterly Model'!CD51</f>
        <v>874.64862850242014</v>
      </c>
      <c r="M25" s="922">
        <f>M26*M9</f>
        <v>971.93878824468925</v>
      </c>
      <c r="N25" s="922">
        <f>N26*N9</f>
        <v>1103.6821543762935</v>
      </c>
      <c r="O25" s="922">
        <f>O26*O9</f>
        <v>1226.8115015795217</v>
      </c>
      <c r="P25" s="922">
        <f>P26*P9</f>
        <v>1323.6314652841779</v>
      </c>
      <c r="Q25" s="160"/>
      <c r="R25" s="160"/>
      <c r="S25" s="160"/>
      <c r="T25" s="160"/>
      <c r="U25" s="160"/>
      <c r="V25" s="160"/>
      <c r="W25" s="160"/>
    </row>
    <row r="26" spans="1:23" ht="12" customHeight="1">
      <c r="A26" s="370"/>
      <c r="B26" s="911" t="s">
        <v>438</v>
      </c>
      <c r="C26" s="912">
        <f t="shared" ref="C26:I26" si="12">C25/C9</f>
        <v>0.10897209466619569</v>
      </c>
      <c r="D26" s="912">
        <f t="shared" si="12"/>
        <v>9.513899212130221E-2</v>
      </c>
      <c r="E26" s="912">
        <f t="shared" si="12"/>
        <v>7.9755366949575635E-2</v>
      </c>
      <c r="F26" s="912">
        <f t="shared" si="12"/>
        <v>7.1366782006920412E-2</v>
      </c>
      <c r="G26" s="912">
        <f t="shared" si="12"/>
        <v>6.4102564102564097E-2</v>
      </c>
      <c r="H26" s="912">
        <f t="shared" si="12"/>
        <v>5.4615090003829948E-2</v>
      </c>
      <c r="I26" s="912">
        <f t="shared" si="12"/>
        <v>5.011250006315237E-2</v>
      </c>
      <c r="J26" s="912">
        <f>J25/J9</f>
        <v>4.5169065112674302E-2</v>
      </c>
      <c r="K26" s="912">
        <f>K25/K9</f>
        <v>4.1179509111632706E-2</v>
      </c>
      <c r="L26" s="912">
        <f>L25/L9</f>
        <v>3.6671634605020723E-2</v>
      </c>
      <c r="M26" s="913">
        <f>L26-0.001</f>
        <v>3.5671634605020722E-2</v>
      </c>
      <c r="N26" s="913">
        <f>M26</f>
        <v>3.5671634605020722E-2</v>
      </c>
      <c r="O26" s="913">
        <f>N26</f>
        <v>3.5671634605020722E-2</v>
      </c>
      <c r="P26" s="913">
        <f>O26</f>
        <v>3.5671634605020722E-2</v>
      </c>
      <c r="Q26" s="370"/>
      <c r="R26" s="370"/>
      <c r="S26" s="370"/>
      <c r="T26" s="370"/>
      <c r="U26" s="370"/>
      <c r="V26" s="370"/>
      <c r="W26" s="370"/>
    </row>
    <row r="27" spans="1:23" ht="2.25" customHeight="1">
      <c r="A27" s="160"/>
      <c r="B27" s="911"/>
      <c r="C27" s="915"/>
      <c r="D27" s="915"/>
      <c r="E27" s="915"/>
      <c r="F27" s="915"/>
      <c r="G27" s="915"/>
      <c r="H27" s="915"/>
      <c r="I27" s="915"/>
      <c r="J27" s="915"/>
      <c r="K27" s="915"/>
      <c r="L27" s="915"/>
      <c r="M27" s="915"/>
      <c r="N27" s="915"/>
      <c r="O27" s="915"/>
      <c r="P27" s="915"/>
      <c r="Q27" s="160"/>
      <c r="R27" s="160"/>
      <c r="S27" s="160"/>
      <c r="T27" s="160"/>
      <c r="U27" s="160"/>
      <c r="V27" s="160"/>
      <c r="W27" s="160"/>
    </row>
    <row r="28" spans="1:23" ht="12" customHeight="1">
      <c r="A28" s="160"/>
      <c r="B28" s="920" t="s">
        <v>441</v>
      </c>
      <c r="C28" s="921">
        <f>'Quarterly Model'!AK72</f>
        <v>324</v>
      </c>
      <c r="D28" s="921">
        <f>'Quarterly Model'!AP72</f>
        <v>398</v>
      </c>
      <c r="E28" s="921">
        <f>'Quarterly Model'!AU72</f>
        <v>458</v>
      </c>
      <c r="F28" s="921">
        <f>'Quarterly Model'!AZ72</f>
        <v>524</v>
      </c>
      <c r="G28" s="921">
        <f>'Quarterly Model'!BE72</f>
        <v>585</v>
      </c>
      <c r="H28" s="921">
        <f>'Quarterly Model'!BJ72</f>
        <v>663</v>
      </c>
      <c r="I28" s="921">
        <f>'Quarterly Model'!BO72</f>
        <v>489</v>
      </c>
      <c r="J28" s="921">
        <f>'Quarterly Model'!BT72</f>
        <v>519</v>
      </c>
      <c r="K28" s="921">
        <f>'Quarterly Model'!BY72</f>
        <v>557</v>
      </c>
      <c r="L28" s="921">
        <f>'Quarterly Model'!CD72</f>
        <v>595</v>
      </c>
      <c r="M28" s="922">
        <f>M29*M9</f>
        <v>826.53371910559383</v>
      </c>
      <c r="N28" s="922">
        <f>N29*N9</f>
        <v>1105.282684940081</v>
      </c>
      <c r="O28" s="922">
        <f>O29*O9</f>
        <v>1413.9045012042056</v>
      </c>
      <c r="P28" s="922">
        <f>P29*P9</f>
        <v>1725.4287283782435</v>
      </c>
      <c r="Q28" s="160"/>
      <c r="R28" s="160"/>
      <c r="S28" s="160"/>
      <c r="T28" s="160"/>
      <c r="U28" s="160"/>
      <c r="V28" s="160"/>
      <c r="W28" s="160"/>
    </row>
    <row r="29" spans="1:23" ht="12" customHeight="1">
      <c r="A29" s="370"/>
      <c r="B29" s="911" t="s">
        <v>438</v>
      </c>
      <c r="C29" s="912">
        <f t="shared" ref="C29:I29" si="13">C28/C9</f>
        <v>5.7223595902507945E-2</v>
      </c>
      <c r="D29" s="912">
        <f t="shared" si="13"/>
        <v>5.9164560725434814E-2</v>
      </c>
      <c r="E29" s="912">
        <f t="shared" si="13"/>
        <v>5.7164253619570643E-2</v>
      </c>
      <c r="F29" s="912">
        <f t="shared" si="13"/>
        <v>5.6660899653979239E-2</v>
      </c>
      <c r="G29" s="912">
        <f t="shared" si="13"/>
        <v>5.3956834532374098E-2</v>
      </c>
      <c r="H29" s="912">
        <f t="shared" si="13"/>
        <v>5.0785139793182686E-2</v>
      </c>
      <c r="I29" s="912">
        <f t="shared" si="13"/>
        <v>3.1734273765022816E-2</v>
      </c>
      <c r="J29" s="912">
        <f>J28/J9</f>
        <v>2.9231596286342677E-2</v>
      </c>
      <c r="K29" s="912">
        <f>K28/K9</f>
        <v>2.6981178985420282E-2</v>
      </c>
      <c r="L29" s="912">
        <f>L28/L9</f>
        <v>2.4946729325291517E-2</v>
      </c>
      <c r="M29" s="913">
        <f>L29-($L29-$P29)/4</f>
        <v>3.0335046993968634E-2</v>
      </c>
      <c r="N29" s="913">
        <f>M29-($L29-$P29)/4</f>
        <v>3.5723364662645751E-2</v>
      </c>
      <c r="O29" s="913">
        <f>N29-($L29-$P29)/4</f>
        <v>4.1111682331322869E-2</v>
      </c>
      <c r="P29" s="924">
        <f>-P62</f>
        <v>4.6499999999999986E-2</v>
      </c>
      <c r="Q29" s="370"/>
      <c r="R29" s="370"/>
      <c r="S29" s="370"/>
      <c r="T29" s="370"/>
      <c r="U29" s="370"/>
      <c r="V29" s="370"/>
      <c r="W29" s="370"/>
    </row>
    <row r="30" spans="1:23" ht="2.25" customHeight="1">
      <c r="A30" s="160"/>
      <c r="B30" s="911"/>
      <c r="C30" s="915"/>
      <c r="D30" s="915"/>
      <c r="E30" s="915"/>
      <c r="F30" s="915"/>
      <c r="G30" s="915"/>
      <c r="H30" s="915"/>
      <c r="I30" s="915"/>
      <c r="J30" s="915"/>
      <c r="K30" s="915"/>
      <c r="L30" s="915"/>
      <c r="M30" s="915"/>
      <c r="N30" s="915"/>
      <c r="O30" s="915"/>
      <c r="P30" s="915"/>
      <c r="Q30" s="160"/>
      <c r="R30" s="160"/>
      <c r="S30" s="160"/>
      <c r="T30" s="160"/>
      <c r="U30" s="160"/>
      <c r="V30" s="160"/>
      <c r="W30" s="160"/>
    </row>
    <row r="31" spans="1:23" ht="12" customHeight="1">
      <c r="A31" s="160"/>
      <c r="B31" s="920" t="s">
        <v>442</v>
      </c>
      <c r="C31" s="921">
        <f>+'Quarterly Model'!AK80</f>
        <v>210</v>
      </c>
      <c r="D31" s="921">
        <f>+'Quarterly Model'!AP80</f>
        <v>269</v>
      </c>
      <c r="E31" s="921">
        <f>+'Quarterly Model'!AU80</f>
        <v>309</v>
      </c>
      <c r="F31" s="921">
        <f>+'Quarterly Model'!AZ80</f>
        <v>355</v>
      </c>
      <c r="G31" s="921">
        <f>+'Quarterly Model'!BE80</f>
        <v>453</v>
      </c>
      <c r="H31" s="921">
        <f>+'Quarterly Model'!BJ80</f>
        <v>759</v>
      </c>
      <c r="I31" s="921">
        <f>+'Quarterly Model'!BO80</f>
        <v>1007.7663329224981</v>
      </c>
      <c r="J31" s="921">
        <f>+'Quarterly Model'!BT80</f>
        <v>1065.2856482746702</v>
      </c>
      <c r="K31" s="921">
        <f>+'Quarterly Model'!BY80</f>
        <v>1269.6072331943137</v>
      </c>
      <c r="L31" s="921">
        <f>+'Quarterly Model'!CD80</f>
        <v>1383.3476745592072</v>
      </c>
      <c r="M31" s="922">
        <f>M32*M9</f>
        <v>1580.3158543863769</v>
      </c>
      <c r="N31" s="922">
        <f>N32*N9</f>
        <v>1794.5228936835772</v>
      </c>
      <c r="O31" s="922">
        <f>O32*O9</f>
        <v>1994.7240399686452</v>
      </c>
      <c r="P31" s="922">
        <f>P32*P9</f>
        <v>2152.147661202971</v>
      </c>
      <c r="Q31" s="160"/>
      <c r="R31" s="160"/>
      <c r="S31" s="160"/>
      <c r="T31" s="160"/>
      <c r="U31" s="160"/>
      <c r="V31" s="160"/>
      <c r="W31" s="160"/>
    </row>
    <row r="32" spans="1:23" ht="12" customHeight="1">
      <c r="A32" s="370"/>
      <c r="B32" s="911" t="s">
        <v>438</v>
      </c>
      <c r="C32" s="912">
        <f t="shared" ref="C32:I32" si="14">C31/C9</f>
        <v>3.7089367714588484E-2</v>
      </c>
      <c r="D32" s="912">
        <f t="shared" si="14"/>
        <v>3.9988107625984835E-2</v>
      </c>
      <c r="E32" s="912">
        <f t="shared" si="14"/>
        <v>3.8567149276085871E-2</v>
      </c>
      <c r="F32" s="912">
        <f t="shared" si="14"/>
        <v>3.838667820069204E-2</v>
      </c>
      <c r="G32" s="912">
        <f t="shared" si="14"/>
        <v>4.1781959048146099E-2</v>
      </c>
      <c r="H32" s="912">
        <f t="shared" si="14"/>
        <v>5.8138644197625433E-2</v>
      </c>
      <c r="I32" s="912">
        <f t="shared" si="14"/>
        <v>6.5400271370420621E-2</v>
      </c>
      <c r="J32" s="912">
        <f>J31/J9</f>
        <v>0.06</v>
      </c>
      <c r="K32" s="912">
        <f>K31/K9</f>
        <v>6.1500000000000013E-2</v>
      </c>
      <c r="L32" s="912">
        <f>L31/L9</f>
        <v>5.7999999999999996E-2</v>
      </c>
      <c r="M32" s="924">
        <f>L32</f>
        <v>5.7999999999999996E-2</v>
      </c>
      <c r="N32" s="913">
        <f>M32</f>
        <v>5.7999999999999996E-2</v>
      </c>
      <c r="O32" s="924">
        <f>N32</f>
        <v>5.7999999999999996E-2</v>
      </c>
      <c r="P32" s="924">
        <f>O32</f>
        <v>5.7999999999999996E-2</v>
      </c>
      <c r="Q32" s="370"/>
      <c r="R32" s="370"/>
      <c r="S32" s="370"/>
      <c r="T32" s="370"/>
      <c r="U32" s="370"/>
      <c r="V32" s="370"/>
      <c r="W32" s="370"/>
    </row>
    <row r="33" spans="1:23" ht="2.25" customHeight="1">
      <c r="A33" s="160"/>
      <c r="B33" s="925"/>
      <c r="C33" s="915"/>
      <c r="D33" s="915"/>
      <c r="E33" s="915"/>
      <c r="F33" s="915"/>
      <c r="G33" s="915"/>
      <c r="H33" s="915"/>
      <c r="I33" s="915"/>
      <c r="J33" s="915"/>
      <c r="K33" s="915"/>
      <c r="L33" s="915"/>
      <c r="M33" s="915"/>
      <c r="N33" s="915"/>
      <c r="O33" s="915"/>
      <c r="P33" s="915"/>
      <c r="Q33" s="160"/>
      <c r="R33" s="160"/>
      <c r="S33" s="160"/>
      <c r="T33" s="160"/>
      <c r="U33" s="160"/>
      <c r="V33" s="160"/>
      <c r="W33" s="160"/>
    </row>
    <row r="34" spans="1:23" ht="12" customHeight="1">
      <c r="A34" s="370"/>
      <c r="B34" s="926" t="s">
        <v>443</v>
      </c>
      <c r="C34" s="927">
        <f>C9-C13-C22-C25-C28-C19-C16-C31</f>
        <v>957</v>
      </c>
      <c r="D34" s="927">
        <f t="shared" ref="D34:P34" si="15">D9-D13-D22-D25-D28-D19-D16-D31</f>
        <v>1142</v>
      </c>
      <c r="E34" s="927">
        <f t="shared" si="15"/>
        <v>1308</v>
      </c>
      <c r="F34" s="927">
        <f t="shared" si="15"/>
        <v>1604</v>
      </c>
      <c r="G34" s="927">
        <f t="shared" si="15"/>
        <v>1721</v>
      </c>
      <c r="H34" s="927">
        <f t="shared" si="15"/>
        <v>2366</v>
      </c>
      <c r="I34" s="927">
        <f t="shared" si="15"/>
        <v>2695.2117000097087</v>
      </c>
      <c r="J34" s="927">
        <f>J9-J13-J22-J25-J28-J19-J16-J31</f>
        <v>3020.2248723553266</v>
      </c>
      <c r="K34" s="927">
        <f>K9-K13-K22-K25-K28-K19-K16-K31</f>
        <v>3631.6089567738532</v>
      </c>
      <c r="L34" s="927">
        <f>L9-L13-L22-L25-L28-L19-L16-L31</f>
        <v>4614.9696653296996</v>
      </c>
      <c r="M34" s="927">
        <f t="shared" si="15"/>
        <v>4961.7996185725042</v>
      </c>
      <c r="N34" s="927">
        <f t="shared" si="15"/>
        <v>5378.1863412519961</v>
      </c>
      <c r="O34" s="927">
        <f t="shared" si="15"/>
        <v>5831.9160689380124</v>
      </c>
      <c r="P34" s="928">
        <f t="shared" si="15"/>
        <v>6134.2536545073763</v>
      </c>
      <c r="Q34" s="408"/>
      <c r="R34" s="370"/>
      <c r="S34" s="370"/>
      <c r="T34" s="370"/>
      <c r="U34" s="370"/>
      <c r="V34" s="370"/>
      <c r="W34" s="370"/>
    </row>
    <row r="35" spans="1:23" ht="12" customHeight="1">
      <c r="A35" s="370"/>
      <c r="B35" s="911" t="s">
        <v>28</v>
      </c>
      <c r="C35" s="929">
        <f t="shared" ref="C35:P35" si="16">C34/C9</f>
        <v>0.16902154715648182</v>
      </c>
      <c r="D35" s="929">
        <f t="shared" si="16"/>
        <v>0.16976363906644865</v>
      </c>
      <c r="E35" s="929">
        <f t="shared" si="16"/>
        <v>0.16325511732401399</v>
      </c>
      <c r="F35" s="929">
        <f t="shared" si="16"/>
        <v>0.17344290657439446</v>
      </c>
      <c r="G35" s="929">
        <f t="shared" si="16"/>
        <v>0.15873455082088175</v>
      </c>
      <c r="H35" s="929">
        <f t="shared" si="16"/>
        <v>0.18123324396782842</v>
      </c>
      <c r="I35" s="929">
        <f t="shared" si="16"/>
        <v>0.1749091737071588</v>
      </c>
      <c r="J35" s="929">
        <f>J34/J9</f>
        <v>0.17010788856004191</v>
      </c>
      <c r="K35" s="929">
        <f>K34/K9</f>
        <v>0.17591578324554893</v>
      </c>
      <c r="L35" s="929">
        <f>L34/L9</f>
        <v>0.19349310770657344</v>
      </c>
      <c r="M35" s="929">
        <f t="shared" si="16"/>
        <v>0.1821056069762392</v>
      </c>
      <c r="N35" s="929">
        <f t="shared" si="16"/>
        <v>0.17382603971817495</v>
      </c>
      <c r="O35" s="929">
        <f t="shared" si="16"/>
        <v>0.16957289590981298</v>
      </c>
      <c r="P35" s="930">
        <f t="shared" si="16"/>
        <v>0.16531705438954694</v>
      </c>
      <c r="Q35" s="370"/>
      <c r="R35" s="370"/>
      <c r="S35" s="370"/>
      <c r="T35" s="370"/>
      <c r="U35" s="370"/>
      <c r="V35" s="370"/>
      <c r="W35" s="370"/>
    </row>
    <row r="36" spans="1:23" ht="12" customHeight="1">
      <c r="A36" s="370"/>
      <c r="B36" s="911" t="s">
        <v>444</v>
      </c>
      <c r="C36" s="929">
        <f>(C34+C31)/C9</f>
        <v>0.20611091487107031</v>
      </c>
      <c r="D36" s="929">
        <f t="shared" ref="D36:P36" si="17">(D34+D31)/D9</f>
        <v>0.20975174669243349</v>
      </c>
      <c r="E36" s="929">
        <f t="shared" si="17"/>
        <v>0.20182226660009986</v>
      </c>
      <c r="F36" s="929">
        <f t="shared" si="17"/>
        <v>0.21182958477508651</v>
      </c>
      <c r="G36" s="929">
        <f t="shared" si="17"/>
        <v>0.20051650986902786</v>
      </c>
      <c r="H36" s="929">
        <f t="shared" si="17"/>
        <v>0.23937188816545385</v>
      </c>
      <c r="I36" s="929">
        <f t="shared" si="17"/>
        <v>0.2403094450775794</v>
      </c>
      <c r="J36" s="929">
        <f t="shared" si="17"/>
        <v>0.23010788856004191</v>
      </c>
      <c r="K36" s="929">
        <f t="shared" si="17"/>
        <v>0.23741578324554896</v>
      </c>
      <c r="L36" s="929">
        <f t="shared" si="17"/>
        <v>0.2514931077065734</v>
      </c>
      <c r="M36" s="929">
        <f t="shared" si="17"/>
        <v>0.2401056069762392</v>
      </c>
      <c r="N36" s="929">
        <f t="shared" si="17"/>
        <v>0.23182603971817495</v>
      </c>
      <c r="O36" s="929">
        <f t="shared" si="17"/>
        <v>0.22757289590981297</v>
      </c>
      <c r="P36" s="930">
        <f t="shared" si="17"/>
        <v>0.22331705438954694</v>
      </c>
      <c r="Q36" s="370"/>
      <c r="R36" s="370"/>
      <c r="S36" s="370"/>
      <c r="T36" s="370"/>
      <c r="U36" s="370"/>
      <c r="V36" s="370"/>
      <c r="W36" s="370"/>
    </row>
    <row r="37" spans="1:23" ht="12" customHeight="1">
      <c r="A37" s="370"/>
      <c r="B37" s="925" t="s">
        <v>445</v>
      </c>
      <c r="C37" s="931"/>
      <c r="D37" s="931">
        <f t="shared" ref="D37:P37" si="18">(D35-C35)*10000</f>
        <v>7.4209190996682439</v>
      </c>
      <c r="E37" s="931">
        <f t="shared" si="18"/>
        <v>-65.085217424346581</v>
      </c>
      <c r="F37" s="931">
        <f t="shared" si="18"/>
        <v>101.87789250380469</v>
      </c>
      <c r="G37" s="931">
        <f t="shared" si="18"/>
        <v>-147.08355753512703</v>
      </c>
      <c r="H37" s="931">
        <f t="shared" si="18"/>
        <v>224.98693146946664</v>
      </c>
      <c r="I37" s="931">
        <f t="shared" si="18"/>
        <v>-63.240702606696118</v>
      </c>
      <c r="J37" s="931">
        <f t="shared" si="18"/>
        <v>-48.012851471168908</v>
      </c>
      <c r="K37" s="931">
        <f t="shared" si="18"/>
        <v>58.0789468550702</v>
      </c>
      <c r="L37" s="931">
        <f t="shared" si="18"/>
        <v>175.77324461024503</v>
      </c>
      <c r="M37" s="931">
        <f t="shared" si="18"/>
        <v>-113.87500730334233</v>
      </c>
      <c r="N37" s="931">
        <f t="shared" si="18"/>
        <v>-82.795672580642517</v>
      </c>
      <c r="O37" s="931">
        <f t="shared" si="18"/>
        <v>-42.531438083619754</v>
      </c>
      <c r="P37" s="932">
        <f t="shared" si="18"/>
        <v>-42.558415202660349</v>
      </c>
      <c r="Q37" s="370"/>
      <c r="R37" s="370"/>
      <c r="S37" s="370"/>
      <c r="T37" s="370"/>
      <c r="U37" s="370"/>
      <c r="V37" s="370"/>
      <c r="W37" s="370"/>
    </row>
    <row r="38" spans="1:23" ht="6.75" customHeight="1">
      <c r="A38" s="160"/>
      <c r="B38" s="911"/>
      <c r="C38" s="915"/>
      <c r="D38" s="915"/>
      <c r="E38" s="915"/>
      <c r="F38" s="915"/>
      <c r="G38" s="915"/>
      <c r="H38" s="915"/>
      <c r="I38" s="915"/>
      <c r="J38" s="915"/>
      <c r="K38" s="915"/>
      <c r="L38" s="915"/>
      <c r="M38" s="916"/>
      <c r="N38" s="923"/>
      <c r="O38" s="916"/>
      <c r="P38" s="916"/>
      <c r="Q38" s="160"/>
      <c r="R38" s="160"/>
      <c r="S38" s="160"/>
      <c r="T38" s="160"/>
      <c r="U38" s="160"/>
      <c r="V38" s="160"/>
      <c r="W38" s="160"/>
    </row>
    <row r="39" spans="1:23">
      <c r="A39" s="160"/>
      <c r="B39" s="920" t="s">
        <v>446</v>
      </c>
      <c r="C39" s="921">
        <f>'Quarterly Model'!AK123</f>
        <v>0</v>
      </c>
      <c r="D39" s="921">
        <f>'Quarterly Model'!AP123</f>
        <v>0</v>
      </c>
      <c r="E39" s="921">
        <f>'Quarterly Model'!AU123</f>
        <v>70</v>
      </c>
      <c r="F39" s="921">
        <f>'Quarterly Model'!AZ123</f>
        <v>85</v>
      </c>
      <c r="G39" s="921">
        <f>'Quarterly Model'!BE123</f>
        <v>133</v>
      </c>
      <c r="H39" s="921">
        <f>'Quarterly Model'!BJ123</f>
        <v>129</v>
      </c>
      <c r="I39" s="921">
        <f>'Quarterly Model'!BO123</f>
        <v>74</v>
      </c>
      <c r="J39" s="921">
        <f>'Quarterly Model'!BT123</f>
        <v>60</v>
      </c>
      <c r="K39" s="921">
        <f>'Quarterly Model'!BY123</f>
        <v>60</v>
      </c>
      <c r="L39" s="921">
        <f>'Quarterly Model'!CD123</f>
        <v>60</v>
      </c>
      <c r="M39" s="922">
        <f>M40*M25</f>
        <v>66.431020605537896</v>
      </c>
      <c r="N39" s="922">
        <f>N40*N25</f>
        <v>75.159624195399758</v>
      </c>
      <c r="O39" s="922">
        <f>O40*O25</f>
        <v>83.237903741369919</v>
      </c>
      <c r="P39" s="922">
        <f>P40*P25</f>
        <v>89.476131238317819</v>
      </c>
      <c r="Q39" s="160"/>
      <c r="R39" s="160"/>
      <c r="S39" s="160"/>
      <c r="T39" s="160"/>
      <c r="U39" s="160"/>
      <c r="V39" s="160"/>
      <c r="W39" s="160"/>
    </row>
    <row r="40" spans="1:23">
      <c r="A40" s="160"/>
      <c r="B40" s="911" t="s">
        <v>438</v>
      </c>
      <c r="C40" s="912">
        <f t="shared" ref="C40:I40" si="19">C39/C25</f>
        <v>0</v>
      </c>
      <c r="D40" s="912">
        <f t="shared" si="19"/>
        <v>0</v>
      </c>
      <c r="E40" s="912">
        <f t="shared" si="19"/>
        <v>0.10954616588419405</v>
      </c>
      <c r="F40" s="912">
        <f t="shared" si="19"/>
        <v>0.12878787878787878</v>
      </c>
      <c r="G40" s="912">
        <f t="shared" si="19"/>
        <v>0.19136690647482013</v>
      </c>
      <c r="H40" s="912">
        <f t="shared" si="19"/>
        <v>0.18092566619915848</v>
      </c>
      <c r="I40" s="912">
        <f t="shared" si="19"/>
        <v>9.5830853204106198E-2</v>
      </c>
      <c r="J40" s="912">
        <f>J39/J25</f>
        <v>7.4816144296742687E-2</v>
      </c>
      <c r="K40" s="912">
        <f>K39/K25</f>
        <v>7.0579050731844187E-2</v>
      </c>
      <c r="L40" s="912">
        <f>L39/L25</f>
        <v>6.8598975685507504E-2</v>
      </c>
      <c r="M40" s="924">
        <f>L40-0.00025</f>
        <v>6.8348975685507504E-2</v>
      </c>
      <c r="N40" s="913">
        <f>M40-0.00025</f>
        <v>6.8098975685507504E-2</v>
      </c>
      <c r="O40" s="924">
        <f>N40-0.00025</f>
        <v>6.7848975685507504E-2</v>
      </c>
      <c r="P40" s="924">
        <f>O40-0.00025</f>
        <v>6.7598975685507504E-2</v>
      </c>
      <c r="Q40" s="160"/>
      <c r="R40" s="160"/>
      <c r="S40" s="160"/>
      <c r="T40" s="160"/>
      <c r="U40" s="160"/>
      <c r="V40" s="160"/>
      <c r="W40" s="160"/>
    </row>
    <row r="41" spans="1:23" ht="5.25" customHeight="1">
      <c r="A41" s="160"/>
      <c r="B41" s="911"/>
      <c r="C41" s="915"/>
      <c r="D41" s="915"/>
      <c r="E41" s="915"/>
      <c r="F41" s="915"/>
      <c r="G41" s="915"/>
      <c r="H41" s="915"/>
      <c r="I41" s="915"/>
      <c r="J41" s="915"/>
      <c r="K41" s="915"/>
      <c r="L41" s="915"/>
      <c r="M41" s="915"/>
      <c r="N41" s="915"/>
      <c r="O41" s="915"/>
      <c r="P41" s="915"/>
      <c r="Q41" s="160"/>
      <c r="R41" s="160"/>
      <c r="S41" s="160"/>
      <c r="T41" s="160"/>
      <c r="U41" s="160"/>
      <c r="V41" s="160"/>
      <c r="W41" s="160"/>
    </row>
    <row r="42" spans="1:23">
      <c r="A42" s="370"/>
      <c r="B42" s="933" t="s">
        <v>447</v>
      </c>
      <c r="C42" s="927">
        <f t="shared" ref="C42:P42" si="20">C34+C28+C39</f>
        <v>1281</v>
      </c>
      <c r="D42" s="927">
        <f t="shared" si="20"/>
        <v>1540</v>
      </c>
      <c r="E42" s="927">
        <f t="shared" si="20"/>
        <v>1836</v>
      </c>
      <c r="F42" s="927">
        <f t="shared" si="20"/>
        <v>2213</v>
      </c>
      <c r="G42" s="927">
        <f t="shared" si="20"/>
        <v>2439</v>
      </c>
      <c r="H42" s="927">
        <f t="shared" si="20"/>
        <v>3158</v>
      </c>
      <c r="I42" s="927">
        <f t="shared" si="20"/>
        <v>3258.2117000097087</v>
      </c>
      <c r="J42" s="927">
        <f t="shared" si="20"/>
        <v>3599.2248723553266</v>
      </c>
      <c r="K42" s="927">
        <f t="shared" si="20"/>
        <v>4248.6089567738527</v>
      </c>
      <c r="L42" s="927">
        <f t="shared" si="20"/>
        <v>5269.9696653296996</v>
      </c>
      <c r="M42" s="927">
        <f t="shared" si="20"/>
        <v>5854.7643582836363</v>
      </c>
      <c r="N42" s="927">
        <f t="shared" si="20"/>
        <v>6558.6286503874762</v>
      </c>
      <c r="O42" s="927">
        <f t="shared" si="20"/>
        <v>7329.0584738835878</v>
      </c>
      <c r="P42" s="928">
        <f t="shared" si="20"/>
        <v>7949.1585141239375</v>
      </c>
      <c r="Q42" s="370"/>
      <c r="R42" s="370"/>
      <c r="S42" s="370"/>
      <c r="T42" s="370"/>
      <c r="U42" s="370"/>
      <c r="V42" s="370"/>
      <c r="W42" s="370"/>
    </row>
    <row r="43" spans="1:23">
      <c r="A43" s="370"/>
      <c r="B43" s="911" t="s">
        <v>448</v>
      </c>
      <c r="C43" s="934">
        <f t="shared" ref="C43:P43" si="21">C42/C9</f>
        <v>0.22624514305898977</v>
      </c>
      <c r="D43" s="934">
        <f t="shared" si="21"/>
        <v>0.22892819979188345</v>
      </c>
      <c r="E43" s="934">
        <f t="shared" si="21"/>
        <v>0.2291562656015976</v>
      </c>
      <c r="F43" s="934">
        <f t="shared" si="21"/>
        <v>0.23929498269896193</v>
      </c>
      <c r="G43" s="934">
        <f t="shared" si="21"/>
        <v>0.22495849474266741</v>
      </c>
      <c r="H43" s="934">
        <f t="shared" si="21"/>
        <v>0.24189965530448104</v>
      </c>
      <c r="I43" s="934">
        <f t="shared" si="21"/>
        <v>0.21144577110942434</v>
      </c>
      <c r="J43" s="934">
        <f t="shared" si="21"/>
        <v>0.20271886013960339</v>
      </c>
      <c r="K43" s="934">
        <f t="shared" si="21"/>
        <v>0.20580337289367157</v>
      </c>
      <c r="L43" s="934">
        <f t="shared" si="21"/>
        <v>0.22095547360248258</v>
      </c>
      <c r="M43" s="934">
        <f t="shared" si="21"/>
        <v>0.21487877365648872</v>
      </c>
      <c r="N43" s="934">
        <f t="shared" si="21"/>
        <v>0.21197860615845029</v>
      </c>
      <c r="O43" s="934">
        <f t="shared" si="21"/>
        <v>0.2131048621101142</v>
      </c>
      <c r="P43" s="935">
        <f t="shared" si="21"/>
        <v>0.21422842034987405</v>
      </c>
      <c r="Q43" s="370"/>
      <c r="R43" s="370"/>
      <c r="S43" s="370"/>
      <c r="T43" s="370"/>
      <c r="U43" s="370"/>
      <c r="V43" s="370"/>
      <c r="W43" s="370"/>
    </row>
    <row r="44" spans="1:23">
      <c r="A44" s="370"/>
      <c r="B44" s="925" t="s">
        <v>445</v>
      </c>
      <c r="C44" s="931"/>
      <c r="D44" s="931">
        <f t="shared" ref="D44:L44" si="22">(D43-C43)*10000</f>
        <v>26.830567328936795</v>
      </c>
      <c r="E44" s="931">
        <f t="shared" si="22"/>
        <v>2.2806580971415635</v>
      </c>
      <c r="F44" s="931">
        <f t="shared" si="22"/>
        <v>101.38717097364331</v>
      </c>
      <c r="G44" s="931">
        <f t="shared" si="22"/>
        <v>-143.36487956294525</v>
      </c>
      <c r="H44" s="931">
        <f t="shared" si="22"/>
        <v>169.41160561813635</v>
      </c>
      <c r="I44" s="931">
        <f t="shared" si="22"/>
        <v>-304.53884195056708</v>
      </c>
      <c r="J44" s="931">
        <f t="shared" si="22"/>
        <v>-87.269109698209505</v>
      </c>
      <c r="K44" s="931">
        <f t="shared" si="22"/>
        <v>30.845127540681805</v>
      </c>
      <c r="L44" s="931">
        <f t="shared" si="22"/>
        <v>151.52100708811011</v>
      </c>
      <c r="M44" s="931">
        <f>(M43-L43)*10000</f>
        <v>-60.766999459938575</v>
      </c>
      <c r="N44" s="931">
        <f>(N43-M43)*10000</f>
        <v>-29.001674980384252</v>
      </c>
      <c r="O44" s="931">
        <f>(O43-N43)*10000</f>
        <v>11.262559516639071</v>
      </c>
      <c r="P44" s="932">
        <f>(P43-O43)*10000</f>
        <v>11.235582397598476</v>
      </c>
      <c r="Q44" s="370"/>
      <c r="R44" s="370"/>
      <c r="S44" s="370"/>
      <c r="T44" s="370"/>
      <c r="U44" s="370"/>
      <c r="V44" s="370"/>
      <c r="W44" s="370"/>
    </row>
    <row r="45" spans="1:23" ht="6" customHeight="1">
      <c r="A45" s="160"/>
      <c r="B45" s="936"/>
      <c r="C45" s="254"/>
      <c r="D45" s="254"/>
      <c r="E45" s="254"/>
      <c r="F45" s="254"/>
      <c r="G45" s="254"/>
      <c r="H45" s="254"/>
      <c r="I45" s="254"/>
      <c r="J45" s="254"/>
      <c r="K45" s="254"/>
      <c r="L45" s="254"/>
      <c r="M45" s="160"/>
      <c r="N45" s="160"/>
      <c r="O45" s="160"/>
      <c r="P45" s="160"/>
      <c r="Q45" s="160"/>
      <c r="R45" s="160"/>
      <c r="S45" s="160"/>
      <c r="T45" s="160"/>
      <c r="U45" s="160"/>
      <c r="V45" s="160"/>
      <c r="W45" s="160"/>
    </row>
    <row r="46" spans="1:23" ht="12" customHeight="1">
      <c r="A46" s="160"/>
      <c r="B46" s="920" t="s">
        <v>449</v>
      </c>
      <c r="C46" s="921">
        <f>+'Quarterly Model'!AK96</f>
        <v>11</v>
      </c>
      <c r="D46" s="921">
        <f>+'Quarterly Model'!AP96</f>
        <v>0</v>
      </c>
      <c r="E46" s="921">
        <f>+'Quarterly Model'!AU96</f>
        <v>-7</v>
      </c>
      <c r="F46" s="921">
        <f>+'Quarterly Model'!AZ96</f>
        <v>15</v>
      </c>
      <c r="G46" s="921">
        <f>+'Quarterly Model'!BE96</f>
        <v>45</v>
      </c>
      <c r="H46" s="921">
        <f>+'Quarterly Model'!BJ96</f>
        <v>73</v>
      </c>
      <c r="I46" s="921">
        <f>+'Quarterly Model'!BO96</f>
        <v>23</v>
      </c>
      <c r="J46" s="921">
        <f>+'Quarterly Model'!BT96</f>
        <v>0</v>
      </c>
      <c r="K46" s="921">
        <f>+'Quarterly Model'!BY96</f>
        <v>0</v>
      </c>
      <c r="L46" s="921">
        <f>+'Quarterly Model'!CD96</f>
        <v>0</v>
      </c>
      <c r="M46" s="937">
        <f>M47*M9</f>
        <v>0</v>
      </c>
      <c r="N46" s="937">
        <f>N47*N9</f>
        <v>0</v>
      </c>
      <c r="O46" s="937">
        <f>O47*O9</f>
        <v>0</v>
      </c>
      <c r="P46" s="937">
        <f>P47*P9</f>
        <v>0</v>
      </c>
      <c r="Q46" s="160"/>
      <c r="R46" s="160"/>
      <c r="S46" s="160"/>
      <c r="T46" s="160"/>
      <c r="U46" s="160"/>
      <c r="V46" s="160"/>
      <c r="W46" s="160"/>
    </row>
    <row r="47" spans="1:23" ht="12" customHeight="1">
      <c r="A47" s="370"/>
      <c r="B47" s="911" t="s">
        <v>438</v>
      </c>
      <c r="C47" s="912">
        <f t="shared" ref="C47:I47" si="23">C46/C9</f>
        <v>1.942776404097492E-3</v>
      </c>
      <c r="D47" s="912">
        <f t="shared" si="23"/>
        <v>0</v>
      </c>
      <c r="E47" s="912">
        <f t="shared" si="23"/>
        <v>-8.7368946580129801E-4</v>
      </c>
      <c r="F47" s="912">
        <f t="shared" si="23"/>
        <v>1.6219723183391003E-3</v>
      </c>
      <c r="G47" s="912">
        <f t="shared" si="23"/>
        <v>4.1505257332595464E-3</v>
      </c>
      <c r="H47" s="912">
        <f t="shared" si="23"/>
        <v>5.5917273075450019E-3</v>
      </c>
      <c r="I47" s="912">
        <f t="shared" si="23"/>
        <v>1.492614103467331E-3</v>
      </c>
      <c r="J47" s="912">
        <f>J46/J9</f>
        <v>0</v>
      </c>
      <c r="K47" s="912">
        <f>K46/K9</f>
        <v>0</v>
      </c>
      <c r="L47" s="912">
        <f>L46/L9</f>
        <v>0</v>
      </c>
      <c r="M47" s="938">
        <v>0</v>
      </c>
      <c r="N47" s="938">
        <v>0</v>
      </c>
      <c r="O47" s="938">
        <v>0</v>
      </c>
      <c r="P47" s="938">
        <v>0</v>
      </c>
      <c r="Q47" s="370"/>
      <c r="R47" s="370"/>
      <c r="S47" s="370"/>
      <c r="T47" s="370"/>
      <c r="U47" s="370"/>
      <c r="V47" s="370"/>
      <c r="W47" s="370"/>
    </row>
    <row r="48" spans="1:23" ht="2.25" customHeight="1">
      <c r="A48" s="160"/>
      <c r="B48" s="920"/>
      <c r="C48" s="924"/>
      <c r="D48" s="924"/>
      <c r="E48" s="924"/>
      <c r="F48" s="924"/>
      <c r="G48" s="924"/>
      <c r="H48" s="924"/>
      <c r="I48" s="924"/>
      <c r="J48" s="924"/>
      <c r="K48" s="924"/>
      <c r="L48" s="924"/>
      <c r="M48" s="915"/>
      <c r="N48" s="938"/>
      <c r="O48" s="915"/>
      <c r="P48" s="915"/>
      <c r="Q48" s="160"/>
      <c r="R48" s="160"/>
      <c r="S48" s="160"/>
      <c r="T48" s="160"/>
      <c r="U48" s="160"/>
      <c r="V48" s="160"/>
      <c r="W48" s="160"/>
    </row>
    <row r="49" spans="1:23">
      <c r="A49" s="160"/>
      <c r="B49" s="920" t="s">
        <v>450</v>
      </c>
      <c r="C49" s="922">
        <f t="shared" ref="C49:P49" si="24">C34+C46</f>
        <v>968</v>
      </c>
      <c r="D49" s="922">
        <f t="shared" si="24"/>
        <v>1142</v>
      </c>
      <c r="E49" s="922">
        <f t="shared" si="24"/>
        <v>1301</v>
      </c>
      <c r="F49" s="922">
        <f t="shared" si="24"/>
        <v>1619</v>
      </c>
      <c r="G49" s="922">
        <f t="shared" si="24"/>
        <v>1766</v>
      </c>
      <c r="H49" s="922">
        <f t="shared" si="24"/>
        <v>2439</v>
      </c>
      <c r="I49" s="922">
        <f t="shared" si="24"/>
        <v>2718.2117000097087</v>
      </c>
      <c r="J49" s="922">
        <f t="shared" si="24"/>
        <v>3020.2248723553266</v>
      </c>
      <c r="K49" s="922">
        <f t="shared" si="24"/>
        <v>3631.6089567738532</v>
      </c>
      <c r="L49" s="922">
        <f t="shared" si="24"/>
        <v>4614.9696653296996</v>
      </c>
      <c r="M49" s="922">
        <f t="shared" si="24"/>
        <v>4961.7996185725042</v>
      </c>
      <c r="N49" s="922">
        <f t="shared" si="24"/>
        <v>5378.1863412519961</v>
      </c>
      <c r="O49" s="922">
        <f t="shared" si="24"/>
        <v>5831.9160689380124</v>
      </c>
      <c r="P49" s="922">
        <f t="shared" si="24"/>
        <v>6134.2536545073763</v>
      </c>
      <c r="Q49" s="160"/>
      <c r="R49" s="160"/>
      <c r="S49" s="160"/>
      <c r="T49" s="160"/>
      <c r="U49" s="160"/>
      <c r="V49" s="160"/>
      <c r="W49" s="160"/>
    </row>
    <row r="50" spans="1:23" ht="6" customHeight="1">
      <c r="A50" s="160"/>
      <c r="B50" s="939"/>
      <c r="C50" s="922"/>
      <c r="D50" s="922"/>
      <c r="E50" s="922"/>
      <c r="F50" s="922"/>
      <c r="G50" s="922"/>
      <c r="H50" s="922"/>
      <c r="I50" s="922"/>
      <c r="J50" s="922"/>
      <c r="K50" s="922"/>
      <c r="L50" s="922"/>
      <c r="M50" s="922"/>
      <c r="N50" s="922"/>
      <c r="O50" s="922"/>
      <c r="P50" s="922"/>
      <c r="Q50" s="160"/>
      <c r="R50" s="160"/>
      <c r="S50" s="160"/>
      <c r="T50" s="160"/>
      <c r="U50" s="160"/>
      <c r="V50" s="160"/>
      <c r="W50" s="160"/>
    </row>
    <row r="51" spans="1:23">
      <c r="A51" s="160"/>
      <c r="B51" s="920" t="s">
        <v>451</v>
      </c>
      <c r="C51" s="940">
        <f>+'Quarterly Model'!AK111</f>
        <v>0</v>
      </c>
      <c r="D51" s="940">
        <f>+'Quarterly Model'!AP111</f>
        <v>182.10489014883063</v>
      </c>
      <c r="E51" s="940">
        <f>+'Quarterly Model'!AU111</f>
        <v>238.34295222776706</v>
      </c>
      <c r="F51" s="940">
        <f>+'Quarterly Model'!AZ111</f>
        <v>326.17286005907232</v>
      </c>
      <c r="G51" s="940">
        <f>+'Quarterly Model'!BE111</f>
        <v>313.66613656476784</v>
      </c>
      <c r="H51" s="940">
        <f>+'Quarterly Model'!BJ111</f>
        <v>373.24165139812294</v>
      </c>
      <c r="I51" s="940">
        <f>+'Quarterly Model'!BO111</f>
        <v>440.40861915874558</v>
      </c>
      <c r="J51" s="940">
        <f>+'Quarterly Model'!BT111</f>
        <v>588.94385010928852</v>
      </c>
      <c r="K51" s="940">
        <f>+'Quarterly Model'!BY111</f>
        <v>726.32179135477065</v>
      </c>
      <c r="L51" s="940">
        <f>+'Quarterly Model'!CD111</f>
        <v>946.06878139258765</v>
      </c>
      <c r="M51" s="941">
        <f>M49*M52</f>
        <v>1041.9779199002251</v>
      </c>
      <c r="N51" s="941">
        <f>N49*N52</f>
        <v>1156.3100633691784</v>
      </c>
      <c r="O51" s="941">
        <f>O49*O52</f>
        <v>1283.0215351663617</v>
      </c>
      <c r="P51" s="941">
        <f>P49*P52</f>
        <v>1380.2070722641586</v>
      </c>
      <c r="Q51" s="160"/>
      <c r="R51" s="160"/>
      <c r="S51" s="160"/>
      <c r="T51" s="160"/>
      <c r="U51" s="160"/>
      <c r="V51" s="160"/>
      <c r="W51" s="160"/>
    </row>
    <row r="52" spans="1:23">
      <c r="A52" s="160"/>
      <c r="B52" s="920" t="s">
        <v>452</v>
      </c>
      <c r="C52" s="934">
        <f t="shared" ref="C52:I52" si="25">+C51/C49</f>
        <v>0</v>
      </c>
      <c r="D52" s="934">
        <f t="shared" si="25"/>
        <v>0.15946137491141035</v>
      </c>
      <c r="E52" s="934">
        <f t="shared" si="25"/>
        <v>0.18319980955247275</v>
      </c>
      <c r="F52" s="934">
        <f t="shared" si="25"/>
        <v>0.20146563314334301</v>
      </c>
      <c r="G52" s="934">
        <f t="shared" si="25"/>
        <v>0.17761389386453444</v>
      </c>
      <c r="H52" s="934">
        <f t="shared" si="25"/>
        <v>0.15303060737930421</v>
      </c>
      <c r="I52" s="934">
        <f t="shared" si="25"/>
        <v>0.16202145666475226</v>
      </c>
      <c r="J52" s="934">
        <f>+J51/J49</f>
        <v>0.19499999999999995</v>
      </c>
      <c r="K52" s="934">
        <f>+K51/K49</f>
        <v>0.2</v>
      </c>
      <c r="L52" s="934">
        <f>+L51/L49</f>
        <v>0.20499999999999982</v>
      </c>
      <c r="M52" s="942">
        <f>L52+0.005</f>
        <v>0.20999999999999983</v>
      </c>
      <c r="N52" s="942">
        <f t="shared" ref="N52:P52" si="26">M52+0.005</f>
        <v>0.21499999999999983</v>
      </c>
      <c r="O52" s="942">
        <f t="shared" si="26"/>
        <v>0.21999999999999983</v>
      </c>
      <c r="P52" s="942">
        <f t="shared" si="26"/>
        <v>0.22499999999999984</v>
      </c>
      <c r="Q52" s="160"/>
      <c r="R52" s="160"/>
      <c r="S52" s="160"/>
      <c r="T52" s="943"/>
      <c r="U52" s="636"/>
      <c r="V52" s="160"/>
      <c r="W52" s="160"/>
    </row>
    <row r="53" spans="1:23" ht="6" customHeight="1">
      <c r="A53" s="160"/>
      <c r="B53" s="944"/>
      <c r="C53" s="945"/>
      <c r="D53" s="945"/>
      <c r="E53" s="945"/>
      <c r="F53" s="945"/>
      <c r="G53" s="945"/>
      <c r="H53" s="945"/>
      <c r="I53" s="945"/>
      <c r="J53" s="945"/>
      <c r="K53" s="945"/>
      <c r="L53" s="945"/>
      <c r="M53" s="946"/>
      <c r="N53" s="946"/>
      <c r="O53" s="946"/>
      <c r="P53" s="946"/>
      <c r="Q53" s="160"/>
      <c r="R53" s="160"/>
      <c r="S53" s="160"/>
      <c r="T53" s="943"/>
      <c r="U53" s="636"/>
      <c r="V53" s="160"/>
      <c r="W53" s="160"/>
    </row>
    <row r="54" spans="1:23">
      <c r="A54" s="160"/>
      <c r="B54" s="926" t="s">
        <v>453</v>
      </c>
      <c r="C54" s="910">
        <f t="shared" ref="C54:O54" si="27">C49-C51</f>
        <v>968</v>
      </c>
      <c r="D54" s="910">
        <f t="shared" si="27"/>
        <v>959.89510985116931</v>
      </c>
      <c r="E54" s="910">
        <f t="shared" si="27"/>
        <v>1062.657047772233</v>
      </c>
      <c r="F54" s="910">
        <f t="shared" si="27"/>
        <v>1292.8271399409277</v>
      </c>
      <c r="G54" s="910">
        <f t="shared" si="27"/>
        <v>1452.3338634352322</v>
      </c>
      <c r="H54" s="910">
        <f t="shared" si="27"/>
        <v>2065.7583486018771</v>
      </c>
      <c r="I54" s="910">
        <f t="shared" si="27"/>
        <v>2277.8030808509629</v>
      </c>
      <c r="J54" s="910">
        <f t="shared" si="27"/>
        <v>2431.281022246038</v>
      </c>
      <c r="K54" s="910">
        <f t="shared" si="27"/>
        <v>2905.2871654190826</v>
      </c>
      <c r="L54" s="910">
        <f t="shared" si="27"/>
        <v>3668.9008839371118</v>
      </c>
      <c r="M54" s="910">
        <f t="shared" si="27"/>
        <v>3919.8216986722791</v>
      </c>
      <c r="N54" s="910">
        <f t="shared" si="27"/>
        <v>4221.8762778828177</v>
      </c>
      <c r="O54" s="910">
        <f t="shared" si="27"/>
        <v>4548.8945337716505</v>
      </c>
      <c r="P54" s="910">
        <f>P49-P51</f>
        <v>4754.0465822432179</v>
      </c>
      <c r="Q54" s="160"/>
      <c r="R54" s="160"/>
      <c r="S54" s="160"/>
      <c r="T54" s="160"/>
      <c r="U54" s="160"/>
      <c r="V54" s="160"/>
      <c r="W54" s="160"/>
    </row>
    <row r="55" spans="1:23">
      <c r="A55" s="160"/>
      <c r="B55" s="926"/>
      <c r="C55" s="910"/>
      <c r="D55" s="910"/>
      <c r="E55" s="910"/>
      <c r="F55" s="910"/>
      <c r="G55" s="910"/>
      <c r="H55" s="910"/>
      <c r="I55" s="910"/>
      <c r="J55" s="910"/>
      <c r="K55" s="910"/>
      <c r="L55" s="910"/>
      <c r="M55" s="408"/>
      <c r="N55" s="910"/>
      <c r="O55" s="910"/>
      <c r="P55" s="910"/>
      <c r="Q55" s="160"/>
      <c r="R55" s="160"/>
      <c r="S55" s="160"/>
      <c r="T55" s="160"/>
      <c r="U55" s="160"/>
      <c r="V55" s="160"/>
      <c r="W55" s="160"/>
    </row>
    <row r="56" spans="1:23" hidden="1">
      <c r="A56" s="160"/>
      <c r="B56" s="936" t="s">
        <v>213</v>
      </c>
      <c r="C56" s="947">
        <f>C54-'Quarterly Model'!AK137</f>
        <v>941</v>
      </c>
      <c r="D56" s="947">
        <f>D54-'Quarterly Model'!AP137</f>
        <v>-220.10489014883069</v>
      </c>
      <c r="E56" s="947">
        <f>E54-'Quarterly Model'!AU137</f>
        <v>643.657047772233</v>
      </c>
      <c r="F56" s="947">
        <f>F54-'Quarterly Model'!AZ137</f>
        <v>79.827139940927736</v>
      </c>
      <c r="G56" s="947">
        <f>G54-'Quarterly Model'!BE137</f>
        <v>50.333863435232161</v>
      </c>
      <c r="H56" s="947">
        <f>H54-'Quarterly Model'!BJ137</f>
        <v>270.75834860187706</v>
      </c>
      <c r="I56" s="947">
        <f>I54-'Quarterly Model'!BO137</f>
        <v>342.7092947619301</v>
      </c>
      <c r="J56" s="947">
        <f>J54-'Quarterly Model'!BT137</f>
        <v>92.703373085330441</v>
      </c>
      <c r="K56" s="947">
        <f>K54-'Quarterly Model'!BY137</f>
        <v>83.716089567738891</v>
      </c>
      <c r="L56" s="947">
        <f>L54-'Quarterly Model'!CD137</f>
        <v>70.474848326652136</v>
      </c>
      <c r="M56" s="948"/>
      <c r="N56" s="948"/>
      <c r="O56" s="948"/>
      <c r="P56" s="948"/>
      <c r="Q56" s="160"/>
      <c r="R56" s="160"/>
      <c r="S56" s="160"/>
      <c r="T56" s="160"/>
      <c r="U56" s="160"/>
      <c r="V56" s="160"/>
      <c r="W56" s="160"/>
    </row>
    <row r="57" spans="1:23" ht="6.75" customHeight="1">
      <c r="A57" s="160"/>
      <c r="B57" s="911"/>
      <c r="C57" s="947"/>
      <c r="D57" s="947"/>
      <c r="E57" s="947"/>
      <c r="F57" s="947"/>
      <c r="G57" s="947"/>
      <c r="H57" s="947"/>
      <c r="I57" s="947"/>
      <c r="J57" s="949"/>
      <c r="K57" s="949"/>
      <c r="L57" s="949"/>
      <c r="M57" s="949"/>
      <c r="N57" s="949"/>
      <c r="O57" s="949"/>
      <c r="P57" s="949"/>
      <c r="Q57" s="160"/>
      <c r="R57" s="160"/>
      <c r="S57" s="160"/>
      <c r="T57" s="160"/>
      <c r="U57" s="160"/>
      <c r="V57" s="160"/>
      <c r="W57" s="160"/>
    </row>
    <row r="58" spans="1:23">
      <c r="A58" s="160"/>
      <c r="B58" s="950" t="s">
        <v>454</v>
      </c>
      <c r="C58" s="951"/>
      <c r="D58" s="951"/>
      <c r="E58" s="951"/>
      <c r="F58" s="951"/>
      <c r="G58" s="951"/>
      <c r="H58" s="951"/>
      <c r="I58" s="951"/>
      <c r="J58" s="951"/>
      <c r="K58" s="951"/>
      <c r="L58" s="951"/>
      <c r="M58" s="254"/>
      <c r="N58" s="254"/>
      <c r="O58" s="254"/>
      <c r="P58" s="254"/>
      <c r="Q58" s="160"/>
      <c r="R58" s="160"/>
      <c r="S58" s="160"/>
      <c r="T58" s="160"/>
      <c r="U58" s="160"/>
      <c r="V58" s="160"/>
      <c r="W58" s="160"/>
    </row>
    <row r="59" spans="1:23">
      <c r="A59" s="160"/>
      <c r="B59" s="952" t="s">
        <v>455</v>
      </c>
      <c r="C59" s="910">
        <f t="shared" ref="C59:I59" si="28">C28</f>
        <v>324</v>
      </c>
      <c r="D59" s="910">
        <f t="shared" si="28"/>
        <v>398</v>
      </c>
      <c r="E59" s="910">
        <f t="shared" si="28"/>
        <v>458</v>
      </c>
      <c r="F59" s="910">
        <f t="shared" si="28"/>
        <v>524</v>
      </c>
      <c r="G59" s="910">
        <f t="shared" si="28"/>
        <v>585</v>
      </c>
      <c r="H59" s="910">
        <f t="shared" si="28"/>
        <v>663</v>
      </c>
      <c r="I59" s="910">
        <f t="shared" si="28"/>
        <v>489</v>
      </c>
      <c r="J59" s="910">
        <f>J28</f>
        <v>519</v>
      </c>
      <c r="K59" s="910">
        <f>K28</f>
        <v>557</v>
      </c>
      <c r="L59" s="910">
        <f t="shared" ref="L59" si="29">L28</f>
        <v>595</v>
      </c>
      <c r="M59" s="910">
        <f>M28</f>
        <v>826.53371910559383</v>
      </c>
      <c r="N59" s="910">
        <f>N28</f>
        <v>1105.282684940081</v>
      </c>
      <c r="O59" s="910">
        <f>O28</f>
        <v>1413.9045012042056</v>
      </c>
      <c r="P59" s="910">
        <f>P28</f>
        <v>1725.4287283782435</v>
      </c>
      <c r="Q59" s="160"/>
      <c r="R59" s="160"/>
      <c r="S59" s="160"/>
      <c r="T59" s="160"/>
      <c r="U59" s="160"/>
      <c r="V59" s="160"/>
      <c r="W59" s="160"/>
    </row>
    <row r="60" spans="1:23">
      <c r="A60" s="370"/>
      <c r="B60" s="911" t="s">
        <v>438</v>
      </c>
      <c r="C60" s="569">
        <f t="shared" ref="C60:P60" si="30">C59/C9</f>
        <v>5.7223595902507945E-2</v>
      </c>
      <c r="D60" s="569">
        <f t="shared" si="30"/>
        <v>5.9164560725434814E-2</v>
      </c>
      <c r="E60" s="569">
        <f t="shared" si="30"/>
        <v>5.7164253619570643E-2</v>
      </c>
      <c r="F60" s="569">
        <f t="shared" si="30"/>
        <v>5.6660899653979239E-2</v>
      </c>
      <c r="G60" s="569">
        <f t="shared" si="30"/>
        <v>5.3956834532374098E-2</v>
      </c>
      <c r="H60" s="569">
        <f t="shared" si="30"/>
        <v>5.0785139793182686E-2</v>
      </c>
      <c r="I60" s="569">
        <f t="shared" si="30"/>
        <v>3.1734273765022816E-2</v>
      </c>
      <c r="J60" s="569">
        <f t="shared" si="30"/>
        <v>2.9231596286342677E-2</v>
      </c>
      <c r="K60" s="569">
        <f t="shared" si="30"/>
        <v>2.6981178985420282E-2</v>
      </c>
      <c r="L60" s="569">
        <f t="shared" si="30"/>
        <v>2.4946729325291517E-2</v>
      </c>
      <c r="M60" s="569">
        <f t="shared" si="30"/>
        <v>3.0335046993968634E-2</v>
      </c>
      <c r="N60" s="569">
        <f t="shared" si="30"/>
        <v>3.5723364662645744E-2</v>
      </c>
      <c r="O60" s="569">
        <f t="shared" si="30"/>
        <v>4.1111682331322869E-2</v>
      </c>
      <c r="P60" s="569">
        <f t="shared" si="30"/>
        <v>4.6499999999999986E-2</v>
      </c>
      <c r="Q60" s="370"/>
      <c r="R60" s="370"/>
      <c r="S60" s="370"/>
      <c r="T60" s="953"/>
      <c r="U60" s="370"/>
      <c r="V60" s="370"/>
      <c r="W60" s="370"/>
    </row>
    <row r="61" spans="1:23">
      <c r="A61" s="160"/>
      <c r="B61" s="952" t="s">
        <v>456</v>
      </c>
      <c r="C61" s="909">
        <f>'Quarterly Model'!AK180</f>
        <v>-511</v>
      </c>
      <c r="D61" s="909">
        <f>'Quarterly Model'!AP180</f>
        <v>-391</v>
      </c>
      <c r="E61" s="909">
        <f>'Quarterly Model'!AU180</f>
        <v>-492</v>
      </c>
      <c r="F61" s="909">
        <f>'Quarterly Model'!AZ180</f>
        <v>-696</v>
      </c>
      <c r="G61" s="909">
        <f>'Quarterly Model'!BE180</f>
        <v>-669</v>
      </c>
      <c r="H61" s="909">
        <f>'Quarterly Model'!BJ180</f>
        <v>-667</v>
      </c>
      <c r="I61" s="909">
        <f>'Quarterly Model'!BO180</f>
        <v>-852.14191438637272</v>
      </c>
      <c r="J61" s="909">
        <f>'Quarterly Model'!BT180</f>
        <v>-976.51184425178087</v>
      </c>
      <c r="K61" s="909">
        <f>'Quarterly Model'!BY180</f>
        <v>-1083.8110527268529</v>
      </c>
      <c r="L61" s="909">
        <f>'Quarterly Model'!CD180</f>
        <v>-1252.168153695834</v>
      </c>
      <c r="M61" s="910">
        <f>M62*M9</f>
        <v>-1389.5880788569866</v>
      </c>
      <c r="N61" s="910">
        <f>N62*N9</f>
        <v>-1531.5324696092596</v>
      </c>
      <c r="O61" s="910">
        <f>O62*O9</f>
        <v>-1650.8061020430164</v>
      </c>
      <c r="P61" s="910">
        <f>P62*P9</f>
        <v>-1725.4287283782435</v>
      </c>
      <c r="Q61" s="160"/>
      <c r="R61" s="160"/>
      <c r="S61" s="160"/>
      <c r="T61" s="160"/>
      <c r="U61" s="160"/>
      <c r="V61" s="160"/>
      <c r="W61" s="160"/>
    </row>
    <row r="62" spans="1:23">
      <c r="A62" s="370"/>
      <c r="B62" s="911" t="s">
        <v>457</v>
      </c>
      <c r="C62" s="569">
        <f t="shared" ref="C62:I62" si="31">C61/C9</f>
        <v>-9.0250794772165313E-2</v>
      </c>
      <c r="D62" s="569">
        <f t="shared" si="31"/>
        <v>-5.8123977999108074E-2</v>
      </c>
      <c r="E62" s="569">
        <f t="shared" si="31"/>
        <v>-6.1407888167748378E-2</v>
      </c>
      <c r="F62" s="569">
        <f t="shared" si="31"/>
        <v>-7.5259515570934257E-2</v>
      </c>
      <c r="G62" s="569">
        <f t="shared" si="31"/>
        <v>-6.1704482567791923E-2</v>
      </c>
      <c r="H62" s="569">
        <f t="shared" si="31"/>
        <v>-5.109153581003447E-2</v>
      </c>
      <c r="I62" s="569">
        <f t="shared" si="31"/>
        <v>-5.5300827807336993E-2</v>
      </c>
      <c r="J62" s="569">
        <f>J61/J9</f>
        <v>-5.4999999999999993E-2</v>
      </c>
      <c r="K62" s="569">
        <f>K61/K9</f>
        <v>-5.2499999999999998E-2</v>
      </c>
      <c r="L62" s="569">
        <f>L61/L9</f>
        <v>-5.2499999999999991E-2</v>
      </c>
      <c r="M62" s="938">
        <f>+L62+0.15%</f>
        <v>-5.099999999999999E-2</v>
      </c>
      <c r="N62" s="938">
        <f>+M62+0.15%</f>
        <v>-4.9499999999999988E-2</v>
      </c>
      <c r="O62" s="938">
        <f>+N62+0.15%</f>
        <v>-4.7999999999999987E-2</v>
      </c>
      <c r="P62" s="938">
        <f>+O62+0.15%</f>
        <v>-4.6499999999999986E-2</v>
      </c>
      <c r="Q62" s="954"/>
      <c r="R62" s="370"/>
      <c r="S62" s="370"/>
      <c r="T62" s="370"/>
      <c r="U62" s="370"/>
      <c r="V62" s="370"/>
      <c r="W62" s="370"/>
    </row>
    <row r="63" spans="1:23">
      <c r="A63" s="160"/>
      <c r="B63" s="952" t="s">
        <v>458</v>
      </c>
      <c r="C63" s="909">
        <f>SUM('Quarterly Model'!AK169:AK176)</f>
        <v>-154</v>
      </c>
      <c r="D63" s="909">
        <f>SUM('Quarterly Model'!AP169:AP176)</f>
        <v>-146</v>
      </c>
      <c r="E63" s="909">
        <f>SUM('Quarterly Model'!AU169:AU176)</f>
        <v>-299</v>
      </c>
      <c r="F63" s="909">
        <f>SUM('Quarterly Model'!AZ169:AZ176)</f>
        <v>-506</v>
      </c>
      <c r="G63" s="909">
        <f>SUM('Quarterly Model'!BE169:BE176)</f>
        <v>-481</v>
      </c>
      <c r="H63" s="909">
        <f>SUM('Quarterly Model'!BJ169:BJ176)</f>
        <v>-581</v>
      </c>
      <c r="I63" s="909">
        <f>SUM('Quarterly Model'!BO169:BO176)</f>
        <v>-1994.6377221874566</v>
      </c>
      <c r="J63" s="909">
        <f>SUM('Quarterly Model'!BT169:BT176)</f>
        <v>-1052.0724418655861</v>
      </c>
      <c r="K63" s="909">
        <f>SUM('Quarterly Model'!BY169:BY176)</f>
        <v>-619.4058369036353</v>
      </c>
      <c r="L63" s="909">
        <f>SUM('Quarterly Model'!CD169:CD176)</f>
        <v>-772.38024211020752</v>
      </c>
      <c r="M63" s="910">
        <f>+M64*M9</f>
        <v>-923.22596399327904</v>
      </c>
      <c r="N63" s="910">
        <f>+N64*N9</f>
        <v>-1094.7765288151313</v>
      </c>
      <c r="O63" s="910">
        <f>+O64*O9</f>
        <v>-1268.5000344140215</v>
      </c>
      <c r="P63" s="910">
        <f>+P64*P9</f>
        <v>-1424.2690483679839</v>
      </c>
      <c r="Q63" s="160"/>
      <c r="R63" s="160"/>
      <c r="S63" s="160"/>
      <c r="T63" s="160"/>
      <c r="U63" s="160"/>
      <c r="V63" s="160"/>
      <c r="W63" s="160"/>
    </row>
    <row r="64" spans="1:23">
      <c r="A64" s="370"/>
      <c r="B64" s="911" t="s">
        <v>459</v>
      </c>
      <c r="C64" s="569">
        <f t="shared" ref="C64:I64" si="32">+C63/C9</f>
        <v>-2.7198869657364889E-2</v>
      </c>
      <c r="D64" s="569">
        <f t="shared" si="32"/>
        <v>-2.1703582577672069E-2</v>
      </c>
      <c r="E64" s="569">
        <f t="shared" si="32"/>
        <v>-3.7319021467798301E-2</v>
      </c>
      <c r="F64" s="569">
        <f t="shared" si="32"/>
        <v>-5.4714532871972317E-2</v>
      </c>
      <c r="G64" s="569">
        <f t="shared" si="32"/>
        <v>-4.4364508393285373E-2</v>
      </c>
      <c r="H64" s="569">
        <f t="shared" si="32"/>
        <v>-4.4504021447721177E-2</v>
      </c>
      <c r="I64" s="569">
        <f t="shared" si="32"/>
        <v>-0.12944453893238911</v>
      </c>
      <c r="J64" s="569">
        <f>+J63/J9</f>
        <v>-5.925579361194902E-2</v>
      </c>
      <c r="K64" s="569">
        <f>+K63/K9</f>
        <v>-3.0004128815280123E-2</v>
      </c>
      <c r="L64" s="569">
        <f>+L63/L9</f>
        <v>-3.2383799724582309E-2</v>
      </c>
      <c r="M64" s="938">
        <f>L64-0.0015</f>
        <v>-3.388379972458231E-2</v>
      </c>
      <c r="N64" s="938">
        <f t="shared" ref="N64:P64" si="33">M64-0.0015</f>
        <v>-3.5383799724582311E-2</v>
      </c>
      <c r="O64" s="938">
        <f t="shared" si="33"/>
        <v>-3.6883799724582313E-2</v>
      </c>
      <c r="P64" s="938">
        <f t="shared" si="33"/>
        <v>-3.8383799724582314E-2</v>
      </c>
      <c r="Q64" s="370"/>
      <c r="R64" s="370"/>
      <c r="S64" s="370"/>
      <c r="T64" s="370"/>
      <c r="U64" s="370"/>
      <c r="V64" s="370"/>
      <c r="W64" s="370"/>
    </row>
    <row r="65" spans="1:23">
      <c r="A65" s="370"/>
      <c r="B65" s="952" t="s">
        <v>460</v>
      </c>
      <c r="C65" s="909">
        <f>'Quarterly Model'!AK162</f>
        <v>365</v>
      </c>
      <c r="D65" s="909">
        <f>'Quarterly Model'!AP162</f>
        <v>502</v>
      </c>
      <c r="E65" s="909">
        <f>'Quarterly Model'!AU162</f>
        <v>646</v>
      </c>
      <c r="F65" s="909">
        <f>'Quarterly Model'!AZ162</f>
        <v>809</v>
      </c>
      <c r="G65" s="909">
        <f>'Quarterly Model'!BE162</f>
        <v>1088</v>
      </c>
      <c r="H65" s="909">
        <f>'Quarterly Model'!BJ162</f>
        <v>1011</v>
      </c>
      <c r="I65" s="909">
        <f>'Quarterly Model'!BO162</f>
        <v>1351.9819431008264</v>
      </c>
      <c r="J65" s="909">
        <f>'Quarterly Model'!BT162</f>
        <v>1641.3327562160334</v>
      </c>
      <c r="K65" s="909">
        <f>'Quarterly Model'!BY162</f>
        <v>1952.0186537867808</v>
      </c>
      <c r="L65" s="909">
        <f>'Quarterly Model'!CD162</f>
        <v>2283.8618249305332</v>
      </c>
      <c r="M65" s="910">
        <f>M66*M9</f>
        <v>2540.9327933535037</v>
      </c>
      <c r="N65" s="910">
        <f>N66*N9</f>
        <v>2807.9984315928186</v>
      </c>
      <c r="O65" s="910">
        <f>O66*O9</f>
        <v>3035.2857807362602</v>
      </c>
      <c r="P65" s="910">
        <f>P66*P9</f>
        <v>3182.0655491552866</v>
      </c>
      <c r="Q65" s="370"/>
      <c r="R65" s="370"/>
      <c r="S65" s="370"/>
      <c r="T65" s="370"/>
      <c r="U65" s="370"/>
      <c r="V65" s="370"/>
      <c r="W65" s="370"/>
    </row>
    <row r="66" spans="1:23">
      <c r="A66" s="370"/>
      <c r="B66" s="911" t="s">
        <v>461</v>
      </c>
      <c r="C66" s="569">
        <f t="shared" ref="C66:I66" si="34">C65/C9</f>
        <v>6.4464853408689515E-2</v>
      </c>
      <c r="D66" s="569">
        <f t="shared" si="34"/>
        <v>7.4624646945146422E-2</v>
      </c>
      <c r="E66" s="569">
        <f t="shared" si="34"/>
        <v>8.0629056415376932E-2</v>
      </c>
      <c r="F66" s="569">
        <f t="shared" si="34"/>
        <v>8.7478373702422146E-2</v>
      </c>
      <c r="G66" s="569">
        <f t="shared" si="34"/>
        <v>0.10035048883969747</v>
      </c>
      <c r="H66" s="569">
        <f t="shared" si="34"/>
        <v>7.7441593259287636E-2</v>
      </c>
      <c r="I66" s="569">
        <f t="shared" si="34"/>
        <v>8.77385789524113E-2</v>
      </c>
      <c r="J66" s="569">
        <f>J65/J9</f>
        <v>9.2444656071786507E-2</v>
      </c>
      <c r="K66" s="569">
        <f>K65/K9</f>
        <v>9.4556130485996912E-2</v>
      </c>
      <c r="L66" s="569">
        <f>L65/L9</f>
        <v>9.5756105483879542E-2</v>
      </c>
      <c r="M66" s="938">
        <f>L66-0.0025</f>
        <v>9.3256105483879539E-2</v>
      </c>
      <c r="N66" s="938">
        <f>M66-0.0025</f>
        <v>9.0756105483879537E-2</v>
      </c>
      <c r="O66" s="938">
        <f>N66-0.0025</f>
        <v>8.8256105483879535E-2</v>
      </c>
      <c r="P66" s="938">
        <f>O66-0.0025</f>
        <v>8.5756105483879533E-2</v>
      </c>
      <c r="Q66" s="370"/>
      <c r="R66" s="370"/>
      <c r="S66" s="370"/>
      <c r="T66" s="370"/>
      <c r="U66" s="370"/>
      <c r="V66" s="370"/>
      <c r="W66" s="370"/>
    </row>
    <row r="67" spans="1:23">
      <c r="A67" s="370"/>
      <c r="B67" s="952" t="s">
        <v>462</v>
      </c>
      <c r="C67" s="910">
        <f>C65*C68</f>
        <v>-155.24757009115243</v>
      </c>
      <c r="D67" s="955">
        <f>-232+14</f>
        <v>-218</v>
      </c>
      <c r="E67" s="955">
        <f>-297+28</f>
        <v>-269</v>
      </c>
      <c r="F67" s="955">
        <f>-335+24</f>
        <v>-311</v>
      </c>
      <c r="G67" s="955">
        <f>-438+28</f>
        <v>-410</v>
      </c>
      <c r="H67" s="910">
        <f t="shared" ref="H67:P67" si="35">H65*H68</f>
        <v>-380.98345588235293</v>
      </c>
      <c r="I67" s="910">
        <f t="shared" si="35"/>
        <v>-509.47848958762756</v>
      </c>
      <c r="J67" s="910">
        <f>J65*J68</f>
        <v>-618.5169393828802</v>
      </c>
      <c r="K67" s="910">
        <f>K65*K68</f>
        <v>-735.59526475420967</v>
      </c>
      <c r="L67" s="910">
        <f>L65*L68</f>
        <v>-860.64645976242514</v>
      </c>
      <c r="M67" s="910">
        <f t="shared" si="35"/>
        <v>-957.52062984828717</v>
      </c>
      <c r="N67" s="910">
        <f t="shared" si="35"/>
        <v>-1058.1611736700879</v>
      </c>
      <c r="O67" s="910">
        <f t="shared" si="35"/>
        <v>-1143.8117372259803</v>
      </c>
      <c r="P67" s="910">
        <f t="shared" si="35"/>
        <v>-1199.1239661338855</v>
      </c>
      <c r="Q67" s="370"/>
      <c r="R67" s="370"/>
      <c r="S67" s="370"/>
      <c r="T67" s="370"/>
      <c r="U67" s="370"/>
      <c r="V67" s="370"/>
      <c r="W67" s="370"/>
    </row>
    <row r="68" spans="1:23">
      <c r="A68" s="370"/>
      <c r="B68" s="911" t="s">
        <v>463</v>
      </c>
      <c r="C68" s="938">
        <f>AVERAGE(D68:E68)</f>
        <v>-0.42533580846891073</v>
      </c>
      <c r="D68" s="569">
        <f>D67/D65</f>
        <v>-0.43426294820717132</v>
      </c>
      <c r="E68" s="569">
        <f>E67/E65</f>
        <v>-0.41640866873065013</v>
      </c>
      <c r="F68" s="569">
        <f>F67/F65</f>
        <v>-0.38442521631644005</v>
      </c>
      <c r="G68" s="569">
        <f>G67/G65</f>
        <v>-0.37683823529411764</v>
      </c>
      <c r="H68" s="938">
        <f>G68</f>
        <v>-0.37683823529411764</v>
      </c>
      <c r="I68" s="938">
        <f t="shared" ref="I68:P68" si="36">H68</f>
        <v>-0.37683823529411764</v>
      </c>
      <c r="J68" s="938">
        <f t="shared" si="36"/>
        <v>-0.37683823529411764</v>
      </c>
      <c r="K68" s="938">
        <f t="shared" si="36"/>
        <v>-0.37683823529411764</v>
      </c>
      <c r="L68" s="938">
        <f t="shared" si="36"/>
        <v>-0.37683823529411764</v>
      </c>
      <c r="M68" s="938">
        <f t="shared" si="36"/>
        <v>-0.37683823529411764</v>
      </c>
      <c r="N68" s="938">
        <f t="shared" si="36"/>
        <v>-0.37683823529411764</v>
      </c>
      <c r="O68" s="938">
        <f t="shared" si="36"/>
        <v>-0.37683823529411764</v>
      </c>
      <c r="P68" s="938">
        <f t="shared" si="36"/>
        <v>-0.37683823529411764</v>
      </c>
      <c r="Q68" s="370"/>
      <c r="R68" s="370"/>
      <c r="S68" s="370"/>
      <c r="T68" s="370"/>
      <c r="U68" s="370"/>
      <c r="V68" s="370"/>
      <c r="W68" s="370"/>
    </row>
    <row r="69" spans="1:23">
      <c r="A69" s="160"/>
      <c r="B69" s="952" t="s">
        <v>464</v>
      </c>
      <c r="C69" s="909">
        <f>SUM('Quarterly Model'!AK165:AK166)</f>
        <v>-11</v>
      </c>
      <c r="D69" s="909">
        <f>SUM('Quarterly Model'!AP165:AP166)</f>
        <v>-24</v>
      </c>
      <c r="E69" s="909">
        <f>SUM('Quarterly Model'!AU165:AU166)</f>
        <v>639</v>
      </c>
      <c r="F69" s="909">
        <f>SUM('Quarterly Model'!AZ165:AZ166)</f>
        <v>101</v>
      </c>
      <c r="G69" s="909">
        <f>SUM('Quarterly Model'!BE165:BE166)</f>
        <v>12</v>
      </c>
      <c r="H69" s="909">
        <f>SUM('Quarterly Model'!BJ165:BJ166)</f>
        <v>-1299</v>
      </c>
      <c r="I69" s="909">
        <f>SUM('Quarterly Model'!BO165:BO166)</f>
        <v>91</v>
      </c>
      <c r="J69" s="909">
        <f>SUM('Quarterly Model'!BT165:BT166)</f>
        <v>0</v>
      </c>
      <c r="K69" s="909">
        <f>SUM('Quarterly Model'!BY165:BY166)</f>
        <v>0</v>
      </c>
      <c r="L69" s="909">
        <f>SUM('Quarterly Model'!CD165:CD166)</f>
        <v>0</v>
      </c>
      <c r="M69" s="910">
        <f>+M70*M9</f>
        <v>0</v>
      </c>
      <c r="N69" s="910">
        <f>+N70*N9</f>
        <v>0</v>
      </c>
      <c r="O69" s="910">
        <f>+O70*O9</f>
        <v>0</v>
      </c>
      <c r="P69" s="910">
        <f>+P70*P9</f>
        <v>0</v>
      </c>
      <c r="Q69" s="160"/>
      <c r="R69" s="160"/>
      <c r="S69" s="160"/>
      <c r="T69" s="160"/>
      <c r="U69" s="160"/>
      <c r="V69" s="160"/>
      <c r="W69" s="160"/>
    </row>
    <row r="70" spans="1:23">
      <c r="A70" s="370"/>
      <c r="B70" s="911" t="s">
        <v>465</v>
      </c>
      <c r="C70" s="569">
        <f t="shared" ref="C70:I70" si="37">+C69/C9</f>
        <v>-1.942776404097492E-3</v>
      </c>
      <c r="D70" s="569">
        <f t="shared" si="37"/>
        <v>-3.567712204548833E-3</v>
      </c>
      <c r="E70" s="569">
        <f t="shared" si="37"/>
        <v>7.9755366949575635E-2</v>
      </c>
      <c r="F70" s="569">
        <f t="shared" si="37"/>
        <v>1.092128027681661E-2</v>
      </c>
      <c r="G70" s="569">
        <f t="shared" si="37"/>
        <v>1.1068068622025456E-3</v>
      </c>
      <c r="H70" s="569">
        <f t="shared" si="37"/>
        <v>-9.9502106472615856E-2</v>
      </c>
      <c r="I70" s="569">
        <f t="shared" si="37"/>
        <v>5.905560148501179E-3</v>
      </c>
      <c r="J70" s="569">
        <f>+J69/J9</f>
        <v>0</v>
      </c>
      <c r="K70" s="569">
        <f>+K69/K9</f>
        <v>0</v>
      </c>
      <c r="L70" s="569">
        <f>+L69/L9</f>
        <v>0</v>
      </c>
      <c r="M70" s="915">
        <f>+L70</f>
        <v>0</v>
      </c>
      <c r="N70" s="938">
        <f>+M70</f>
        <v>0</v>
      </c>
      <c r="O70" s="915">
        <f>+N70</f>
        <v>0</v>
      </c>
      <c r="P70" s="915">
        <f>+O70</f>
        <v>0</v>
      </c>
      <c r="Q70" s="370"/>
      <c r="R70" s="370"/>
      <c r="S70" s="370"/>
      <c r="T70" s="370"/>
      <c r="U70" s="370"/>
      <c r="V70" s="370"/>
      <c r="W70" s="370"/>
    </row>
    <row r="71" spans="1:23">
      <c r="A71" s="160"/>
      <c r="B71" s="956" t="s">
        <v>466</v>
      </c>
      <c r="C71" s="957">
        <v>0</v>
      </c>
      <c r="D71" s="957">
        <v>0</v>
      </c>
      <c r="E71" s="957">
        <v>0</v>
      </c>
      <c r="F71" s="957">
        <v>0</v>
      </c>
      <c r="G71" s="957">
        <v>0</v>
      </c>
      <c r="H71" s="957">
        <v>0</v>
      </c>
      <c r="I71" s="957">
        <v>0</v>
      </c>
      <c r="J71" s="957">
        <v>0</v>
      </c>
      <c r="K71" s="957">
        <v>0</v>
      </c>
      <c r="L71" s="957">
        <v>0</v>
      </c>
      <c r="M71" s="957">
        <v>0</v>
      </c>
      <c r="N71" s="957">
        <v>0</v>
      </c>
      <c r="O71" s="957">
        <v>0</v>
      </c>
      <c r="P71" s="957">
        <v>0</v>
      </c>
      <c r="Q71" s="160"/>
      <c r="R71" s="958"/>
      <c r="S71" s="160"/>
      <c r="T71" s="160"/>
      <c r="U71" s="160"/>
      <c r="V71" s="160"/>
      <c r="W71" s="160"/>
    </row>
    <row r="72" spans="1:23">
      <c r="A72" s="160"/>
      <c r="B72" s="959" t="s">
        <v>467</v>
      </c>
      <c r="C72" s="910">
        <f>C54+C59+C61+C63+C69+C71+C65+C67</f>
        <v>825.7524299088476</v>
      </c>
      <c r="D72" s="910">
        <f t="shared" ref="D72:P72" si="38">D54+D59+D61+D63+D69+D71+D65+D67</f>
        <v>1080.8951098511693</v>
      </c>
      <c r="E72" s="910">
        <f t="shared" si="38"/>
        <v>1745.657047772233</v>
      </c>
      <c r="F72" s="910">
        <f t="shared" si="38"/>
        <v>1213.8271399409277</v>
      </c>
      <c r="G72" s="910">
        <f>G54+G59+G61+G63+G69+G71+G65+G67</f>
        <v>1577.3338634352322</v>
      </c>
      <c r="H72" s="910">
        <f>H54+H59+H61+H63+H69+H71+H65+H67</f>
        <v>811.77489271952413</v>
      </c>
      <c r="I72" s="910">
        <f t="shared" si="38"/>
        <v>853.52689779033244</v>
      </c>
      <c r="J72" s="910">
        <f>J54+J59+J61+J63+J69+J71+J65+J67</f>
        <v>1944.5125529618244</v>
      </c>
      <c r="K72" s="910">
        <f>K54+K59+K61+K63+K69+K71+K65+K67</f>
        <v>2975.4936648211651</v>
      </c>
      <c r="L72" s="910">
        <f>L54+L59+L61+L63+L69+L71+L65+L67</f>
        <v>3662.5678532991788</v>
      </c>
      <c r="M72" s="910">
        <f t="shared" si="38"/>
        <v>4016.9535384328237</v>
      </c>
      <c r="N72" s="910">
        <f t="shared" si="38"/>
        <v>4450.6872223212386</v>
      </c>
      <c r="O72" s="910">
        <f t="shared" si="38"/>
        <v>4934.9669420290993</v>
      </c>
      <c r="P72" s="910">
        <f t="shared" si="38"/>
        <v>5312.7191168966347</v>
      </c>
      <c r="Q72" s="160"/>
      <c r="R72" s="160"/>
      <c r="S72" s="160"/>
      <c r="T72" s="160"/>
      <c r="U72" s="160"/>
      <c r="V72" s="160"/>
      <c r="W72" s="160"/>
    </row>
    <row r="73" spans="1:23">
      <c r="A73" s="370"/>
      <c r="B73" s="911" t="s">
        <v>21</v>
      </c>
      <c r="C73" s="912"/>
      <c r="D73" s="912">
        <f t="shared" ref="D73:L73" si="39">+D72/C72-1</f>
        <v>0.30898205164287096</v>
      </c>
      <c r="E73" s="912">
        <f t="shared" si="39"/>
        <v>0.61501058878191817</v>
      </c>
      <c r="F73" s="912">
        <f t="shared" si="39"/>
        <v>-0.30465887243431589</v>
      </c>
      <c r="G73" s="912">
        <f t="shared" si="39"/>
        <v>0.29947157344990227</v>
      </c>
      <c r="H73" s="912">
        <f t="shared" si="39"/>
        <v>-0.48534998738213742</v>
      </c>
      <c r="I73" s="912">
        <f t="shared" si="39"/>
        <v>5.143298400241858E-2</v>
      </c>
      <c r="J73" s="912">
        <f t="shared" si="39"/>
        <v>1.2782088742556428</v>
      </c>
      <c r="K73" s="912">
        <f t="shared" si="39"/>
        <v>0.53020028607631287</v>
      </c>
      <c r="L73" s="912">
        <f t="shared" si="39"/>
        <v>0.23091099020011141</v>
      </c>
      <c r="M73" s="912">
        <f>+M72/L72-1</f>
        <v>9.6758804021724876E-2</v>
      </c>
      <c r="N73" s="960">
        <f>+N72/M72-1</f>
        <v>0.10797577809616188</v>
      </c>
      <c r="O73" s="912">
        <f>+O72/N72-1</f>
        <v>0.10881009954577014</v>
      </c>
      <c r="P73" s="912">
        <f>+P72/O72-1</f>
        <v>7.654603957938888E-2</v>
      </c>
      <c r="Q73" s="370"/>
      <c r="R73" s="370"/>
      <c r="S73" s="370"/>
      <c r="T73" s="370"/>
      <c r="U73" s="370"/>
      <c r="V73" s="370"/>
      <c r="W73" s="370"/>
    </row>
    <row r="74" spans="1:23" ht="6" customHeight="1">
      <c r="A74" s="160"/>
      <c r="B74" s="959"/>
      <c r="C74" s="910"/>
      <c r="D74" s="910"/>
      <c r="E74" s="910"/>
      <c r="F74" s="910"/>
      <c r="G74" s="910"/>
      <c r="H74" s="910"/>
      <c r="I74" s="910"/>
      <c r="J74" s="910"/>
      <c r="K74" s="910"/>
      <c r="L74" s="910"/>
      <c r="M74" s="961"/>
      <c r="N74" s="961"/>
      <c r="O74" s="961"/>
      <c r="P74" s="961"/>
      <c r="Q74" s="160"/>
      <c r="R74" s="160"/>
      <c r="S74" s="160"/>
      <c r="T74" s="160"/>
      <c r="U74" s="160"/>
      <c r="V74" s="160"/>
      <c r="W74" s="160"/>
    </row>
    <row r="75" spans="1:23">
      <c r="A75" s="160"/>
      <c r="B75" s="952" t="s">
        <v>468</v>
      </c>
      <c r="C75" s="958" t="str">
        <f>IF(C$4&lt;$V$3,"",(1+$C$81)^C$3)</f>
        <v/>
      </c>
      <c r="D75" s="958" t="str">
        <f>IF(D$4&lt;$V$3,"",(1+$C$81)^D$3)</f>
        <v/>
      </c>
      <c r="E75" s="958"/>
      <c r="F75" s="958" t="str">
        <f t="shared" ref="F75:P75" si="40">IF(F$4&lt;$V$3,"",(1+$C$81)^F$3)</f>
        <v/>
      </c>
      <c r="G75" s="958" t="str">
        <f t="shared" si="40"/>
        <v/>
      </c>
      <c r="H75" s="958" t="str">
        <f t="shared" si="40"/>
        <v/>
      </c>
      <c r="I75" s="958" t="str">
        <f t="shared" si="40"/>
        <v/>
      </c>
      <c r="J75" s="958">
        <f t="shared" si="40"/>
        <v>1.0319555108542438</v>
      </c>
      <c r="K75" s="958">
        <f t="shared" si="40"/>
        <v>1.1105460762932933</v>
      </c>
      <c r="L75" s="958">
        <f t="shared" si="40"/>
        <v>1.2077188579689564</v>
      </c>
      <c r="M75" s="958">
        <f t="shared" si="40"/>
        <v>1.3133942580412399</v>
      </c>
      <c r="N75" s="958">
        <f t="shared" si="40"/>
        <v>1.4283162556198483</v>
      </c>
      <c r="O75" s="958">
        <f t="shared" si="40"/>
        <v>1.5532939279865847</v>
      </c>
      <c r="P75" s="958">
        <f t="shared" si="40"/>
        <v>1.6892071466854108</v>
      </c>
      <c r="Q75" s="958"/>
      <c r="R75" s="958"/>
      <c r="S75" s="160"/>
      <c r="T75" s="160"/>
      <c r="U75" s="160"/>
      <c r="V75" s="160"/>
      <c r="W75" s="160"/>
    </row>
    <row r="76" spans="1:23">
      <c r="A76" s="160"/>
      <c r="B76" s="962" t="s">
        <v>469</v>
      </c>
      <c r="C76" s="963" t="str">
        <f>IF(C$4&lt;$V$3,"",IF(C$4=$V$3,(4-$V$4)/4*C72/C75,C72/C75))</f>
        <v/>
      </c>
      <c r="D76" s="963" t="str">
        <f>IF(D$4&lt;$V$3,"",IF(D$4=$V$3,(4-$V$4)/4*D72/D75,D72/D75))</f>
        <v/>
      </c>
      <c r="E76" s="963"/>
      <c r="F76" s="963" t="str">
        <f t="shared" ref="F76:P76" si="41">IF(F$4&lt;$V$3,"",IF(F$4=$V$3,(4-$V$4)/4*F72/F75,F72/F75))</f>
        <v/>
      </c>
      <c r="G76" s="963" t="str">
        <f t="shared" si="41"/>
        <v/>
      </c>
      <c r="H76" s="963" t="str">
        <f t="shared" si="41"/>
        <v/>
      </c>
      <c r="I76" s="963" t="str">
        <f t="shared" si="41"/>
        <v/>
      </c>
      <c r="J76" s="963">
        <f t="shared" si="41"/>
        <v>1413.2241161386216</v>
      </c>
      <c r="K76" s="963">
        <f t="shared" si="41"/>
        <v>2679.3068098106924</v>
      </c>
      <c r="L76" s="963">
        <f t="shared" si="41"/>
        <v>3032.6328260358446</v>
      </c>
      <c r="M76" s="963">
        <f t="shared" si="41"/>
        <v>3058.4521851219283</v>
      </c>
      <c r="N76" s="963">
        <f t="shared" si="41"/>
        <v>3116.0376455911496</v>
      </c>
      <c r="O76" s="963">
        <f t="shared" si="41"/>
        <v>3177.097942065554</v>
      </c>
      <c r="P76" s="963">
        <f t="shared" si="41"/>
        <v>3145.0962821944822</v>
      </c>
      <c r="Q76" s="160"/>
      <c r="R76" s="160"/>
      <c r="S76" s="160"/>
      <c r="T76" s="160"/>
      <c r="U76" s="160"/>
      <c r="V76" s="160"/>
      <c r="W76" s="160"/>
    </row>
    <row r="77" spans="1:23" ht="6" customHeight="1">
      <c r="A77" s="160"/>
      <c r="B77" s="952"/>
      <c r="C77" s="160"/>
      <c r="D77" s="160"/>
      <c r="E77" s="160"/>
      <c r="F77" s="160"/>
      <c r="G77" s="160"/>
      <c r="H77" s="160"/>
      <c r="I77" s="160"/>
      <c r="J77" s="160"/>
      <c r="K77" s="160"/>
      <c r="L77" s="160"/>
      <c r="M77" s="160"/>
      <c r="N77" s="160"/>
      <c r="O77" s="160"/>
      <c r="P77" s="160"/>
      <c r="Q77" s="160"/>
      <c r="R77" s="160"/>
      <c r="S77" s="160"/>
      <c r="T77" s="160"/>
      <c r="U77" s="160"/>
      <c r="V77" s="160"/>
      <c r="W77" s="160"/>
    </row>
    <row r="78" spans="1:23">
      <c r="A78" s="160"/>
      <c r="B78" s="964" t="s">
        <v>470</v>
      </c>
      <c r="C78" s="965"/>
      <c r="D78" s="965"/>
      <c r="E78" s="966"/>
      <c r="F78" s="966"/>
      <c r="G78" s="966"/>
      <c r="H78" s="966"/>
      <c r="I78" s="966"/>
      <c r="J78" s="965"/>
      <c r="K78" s="965"/>
      <c r="L78" s="965"/>
      <c r="M78" s="967"/>
      <c r="N78" s="965"/>
      <c r="O78" s="967"/>
      <c r="P78" s="968">
        <f>((P72*(1+C86)/(C81-C86))+(P72*C90/2*(C91-C86)/(C81-C86)))</f>
        <v>109026.23579022661</v>
      </c>
      <c r="Q78" s="160"/>
      <c r="R78" s="160"/>
      <c r="S78" s="160"/>
      <c r="T78" s="160"/>
      <c r="U78" s="160"/>
      <c r="V78" s="160"/>
      <c r="W78" s="160"/>
    </row>
    <row r="79" spans="1:23">
      <c r="A79" s="160"/>
      <c r="B79" s="160"/>
      <c r="C79" s="160"/>
      <c r="D79" s="237"/>
      <c r="E79" s="237"/>
      <c r="F79" s="237"/>
      <c r="G79" s="237"/>
      <c r="H79" s="237"/>
      <c r="I79" s="237"/>
      <c r="J79" s="237"/>
      <c r="K79" s="160"/>
      <c r="L79" s="160"/>
      <c r="M79" s="160"/>
      <c r="N79" s="969"/>
      <c r="O79" s="969"/>
      <c r="P79" s="969"/>
      <c r="Q79" s="969"/>
      <c r="R79" s="969"/>
      <c r="S79" s="160"/>
      <c r="T79" s="160"/>
      <c r="U79" s="160"/>
      <c r="V79" s="160"/>
      <c r="W79" s="160"/>
    </row>
    <row r="80" spans="1:23">
      <c r="A80" s="160"/>
      <c r="B80" s="970" t="s">
        <v>471</v>
      </c>
      <c r="C80" s="971"/>
      <c r="D80" s="160"/>
      <c r="E80" s="972" t="s">
        <v>472</v>
      </c>
      <c r="F80" s="973"/>
      <c r="G80" s="973"/>
      <c r="H80" s="973"/>
      <c r="I80" s="974"/>
      <c r="J80" s="160"/>
      <c r="K80" s="970" t="s">
        <v>473</v>
      </c>
      <c r="L80" s="975"/>
      <c r="M80" s="976"/>
      <c r="N80" s="976"/>
      <c r="O80" s="976"/>
      <c r="P80" s="976"/>
      <c r="Q80" s="976"/>
      <c r="R80" s="977"/>
      <c r="S80" s="160"/>
      <c r="T80" s="160"/>
      <c r="U80" s="160"/>
      <c r="V80" s="160"/>
      <c r="W80" s="160"/>
    </row>
    <row r="81" spans="1:23">
      <c r="A81" s="160"/>
      <c r="B81" s="978" t="s">
        <v>474</v>
      </c>
      <c r="C81" s="1293">
        <v>8.7499999999999994E-2</v>
      </c>
      <c r="D81" s="160"/>
      <c r="E81" s="980" t="s">
        <v>475</v>
      </c>
      <c r="F81" s="981"/>
      <c r="G81" s="981"/>
      <c r="H81" s="981"/>
      <c r="I81" s="982">
        <f>SUM(I76:K76)</f>
        <v>4092.5309259493142</v>
      </c>
      <c r="J81" s="160"/>
      <c r="K81" s="983"/>
      <c r="L81" s="984"/>
      <c r="M81" s="985"/>
      <c r="N81" s="985"/>
      <c r="O81" s="985"/>
      <c r="P81" s="985"/>
      <c r="Q81" s="985"/>
      <c r="R81" s="986"/>
      <c r="S81" s="160"/>
      <c r="T81" s="160"/>
      <c r="U81" s="160"/>
      <c r="V81" s="160"/>
      <c r="W81" s="160"/>
    </row>
    <row r="82" spans="1:23">
      <c r="A82" s="160"/>
      <c r="B82" s="978" t="s">
        <v>476</v>
      </c>
      <c r="C82" s="979">
        <f>((G9/C9)^(1/4))-1</f>
        <v>0.17634547022932878</v>
      </c>
      <c r="D82" s="160"/>
      <c r="E82" s="980" t="s">
        <v>477</v>
      </c>
      <c r="F82" s="981"/>
      <c r="G82" s="981"/>
      <c r="H82" s="981"/>
      <c r="I82" s="982">
        <f>SUM(L76:P76)</f>
        <v>15529.316881008959</v>
      </c>
      <c r="J82" s="160"/>
      <c r="K82" s="978"/>
      <c r="L82" s="984"/>
      <c r="M82" s="1335" t="s">
        <v>478</v>
      </c>
      <c r="N82" s="1335"/>
      <c r="O82" s="1336"/>
      <c r="P82" s="1335"/>
      <c r="Q82" s="1335"/>
      <c r="R82" s="987"/>
      <c r="S82" s="160"/>
      <c r="T82" s="160"/>
      <c r="U82" s="160"/>
      <c r="V82" s="160"/>
      <c r="W82" s="160"/>
    </row>
    <row r="83" spans="1:23">
      <c r="A83" s="160"/>
      <c r="B83" s="978" t="s">
        <v>479</v>
      </c>
      <c r="C83" s="979">
        <f>((P9/G9)^(1/9))-1</f>
        <v>0.14649065396135419</v>
      </c>
      <c r="D83" s="160"/>
      <c r="E83" s="980" t="s">
        <v>480</v>
      </c>
      <c r="F83" s="981"/>
      <c r="G83" s="981"/>
      <c r="H83" s="981"/>
      <c r="I83" s="982">
        <f>P78/(1+C81)^P3</f>
        <v>64542.845443295468</v>
      </c>
      <c r="J83" s="160"/>
      <c r="K83" s="978"/>
      <c r="L83" s="988">
        <f>I90</f>
        <v>79.567132809739363</v>
      </c>
      <c r="M83" s="989">
        <f>O83-0.02</f>
        <v>6.7499999999999991E-2</v>
      </c>
      <c r="N83" s="990">
        <f>O83-0.01</f>
        <v>7.7499999999999999E-2</v>
      </c>
      <c r="O83" s="1277">
        <v>8.7499999999999994E-2</v>
      </c>
      <c r="P83" s="990">
        <f>O83+0.01</f>
        <v>9.7499999999999989E-2</v>
      </c>
      <c r="Q83" s="991">
        <f>O83+0.02</f>
        <v>0.1075</v>
      </c>
      <c r="R83" s="992"/>
      <c r="S83" s="160"/>
      <c r="T83" s="160"/>
      <c r="U83" s="160"/>
      <c r="V83" s="160"/>
      <c r="W83" s="160"/>
    </row>
    <row r="84" spans="1:23">
      <c r="A84" s="160"/>
      <c r="B84" s="978" t="s">
        <v>481</v>
      </c>
      <c r="C84" s="993">
        <f>P78/P72</f>
        <v>20.521739130434785</v>
      </c>
      <c r="D84" s="160"/>
      <c r="E84" s="994" t="s">
        <v>482</v>
      </c>
      <c r="F84" s="995"/>
      <c r="G84" s="996"/>
      <c r="H84" s="996"/>
      <c r="I84" s="997">
        <f>SUM(I81:I83)</f>
        <v>84164.693250253738</v>
      </c>
      <c r="J84" s="160"/>
      <c r="K84" s="998" t="s">
        <v>483</v>
      </c>
      <c r="L84" s="999">
        <f>L85-0.005</f>
        <v>1.9999999999999997E-2</v>
      </c>
      <c r="M84" s="1000">
        <f t="dataTable" ref="M84:Q88" dt2D="1" dtr="0" r1="C81" r2="C86"/>
        <v>102.3647627613383</v>
      </c>
      <c r="N84" s="1001">
        <v>85.211343692474799</v>
      </c>
      <c r="O84" s="1002">
        <v>73.19304957013388</v>
      </c>
      <c r="P84" s="1001">
        <v>64.319078384576159</v>
      </c>
      <c r="Q84" s="1003">
        <v>57.508911561083416</v>
      </c>
      <c r="R84" s="992"/>
      <c r="S84" s="160"/>
      <c r="T84" s="160"/>
      <c r="U84" s="160"/>
      <c r="V84" s="160"/>
      <c r="W84" s="160"/>
    </row>
    <row r="85" spans="1:23">
      <c r="A85" s="160"/>
      <c r="B85" s="978" t="s">
        <v>484</v>
      </c>
      <c r="C85" s="993">
        <f>+P78/P42</f>
        <v>13.71544366570506</v>
      </c>
      <c r="D85" s="160"/>
      <c r="E85" s="1004" t="s">
        <v>485</v>
      </c>
      <c r="F85" s="981"/>
      <c r="G85" s="981"/>
      <c r="H85" s="981"/>
      <c r="I85" s="1005">
        <v>3000</v>
      </c>
      <c r="J85" s="160"/>
      <c r="K85" s="998" t="s">
        <v>486</v>
      </c>
      <c r="L85" s="1006">
        <f>L86-0.005</f>
        <v>2.4999999999999998E-2</v>
      </c>
      <c r="M85" s="1007">
        <v>109.82536814506499</v>
      </c>
      <c r="N85" s="1002">
        <v>89.735303222346928</v>
      </c>
      <c r="O85" s="1002">
        <v>76.125127860352393</v>
      </c>
      <c r="P85" s="1002">
        <v>66.310632147665586</v>
      </c>
      <c r="Q85" s="1008">
        <v>58.90923244358487</v>
      </c>
      <c r="R85" s="992"/>
      <c r="S85" s="160"/>
      <c r="T85" s="160"/>
      <c r="U85" s="160"/>
      <c r="V85" s="160"/>
      <c r="W85" s="160"/>
    </row>
    <row r="86" spans="1:23">
      <c r="A86" s="160"/>
      <c r="B86" s="978" t="s">
        <v>487</v>
      </c>
      <c r="C86" s="979">
        <f>CHOOSE(_Switch,C87,C88,C89)</f>
        <v>0.03</v>
      </c>
      <c r="D86" s="160"/>
      <c r="E86" s="1004" t="s">
        <v>488</v>
      </c>
      <c r="F86" s="981"/>
      <c r="G86" s="981"/>
      <c r="H86" s="981"/>
      <c r="I86" s="1009">
        <v>14930.554531476688</v>
      </c>
      <c r="J86" s="160"/>
      <c r="K86" s="998" t="s">
        <v>489</v>
      </c>
      <c r="L86" s="1006">
        <f>C88</f>
        <v>0.03</v>
      </c>
      <c r="M86" s="1007">
        <v>119.27546829778551</v>
      </c>
      <c r="N86" s="1002">
        <v>95.21167528482377</v>
      </c>
      <c r="O86" s="1010">
        <v>79.567132809739363</v>
      </c>
      <c r="P86" s="1002">
        <v>68.597230912694201</v>
      </c>
      <c r="Q86" s="1008">
        <v>60.490239891570397</v>
      </c>
      <c r="R86" s="992"/>
      <c r="S86" s="160"/>
      <c r="T86" s="160"/>
      <c r="U86" s="160"/>
      <c r="V86" s="160"/>
      <c r="W86" s="160"/>
    </row>
    <row r="87" spans="1:23">
      <c r="A87" s="160"/>
      <c r="B87" s="914" t="s">
        <v>121</v>
      </c>
      <c r="C87" s="1011">
        <v>0.03</v>
      </c>
      <c r="D87" s="160"/>
      <c r="E87" s="1004" t="s">
        <v>490</v>
      </c>
      <c r="F87" s="981"/>
      <c r="G87" s="981"/>
      <c r="H87" s="981"/>
      <c r="I87" s="1009">
        <v>0</v>
      </c>
      <c r="J87" s="160"/>
      <c r="K87" s="998"/>
      <c r="L87" s="1006">
        <f>L86+0.005</f>
        <v>3.4999999999999996E-2</v>
      </c>
      <c r="M87" s="1007">
        <v>131.63329157441999</v>
      </c>
      <c r="N87" s="1002">
        <v>101.97660547964806</v>
      </c>
      <c r="O87" s="1002">
        <v>83.664757749485744</v>
      </c>
      <c r="P87" s="1002">
        <v>71.249685480127411</v>
      </c>
      <c r="Q87" s="1008">
        <v>62.289317332381515</v>
      </c>
      <c r="R87" s="992"/>
      <c r="S87" s="160"/>
      <c r="T87" s="160"/>
      <c r="U87" s="160"/>
      <c r="V87" s="160"/>
      <c r="W87" s="160"/>
    </row>
    <row r="88" spans="1:23">
      <c r="A88" s="160"/>
      <c r="B88" s="914" t="s">
        <v>122</v>
      </c>
      <c r="C88" s="1011">
        <v>0.03</v>
      </c>
      <c r="D88" s="160"/>
      <c r="E88" s="994" t="s">
        <v>491</v>
      </c>
      <c r="F88" s="996"/>
      <c r="G88" s="996"/>
      <c r="H88" s="996"/>
      <c r="I88" s="997">
        <f>I84-I85+I86-I87</f>
        <v>96095.247781730432</v>
      </c>
      <c r="J88" s="160"/>
      <c r="K88" s="978"/>
      <c r="L88" s="1012">
        <f>L87+0.005</f>
        <v>3.9999999999999994E-2</v>
      </c>
      <c r="M88" s="1013">
        <v>148.48486876983068</v>
      </c>
      <c r="N88" s="1014">
        <v>110.54551705975884</v>
      </c>
      <c r="O88" s="1014">
        <v>88.625040571283989</v>
      </c>
      <c r="P88" s="1014">
        <v>74.363436494070726</v>
      </c>
      <c r="Q88" s="1015">
        <v>64.354924764423913</v>
      </c>
      <c r="R88" s="992"/>
      <c r="S88" s="160"/>
      <c r="T88" s="160"/>
      <c r="U88" s="160"/>
      <c r="V88" s="160"/>
      <c r="W88" s="160"/>
    </row>
    <row r="89" spans="1:23">
      <c r="A89" s="160"/>
      <c r="B89" s="1016" t="s">
        <v>123</v>
      </c>
      <c r="C89" s="1017">
        <v>2.5000000000000001E-2</v>
      </c>
      <c r="D89" s="160"/>
      <c r="E89" s="1004" t="s">
        <v>492</v>
      </c>
      <c r="F89" s="981"/>
      <c r="G89" s="981"/>
      <c r="H89" s="981"/>
      <c r="I89" s="1018">
        <v>1207.725406060729</v>
      </c>
      <c r="J89" s="160"/>
      <c r="K89" s="1019"/>
      <c r="L89" s="1020"/>
      <c r="M89" s="1020"/>
      <c r="N89" s="1020"/>
      <c r="O89" s="1021"/>
      <c r="P89" s="1020"/>
      <c r="Q89" s="1020"/>
      <c r="R89" s="1022"/>
      <c r="S89" s="160"/>
      <c r="T89" s="160"/>
      <c r="U89" s="160"/>
      <c r="V89" s="160"/>
      <c r="W89" s="160"/>
    </row>
    <row r="90" spans="1:23">
      <c r="A90" s="160"/>
      <c r="B90" s="1023" t="s">
        <v>493</v>
      </c>
      <c r="C90" s="1024">
        <v>10</v>
      </c>
      <c r="D90" s="160"/>
      <c r="E90" s="1025" t="s">
        <v>494</v>
      </c>
      <c r="F90" s="1026"/>
      <c r="G90" s="1026"/>
      <c r="H90" s="1026"/>
      <c r="I90" s="1027">
        <f>+I88/I89</f>
        <v>79.567132809739363</v>
      </c>
      <c r="J90" s="160"/>
      <c r="K90" s="922"/>
      <c r="L90" s="160"/>
      <c r="M90" s="160"/>
      <c r="N90" s="160"/>
      <c r="O90" s="1028"/>
      <c r="P90" s="160"/>
      <c r="Q90" s="160"/>
      <c r="R90" s="160"/>
      <c r="S90" s="160"/>
      <c r="T90" s="160"/>
      <c r="U90" s="160"/>
      <c r="V90" s="160"/>
      <c r="W90" s="160"/>
    </row>
    <row r="91" spans="1:23">
      <c r="A91" s="160"/>
      <c r="B91" s="1016" t="s">
        <v>495</v>
      </c>
      <c r="C91" s="1029">
        <v>0.06</v>
      </c>
      <c r="D91" s="160"/>
      <c r="E91" s="160"/>
      <c r="F91" s="160"/>
      <c r="G91" s="160"/>
      <c r="H91" s="160"/>
      <c r="I91" s="160"/>
      <c r="J91" s="160"/>
      <c r="K91" s="160"/>
      <c r="L91" s="1030"/>
      <c r="M91" s="160"/>
      <c r="N91" s="160"/>
      <c r="O91" s="160"/>
      <c r="P91" s="160"/>
      <c r="Q91" s="160"/>
      <c r="R91" s="160"/>
      <c r="S91" s="160"/>
      <c r="T91" s="160"/>
      <c r="U91" s="160"/>
      <c r="V91" s="160"/>
      <c r="W91" s="160"/>
    </row>
    <row r="92" spans="1:23">
      <c r="A92" s="160"/>
      <c r="B92" s="160"/>
      <c r="C92" s="160"/>
      <c r="D92" s="160"/>
      <c r="E92" s="160"/>
      <c r="F92" s="160"/>
      <c r="G92" s="160"/>
      <c r="H92" s="160"/>
      <c r="I92" s="160"/>
      <c r="J92" s="160"/>
      <c r="K92" s="160"/>
      <c r="L92" s="160"/>
      <c r="M92" s="160"/>
      <c r="N92" s="160"/>
      <c r="O92" s="160"/>
      <c r="P92" s="237"/>
      <c r="Q92" s="160"/>
      <c r="R92" s="160"/>
      <c r="S92" s="160"/>
      <c r="T92" s="160"/>
      <c r="U92" s="160"/>
      <c r="V92" s="160"/>
      <c r="W92" s="160"/>
    </row>
    <row r="93" spans="1:23">
      <c r="A93" s="160"/>
      <c r="B93" s="160"/>
      <c r="C93" s="160"/>
      <c r="D93" s="160"/>
      <c r="E93" s="160"/>
      <c r="F93" s="160"/>
      <c r="G93" s="160"/>
      <c r="H93" s="160"/>
      <c r="I93" s="160"/>
      <c r="J93" s="160"/>
      <c r="K93" s="160"/>
      <c r="L93" s="160"/>
      <c r="M93" s="160"/>
      <c r="N93" s="160"/>
      <c r="O93" s="160"/>
      <c r="P93" s="160"/>
      <c r="Q93" s="160"/>
      <c r="R93" s="160"/>
      <c r="S93" s="160"/>
      <c r="T93" s="160"/>
      <c r="U93" s="160"/>
      <c r="V93" s="160"/>
      <c r="W93" s="160"/>
    </row>
    <row r="94" spans="1:23">
      <c r="A94" s="160"/>
      <c r="B94" s="970" t="s">
        <v>496</v>
      </c>
      <c r="C94" s="973"/>
      <c r="D94" s="973"/>
      <c r="E94" s="973"/>
      <c r="F94" s="1031"/>
      <c r="G94" s="160"/>
      <c r="H94" s="160"/>
      <c r="I94" s="160"/>
      <c r="J94" s="160"/>
      <c r="K94" s="160"/>
      <c r="L94" s="160"/>
      <c r="M94" s="160"/>
      <c r="N94" s="160"/>
      <c r="O94" s="160"/>
      <c r="P94" s="160"/>
      <c r="Q94" s="160"/>
      <c r="R94" s="160"/>
      <c r="S94" s="160"/>
      <c r="T94" s="160"/>
      <c r="U94" s="160"/>
      <c r="V94" s="160"/>
      <c r="W94" s="160"/>
    </row>
    <row r="95" spans="1:23">
      <c r="A95" s="160"/>
      <c r="B95" s="1032"/>
      <c r="C95" s="981"/>
      <c r="D95" s="981"/>
      <c r="E95" s="981"/>
      <c r="F95" s="1033"/>
      <c r="G95" s="160"/>
      <c r="H95" s="160"/>
      <c r="I95" s="160"/>
      <c r="J95" s="160"/>
      <c r="K95" s="160"/>
      <c r="L95" s="160"/>
      <c r="M95" s="160"/>
      <c r="N95" s="160"/>
      <c r="O95" s="160"/>
      <c r="P95" s="160"/>
      <c r="Q95" s="160"/>
      <c r="R95" s="160"/>
      <c r="S95" s="160"/>
      <c r="T95" s="160"/>
      <c r="U95" s="160"/>
      <c r="V95" s="160"/>
      <c r="W95" s="160"/>
    </row>
    <row r="96" spans="1:23">
      <c r="A96" s="160"/>
      <c r="B96" s="1032" t="s">
        <v>497</v>
      </c>
      <c r="C96" s="981"/>
      <c r="D96" s="981"/>
      <c r="E96" s="981"/>
      <c r="F96" s="1034"/>
      <c r="G96" s="160"/>
      <c r="H96" s="160"/>
      <c r="I96" s="160"/>
      <c r="J96" s="160"/>
      <c r="K96" s="160"/>
      <c r="L96" s="160"/>
      <c r="M96" s="160"/>
      <c r="N96" s="160"/>
      <c r="O96" s="160"/>
      <c r="P96" s="160"/>
      <c r="Q96" s="160"/>
      <c r="R96" s="160"/>
      <c r="S96" s="160"/>
      <c r="T96" s="160"/>
      <c r="U96" s="160"/>
      <c r="V96" s="160"/>
      <c r="W96" s="160"/>
    </row>
    <row r="97" spans="1:23">
      <c r="A97" s="160"/>
      <c r="B97" s="978"/>
      <c r="C97" s="981"/>
      <c r="D97" s="981"/>
      <c r="E97" s="981"/>
      <c r="F97" s="1034"/>
      <c r="G97" s="160"/>
      <c r="H97" s="160"/>
      <c r="I97" s="160"/>
      <c r="J97" s="160"/>
      <c r="K97" s="160"/>
      <c r="L97" s="160"/>
      <c r="M97" s="160"/>
      <c r="N97" s="160"/>
      <c r="O97" s="160"/>
      <c r="P97" s="160"/>
      <c r="Q97" s="160"/>
      <c r="R97" s="160"/>
      <c r="S97" s="160"/>
      <c r="T97" s="160"/>
      <c r="U97" s="160"/>
      <c r="V97" s="160"/>
      <c r="W97" s="160"/>
    </row>
    <row r="98" spans="1:23">
      <c r="A98" s="160"/>
      <c r="B98" s="983" t="s">
        <v>498</v>
      </c>
      <c r="C98" s="981"/>
      <c r="D98" s="981"/>
      <c r="E98" s="981"/>
      <c r="F98" s="1034"/>
      <c r="G98" s="160"/>
      <c r="H98" s="160"/>
      <c r="I98" s="160"/>
      <c r="J98" s="160"/>
      <c r="K98" s="160"/>
      <c r="L98" s="237"/>
      <c r="M98" s="160"/>
      <c r="N98" s="160"/>
      <c r="O98" s="160"/>
      <c r="P98" s="160"/>
      <c r="Q98" s="160"/>
      <c r="R98" s="160"/>
      <c r="S98" s="160"/>
      <c r="T98" s="160"/>
      <c r="U98" s="160"/>
      <c r="V98" s="160"/>
      <c r="W98" s="160"/>
    </row>
    <row r="99" spans="1:23">
      <c r="A99" s="160"/>
      <c r="B99" s="978"/>
      <c r="C99" s="981"/>
      <c r="D99" s="981"/>
      <c r="E99" s="981"/>
      <c r="F99" s="1035" t="s">
        <v>499</v>
      </c>
      <c r="G99" s="160"/>
      <c r="H99" s="160"/>
      <c r="I99" s="160"/>
      <c r="J99" s="160"/>
      <c r="K99" s="160"/>
      <c r="L99" s="237"/>
      <c r="M99" s="160"/>
      <c r="N99" s="160"/>
      <c r="O99" s="160"/>
      <c r="P99" s="160"/>
      <c r="Q99" s="160"/>
      <c r="R99" s="160"/>
      <c r="S99" s="160"/>
      <c r="T99" s="160"/>
      <c r="U99" s="160"/>
      <c r="V99" s="160"/>
      <c r="W99" s="160"/>
    </row>
    <row r="100" spans="1:23">
      <c r="A100" s="160"/>
      <c r="B100" s="978"/>
      <c r="C100" s="1036" t="s">
        <v>500</v>
      </c>
      <c r="D100" s="1037" t="s">
        <v>501</v>
      </c>
      <c r="E100" s="1037" t="s">
        <v>502</v>
      </c>
      <c r="F100" s="1035" t="s">
        <v>502</v>
      </c>
      <c r="G100" s="1028"/>
      <c r="H100" s="160"/>
      <c r="I100" s="160"/>
      <c r="J100" s="160"/>
      <c r="K100" s="160"/>
      <c r="L100" s="160"/>
      <c r="M100" s="160"/>
      <c r="N100" s="160"/>
      <c r="O100" s="160"/>
      <c r="P100" s="160"/>
      <c r="Q100" s="160"/>
      <c r="R100" s="160"/>
      <c r="S100" s="160"/>
      <c r="T100" s="160"/>
      <c r="U100" s="160"/>
      <c r="V100" s="160"/>
      <c r="W100" s="160"/>
    </row>
    <row r="101" spans="1:23">
      <c r="A101" s="160"/>
      <c r="B101" s="1038" t="s">
        <v>503</v>
      </c>
      <c r="C101" s="1039">
        <v>72000</v>
      </c>
      <c r="D101" s="1040">
        <f>+C101/C103</f>
        <v>1</v>
      </c>
      <c r="E101" s="1041">
        <f>+C118</f>
        <v>8.8499999999999995E-2</v>
      </c>
      <c r="F101" s="1042">
        <f>(C101/$C$103)*E101</f>
        <v>8.8499999999999995E-2</v>
      </c>
      <c r="G101" s="160"/>
      <c r="H101" s="160"/>
      <c r="I101" s="160"/>
      <c r="J101" s="160"/>
      <c r="K101" s="160"/>
      <c r="L101" s="160"/>
      <c r="M101" s="160"/>
      <c r="N101" s="160"/>
      <c r="O101" s="160"/>
      <c r="P101" s="160"/>
      <c r="Q101" s="160"/>
      <c r="R101" s="160"/>
      <c r="S101" s="160"/>
      <c r="T101" s="160"/>
      <c r="U101" s="160"/>
      <c r="V101" s="160"/>
      <c r="W101" s="160"/>
    </row>
    <row r="102" spans="1:23">
      <c r="A102" s="160"/>
      <c r="B102" s="1043" t="s">
        <v>504</v>
      </c>
      <c r="C102" s="1044">
        <f>'Quarterly Model'!AY259</f>
        <v>0</v>
      </c>
      <c r="D102" s="1045">
        <f>+C102/C103</f>
        <v>0</v>
      </c>
      <c r="E102" s="1046">
        <v>0.06</v>
      </c>
      <c r="F102" s="1047">
        <f>(C102/$C$103)*E102</f>
        <v>0</v>
      </c>
      <c r="G102" s="636"/>
      <c r="H102" s="160"/>
      <c r="I102" s="160"/>
      <c r="J102" s="160"/>
      <c r="K102" s="160"/>
      <c r="L102" s="160"/>
      <c r="M102" s="160"/>
      <c r="N102" s="160"/>
      <c r="O102" s="160"/>
      <c r="P102" s="160"/>
      <c r="Q102" s="160"/>
      <c r="R102" s="160"/>
      <c r="S102" s="160"/>
      <c r="T102" s="160"/>
      <c r="U102" s="160"/>
      <c r="V102" s="160"/>
      <c r="W102" s="160"/>
    </row>
    <row r="103" spans="1:23">
      <c r="A103" s="160"/>
      <c r="B103" s="1048" t="s">
        <v>474</v>
      </c>
      <c r="C103" s="1049">
        <f>+C101+C102</f>
        <v>72000</v>
      </c>
      <c r="D103" s="1050">
        <f>+D101+D102</f>
        <v>1</v>
      </c>
      <c r="E103" s="1051"/>
      <c r="F103" s="1052">
        <f>F102+F101</f>
        <v>8.8499999999999995E-2</v>
      </c>
      <c r="G103" s="636"/>
      <c r="H103" s="160"/>
      <c r="I103" s="160"/>
      <c r="J103" s="160"/>
      <c r="K103" s="160"/>
      <c r="L103" s="160"/>
      <c r="M103" s="160"/>
      <c r="N103" s="160"/>
      <c r="O103" s="160"/>
      <c r="P103" s="160"/>
      <c r="Q103" s="160"/>
      <c r="R103" s="160"/>
      <c r="S103" s="160"/>
      <c r="T103" s="160"/>
      <c r="U103" s="160"/>
      <c r="V103" s="160"/>
      <c r="W103" s="160"/>
    </row>
    <row r="104" spans="1:23">
      <c r="A104" s="160"/>
      <c r="B104" s="978"/>
      <c r="C104" s="981"/>
      <c r="D104" s="981"/>
      <c r="E104" s="981"/>
      <c r="F104" s="1034"/>
      <c r="G104" s="160"/>
      <c r="H104" s="160"/>
      <c r="I104" s="160"/>
      <c r="J104" s="160"/>
      <c r="K104" s="160"/>
      <c r="L104" s="160"/>
      <c r="M104" s="160"/>
      <c r="N104" s="160"/>
      <c r="O104" s="160"/>
      <c r="P104" s="160"/>
      <c r="Q104" s="160"/>
      <c r="R104" s="160"/>
      <c r="S104" s="160"/>
      <c r="T104" s="160"/>
      <c r="U104" s="160"/>
      <c r="V104" s="160"/>
      <c r="W104" s="160"/>
    </row>
    <row r="105" spans="1:23">
      <c r="A105" s="160"/>
      <c r="B105" s="978"/>
      <c r="C105" s="981"/>
      <c r="D105" s="981"/>
      <c r="E105" s="981"/>
      <c r="F105" s="1034"/>
      <c r="G105" s="160"/>
      <c r="H105" s="160"/>
      <c r="I105" s="160"/>
      <c r="J105" s="160"/>
      <c r="K105" s="160"/>
      <c r="L105" s="160"/>
      <c r="M105" s="160"/>
      <c r="N105" s="160"/>
      <c r="O105" s="160"/>
      <c r="P105" s="160"/>
      <c r="Q105" s="160"/>
      <c r="R105" s="160"/>
      <c r="S105" s="160"/>
      <c r="T105" s="160"/>
      <c r="U105" s="160"/>
      <c r="V105" s="160"/>
      <c r="W105" s="160"/>
    </row>
    <row r="106" spans="1:23">
      <c r="A106" s="160"/>
      <c r="B106" s="978"/>
      <c r="C106" s="981"/>
      <c r="D106" s="981"/>
      <c r="E106" s="981"/>
      <c r="F106" s="1034"/>
      <c r="G106" s="160"/>
      <c r="H106" s="160"/>
      <c r="I106" s="160"/>
      <c r="J106" s="160"/>
      <c r="K106" s="160"/>
      <c r="L106" s="160"/>
      <c r="M106" s="160"/>
      <c r="N106" s="160"/>
      <c r="O106" s="160"/>
      <c r="P106" s="160"/>
      <c r="Q106" s="160"/>
      <c r="R106" s="160"/>
      <c r="S106" s="160"/>
      <c r="T106" s="160"/>
      <c r="U106" s="160"/>
      <c r="V106" s="160"/>
      <c r="W106" s="160"/>
    </row>
    <row r="107" spans="1:23">
      <c r="A107" s="160"/>
      <c r="B107" s="983" t="s">
        <v>505</v>
      </c>
      <c r="C107" s="981"/>
      <c r="D107" s="981"/>
      <c r="E107" s="981"/>
      <c r="F107" s="1034"/>
      <c r="G107" s="160"/>
      <c r="H107" s="160"/>
      <c r="I107" s="160"/>
      <c r="J107" s="160"/>
      <c r="K107" s="160"/>
      <c r="L107" s="160"/>
      <c r="M107" s="160"/>
      <c r="N107" s="160"/>
      <c r="O107" s="160"/>
      <c r="P107" s="160"/>
      <c r="Q107" s="160"/>
      <c r="R107" s="160"/>
      <c r="S107" s="160"/>
      <c r="T107" s="160"/>
      <c r="U107" s="160"/>
      <c r="V107" s="160"/>
      <c r="W107" s="160"/>
    </row>
    <row r="108" spans="1:23">
      <c r="A108" s="160"/>
      <c r="B108" s="978" t="s">
        <v>506</v>
      </c>
      <c r="C108" s="981"/>
      <c r="D108" s="981"/>
      <c r="E108" s="981"/>
      <c r="F108" s="1034"/>
      <c r="G108" s="160"/>
      <c r="H108" s="160"/>
      <c r="I108" s="160"/>
      <c r="J108" s="160"/>
      <c r="K108" s="160"/>
      <c r="L108" s="160"/>
      <c r="M108" s="160"/>
      <c r="N108" s="160"/>
      <c r="O108" s="160"/>
      <c r="P108" s="160"/>
      <c r="Q108" s="160"/>
      <c r="R108" s="160"/>
      <c r="S108" s="160"/>
      <c r="T108" s="160"/>
      <c r="U108" s="160"/>
      <c r="V108" s="160"/>
      <c r="W108" s="160"/>
    </row>
    <row r="109" spans="1:23">
      <c r="A109" s="160"/>
      <c r="B109" s="978"/>
      <c r="C109" s="1053"/>
      <c r="D109" s="981"/>
      <c r="E109" s="981"/>
      <c r="F109" s="1034"/>
      <c r="G109" s="160"/>
      <c r="H109" s="160"/>
      <c r="I109" s="160"/>
      <c r="J109" s="160"/>
      <c r="K109" s="160"/>
      <c r="L109" s="160"/>
      <c r="M109" s="160"/>
      <c r="N109" s="160"/>
      <c r="O109" s="160"/>
      <c r="P109" s="160"/>
      <c r="Q109" s="160"/>
      <c r="R109" s="160"/>
      <c r="S109" s="160"/>
      <c r="T109" s="160"/>
      <c r="U109" s="160"/>
      <c r="V109" s="160"/>
      <c r="W109" s="160"/>
    </row>
    <row r="110" spans="1:23">
      <c r="A110" s="160"/>
      <c r="B110" s="1048" t="s">
        <v>507</v>
      </c>
      <c r="C110" s="1054">
        <v>2.2499999999999999E-2</v>
      </c>
      <c r="D110" s="1055" t="s">
        <v>508</v>
      </c>
      <c r="E110" s="981"/>
      <c r="F110" s="1034"/>
      <c r="G110" s="160"/>
      <c r="H110" s="160"/>
      <c r="I110" s="160"/>
      <c r="J110" s="160"/>
      <c r="K110" s="160"/>
      <c r="L110" s="160"/>
      <c r="M110" s="160"/>
      <c r="N110" s="160"/>
      <c r="O110" s="160"/>
      <c r="P110" s="160"/>
      <c r="Q110" s="160"/>
      <c r="R110" s="160"/>
      <c r="S110" s="160"/>
      <c r="T110" s="160"/>
      <c r="U110" s="160"/>
      <c r="V110" s="160"/>
      <c r="W110" s="160"/>
    </row>
    <row r="111" spans="1:23">
      <c r="A111" s="160"/>
      <c r="B111" s="1056" t="s">
        <v>509</v>
      </c>
      <c r="C111" s="1057"/>
      <c r="D111" s="1055"/>
      <c r="E111" s="981"/>
      <c r="F111" s="1034"/>
      <c r="G111" s="160" t="s">
        <v>510</v>
      </c>
      <c r="H111" s="160"/>
      <c r="I111" s="160"/>
      <c r="J111" s="160"/>
      <c r="K111" s="160"/>
      <c r="L111" s="160"/>
      <c r="M111" s="160"/>
      <c r="N111" s="160"/>
      <c r="O111" s="160"/>
      <c r="P111" s="160"/>
      <c r="Q111" s="160"/>
      <c r="R111" s="160"/>
      <c r="S111" s="160"/>
      <c r="T111" s="160"/>
      <c r="U111" s="160"/>
      <c r="V111" s="160"/>
      <c r="W111" s="160"/>
    </row>
    <row r="112" spans="1:23">
      <c r="A112" s="160"/>
      <c r="B112" s="1048" t="s">
        <v>511</v>
      </c>
      <c r="C112" s="1058">
        <v>1.1000000000000001</v>
      </c>
      <c r="D112" s="1055"/>
      <c r="E112" s="981"/>
      <c r="F112" s="1034"/>
      <c r="G112" s="160"/>
      <c r="H112" s="160"/>
      <c r="I112" s="160"/>
      <c r="J112" s="160"/>
      <c r="K112" s="160"/>
      <c r="L112" s="160"/>
      <c r="M112" s="160"/>
      <c r="N112" s="160"/>
      <c r="O112" s="160"/>
      <c r="P112" s="160"/>
      <c r="Q112" s="160"/>
      <c r="R112" s="160"/>
      <c r="S112" s="160"/>
      <c r="T112" s="160"/>
      <c r="U112" s="160"/>
      <c r="V112" s="160"/>
      <c r="W112" s="160"/>
    </row>
    <row r="113" spans="1:23">
      <c r="A113" s="160"/>
      <c r="B113" s="1056" t="s">
        <v>512</v>
      </c>
      <c r="C113" s="1053"/>
      <c r="D113" s="1055"/>
      <c r="E113" s="981"/>
      <c r="F113" s="1034"/>
      <c r="G113" s="160"/>
      <c r="H113" s="160"/>
      <c r="I113" s="160"/>
      <c r="J113" s="160"/>
      <c r="K113" s="160"/>
      <c r="L113" s="160"/>
      <c r="M113" s="160"/>
      <c r="N113" s="160"/>
      <c r="O113" s="160"/>
      <c r="P113" s="160"/>
      <c r="Q113" s="160"/>
      <c r="R113" s="160"/>
      <c r="S113" s="160"/>
      <c r="T113" s="160"/>
      <c r="U113" s="160"/>
      <c r="V113" s="160"/>
      <c r="W113" s="160"/>
    </row>
    <row r="114" spans="1:23">
      <c r="A114" s="160"/>
      <c r="B114" s="1059" t="s">
        <v>513</v>
      </c>
      <c r="C114" s="1054">
        <v>7.2499999999999995E-2</v>
      </c>
      <c r="D114" s="1055"/>
      <c r="E114" s="981"/>
      <c r="F114" s="1034"/>
      <c r="G114" s="160"/>
      <c r="H114" s="160"/>
      <c r="I114" s="160"/>
      <c r="J114" s="160"/>
      <c r="K114" s="160"/>
      <c r="L114" s="160"/>
      <c r="M114" s="160"/>
      <c r="N114" s="160"/>
      <c r="O114" s="160"/>
      <c r="P114" s="160"/>
      <c r="Q114" s="160"/>
      <c r="R114" s="160"/>
      <c r="S114" s="160"/>
      <c r="T114" s="160"/>
      <c r="U114" s="160"/>
      <c r="V114" s="160"/>
      <c r="W114" s="160"/>
    </row>
    <row r="115" spans="1:23">
      <c r="A115" s="160"/>
      <c r="B115" s="1056" t="s">
        <v>514</v>
      </c>
      <c r="C115" s="1060">
        <f>+C110</f>
        <v>2.2499999999999999E-2</v>
      </c>
      <c r="D115" s="1061"/>
      <c r="E115" s="981"/>
      <c r="F115" s="1034"/>
      <c r="G115" s="160"/>
      <c r="H115" s="160"/>
      <c r="I115" s="160"/>
      <c r="J115" s="21"/>
      <c r="K115" s="21"/>
      <c r="L115" s="21"/>
      <c r="M115" s="21"/>
      <c r="N115" s="21"/>
      <c r="O115" s="21"/>
      <c r="P115" s="21"/>
      <c r="Q115" s="21"/>
      <c r="R115" s="160"/>
      <c r="S115" s="160"/>
      <c r="T115" s="160"/>
      <c r="U115" s="160"/>
      <c r="V115" s="160"/>
      <c r="W115" s="160"/>
    </row>
    <row r="116" spans="1:23">
      <c r="A116" s="160"/>
      <c r="B116" s="1062" t="s">
        <v>515</v>
      </c>
      <c r="C116" s="1063">
        <v>0.06</v>
      </c>
      <c r="D116" s="1055"/>
      <c r="E116" s="981"/>
      <c r="F116" s="1034"/>
      <c r="G116" s="160"/>
      <c r="H116" s="160"/>
      <c r="I116" s="22"/>
      <c r="J116" s="19"/>
      <c r="K116" s="19"/>
      <c r="L116" s="19"/>
      <c r="M116" s="19"/>
      <c r="N116" s="19"/>
      <c r="O116" s="19"/>
      <c r="P116" s="19"/>
      <c r="Q116" s="19"/>
      <c r="R116" s="160"/>
      <c r="S116" s="160"/>
      <c r="T116" s="160"/>
      <c r="U116" s="160"/>
      <c r="V116" s="160"/>
      <c r="W116" s="160"/>
    </row>
    <row r="117" spans="1:23">
      <c r="A117" s="160"/>
      <c r="B117" s="1064" t="s">
        <v>516</v>
      </c>
      <c r="C117" s="1065">
        <v>0</v>
      </c>
      <c r="D117" s="981"/>
      <c r="E117" s="981"/>
      <c r="F117" s="1034"/>
      <c r="G117" s="160"/>
      <c r="H117" s="160"/>
      <c r="I117" s="21"/>
      <c r="J117" s="1066"/>
      <c r="K117" s="1066"/>
      <c r="L117" s="1066"/>
      <c r="M117" s="1066"/>
      <c r="N117" s="1066"/>
      <c r="O117" s="1066"/>
      <c r="P117" s="1066"/>
      <c r="Q117" s="1066"/>
      <c r="R117" s="160"/>
      <c r="S117" s="160"/>
      <c r="T117" s="160"/>
      <c r="U117" s="160"/>
      <c r="V117" s="160"/>
      <c r="W117" s="160"/>
    </row>
    <row r="118" spans="1:23">
      <c r="A118" s="160"/>
      <c r="B118" s="1289" t="s">
        <v>517</v>
      </c>
      <c r="C118" s="1290">
        <f>+C110+(C112*C116)+C117</f>
        <v>8.8499999999999995E-2</v>
      </c>
      <c r="D118" s="1291"/>
      <c r="E118" s="1291"/>
      <c r="F118" s="1292"/>
      <c r="G118" s="160"/>
      <c r="H118" s="160"/>
      <c r="I118" s="1067"/>
      <c r="J118" s="1068"/>
      <c r="K118" s="1068"/>
      <c r="L118" s="1068"/>
      <c r="M118" s="1069"/>
      <c r="N118" s="1069"/>
      <c r="O118" s="1068"/>
      <c r="P118" s="1068"/>
      <c r="Q118" s="1068"/>
      <c r="R118" s="160"/>
      <c r="S118" s="160"/>
      <c r="T118" s="160"/>
      <c r="U118" s="160"/>
      <c r="V118" s="160"/>
      <c r="W118" s="160"/>
    </row>
  </sheetData>
  <mergeCells count="1">
    <mergeCell ref="M82:Q82"/>
  </mergeCells>
  <dataValidations count="1">
    <dataValidation type="list" allowBlank="1" showInputMessage="1" showErrorMessage="1" sqref="V4">
      <formula1>"0,1,2,3"</formula1>
    </dataValidation>
  </dataValidations>
  <pageMargins left="0" right="0" top="0" bottom="0" header="0" footer="0"/>
  <pageSetup paperSize="5" scale="46" orientation="landscape" r:id="rId1"/>
  <headerFooter alignWithMargins="0"/>
  <drawing r:id="rId2"/>
  <legacyDrawing r:id="rId3"/>
  <controls>
    <mc:AlternateContent xmlns:mc="http://schemas.openxmlformats.org/markup-compatibility/2006">
      <mc:Choice Requires="x14">
        <control shapeId="5121" r:id="rId4" name="ComboBox1">
          <controlPr defaultSize="0" autoLine="0" linkedCell="DCF!$A$5" listFillRange="DCF!$A$2:$A$4" r:id="rId5">
            <anchor moveWithCells="1">
              <from>
                <xdr:col>1</xdr:col>
                <xdr:colOff>742950</xdr:colOff>
                <xdr:row>2</xdr:row>
                <xdr:rowOff>47625</xdr:rowOff>
              </from>
              <to>
                <xdr:col>1</xdr:col>
                <xdr:colOff>2295525</xdr:colOff>
                <xdr:row>3</xdr:row>
                <xdr:rowOff>114300</xdr:rowOff>
              </to>
            </anchor>
          </controlPr>
        </control>
      </mc:Choice>
      <mc:Fallback>
        <control shapeId="5121" r:id="rId4" name="ComboBox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theme="3"/>
  </sheetPr>
  <dimension ref="A1:CE60"/>
  <sheetViews>
    <sheetView showGridLines="0" zoomScale="80" zoomScaleNormal="80" workbookViewId="0">
      <pane xSplit="2" ySplit="4" topLeftCell="AP5" activePane="bottomRight" state="frozen"/>
      <selection activeCell="I43" sqref="I43"/>
      <selection pane="topRight" activeCell="I43" sqref="I43"/>
      <selection pane="bottomLeft" activeCell="I43" sqref="I43"/>
      <selection pane="bottomRight"/>
    </sheetView>
  </sheetViews>
  <sheetFormatPr defaultRowHeight="12.75" outlineLevelCol="1"/>
  <cols>
    <col min="1" max="1" width="1.85546875" customWidth="1"/>
    <col min="2" max="2" width="50.42578125" customWidth="1"/>
    <col min="3" max="6" width="10.7109375" hidden="1" customWidth="1" outlineLevel="1"/>
    <col min="7" max="7" width="10.7109375" hidden="1" customWidth="1" collapsed="1"/>
    <col min="8" max="11" width="10.7109375" hidden="1" customWidth="1" outlineLevel="1"/>
    <col min="12" max="12" width="10.7109375" hidden="1" customWidth="1" collapsed="1"/>
    <col min="13" max="16" width="10.7109375" hidden="1" customWidth="1" outlineLevel="1"/>
    <col min="17" max="17" width="10.7109375" hidden="1" customWidth="1" collapsed="1"/>
    <col min="18" max="21" width="10.7109375" hidden="1" customWidth="1" outlineLevel="1"/>
    <col min="22" max="22" width="10.7109375" hidden="1" customWidth="1" collapsed="1"/>
    <col min="23" max="26" width="10.7109375" hidden="1" customWidth="1" outlineLevel="1"/>
    <col min="27" max="27" width="10.7109375" hidden="1" customWidth="1" collapsed="1"/>
    <col min="28" max="31" width="10.7109375" hidden="1" customWidth="1" outlineLevel="1"/>
    <col min="32" max="32" width="10.7109375" hidden="1" customWidth="1" collapsed="1"/>
    <col min="33" max="36" width="10.7109375" hidden="1" customWidth="1" outlineLevel="1"/>
    <col min="37" max="37" width="10.7109375" hidden="1" customWidth="1" collapsed="1"/>
    <col min="38" max="41" width="10.7109375" hidden="1" customWidth="1" outlineLevel="1"/>
    <col min="42" max="42" width="10.85546875" customWidth="1" collapsed="1"/>
    <col min="43" max="46" width="10.7109375" hidden="1" customWidth="1" outlineLevel="1"/>
    <col min="47" max="47" width="10.85546875" customWidth="1" collapsed="1"/>
    <col min="48" max="51" width="10.7109375" hidden="1" customWidth="1" outlineLevel="1"/>
    <col min="52" max="52" width="11.28515625" customWidth="1" collapsed="1"/>
    <col min="53" max="56" width="10.7109375" hidden="1" customWidth="1" outlineLevel="1"/>
    <col min="57" max="57" width="12.140625" customWidth="1" collapsed="1"/>
    <col min="58" max="61" width="11" customWidth="1" outlineLevel="1"/>
    <col min="62" max="62" width="11.42578125" customWidth="1"/>
    <col min="63" max="66" width="9.85546875" customWidth="1" outlineLevel="1"/>
    <col min="67" max="67" width="11.85546875" customWidth="1"/>
    <col min="68" max="71" width="9.85546875" hidden="1" customWidth="1" outlineLevel="1"/>
    <col min="72" max="72" width="11.85546875" customWidth="1" collapsed="1"/>
    <col min="73" max="76" width="9.85546875" hidden="1" customWidth="1" outlineLevel="1"/>
    <col min="77" max="77" width="11.85546875" customWidth="1" collapsed="1"/>
    <col min="78" max="81" width="9.85546875" hidden="1" customWidth="1" outlineLevel="1"/>
    <col min="82" max="82" width="11.85546875" customWidth="1" collapsed="1"/>
  </cols>
  <sheetData>
    <row r="1" spans="1:83" ht="18">
      <c r="A1" s="525"/>
      <c r="B1" s="526" t="s">
        <v>402</v>
      </c>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527"/>
      <c r="AQ1" s="122"/>
      <c r="AR1" s="122"/>
      <c r="AS1" s="807"/>
      <c r="AT1" s="808"/>
      <c r="AU1" s="318"/>
      <c r="AV1" s="115"/>
      <c r="AW1" s="809"/>
      <c r="AX1" s="115"/>
      <c r="AY1" s="807"/>
      <c r="AZ1" s="318"/>
      <c r="BA1" s="115"/>
      <c r="BB1" s="117"/>
      <c r="BC1" s="117"/>
      <c r="BD1" s="115"/>
      <c r="BE1" s="809"/>
      <c r="BF1" s="809"/>
      <c r="BG1" s="809"/>
      <c r="BH1" s="809"/>
      <c r="BI1" s="809"/>
      <c r="BJ1" s="809"/>
      <c r="BK1" s="809"/>
      <c r="BL1" s="809"/>
      <c r="BM1" s="809"/>
      <c r="BN1" s="809"/>
      <c r="BO1" s="809"/>
      <c r="BP1" s="809"/>
      <c r="BQ1" s="809"/>
      <c r="BR1" s="809"/>
      <c r="BS1" s="809"/>
      <c r="BT1" s="809"/>
      <c r="BU1" s="809"/>
      <c r="BV1" s="809"/>
      <c r="BW1" s="809"/>
      <c r="BX1" s="809"/>
      <c r="BY1" s="809"/>
      <c r="BZ1" s="809"/>
      <c r="CA1" s="809"/>
      <c r="CB1" s="809"/>
      <c r="CC1" s="809"/>
      <c r="CD1" s="809"/>
      <c r="CE1" s="525"/>
    </row>
    <row r="2" spans="1:83">
      <c r="A2" s="113"/>
      <c r="B2" s="93" t="s">
        <v>115</v>
      </c>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527"/>
      <c r="AQ2" s="122"/>
      <c r="AR2" s="122"/>
      <c r="AS2" s="807"/>
      <c r="AT2" s="808"/>
      <c r="AU2" s="318"/>
      <c r="AV2" s="115"/>
      <c r="AW2" s="809"/>
      <c r="AX2" s="115"/>
      <c r="AY2" s="807"/>
      <c r="AZ2" s="318"/>
      <c r="BA2" s="115"/>
      <c r="BB2" s="117"/>
      <c r="BC2" s="117"/>
      <c r="BD2" s="115"/>
      <c r="BE2" s="809"/>
      <c r="BF2" s="809"/>
      <c r="BG2" s="809"/>
      <c r="BH2" s="809"/>
      <c r="BI2" s="809"/>
      <c r="BJ2" s="809"/>
      <c r="BK2" s="809"/>
      <c r="BL2" s="809"/>
      <c r="BM2" s="809"/>
      <c r="BN2" s="809"/>
      <c r="BO2" s="809"/>
      <c r="BP2" s="809"/>
      <c r="BQ2" s="809"/>
      <c r="BR2" s="809"/>
      <c r="BS2" s="809"/>
      <c r="BT2" s="809"/>
      <c r="BU2" s="809"/>
      <c r="BV2" s="809"/>
      <c r="BW2" s="809"/>
      <c r="BX2" s="809"/>
      <c r="BY2" s="809"/>
      <c r="BZ2" s="809"/>
      <c r="CA2" s="809"/>
      <c r="CB2" s="809"/>
      <c r="CC2" s="809"/>
      <c r="CD2" s="809"/>
      <c r="CE2" s="525"/>
    </row>
    <row r="3" spans="1:83">
      <c r="A3" s="113"/>
      <c r="B3" s="104"/>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2"/>
      <c r="BG3" s="92"/>
      <c r="BH3" s="92"/>
      <c r="BI3" s="92"/>
      <c r="BJ3" s="99"/>
      <c r="BK3" s="92"/>
      <c r="BL3" s="92"/>
      <c r="BM3" s="92"/>
      <c r="BN3" s="92"/>
      <c r="BO3" s="92"/>
      <c r="BP3" s="92"/>
      <c r="BQ3" s="92"/>
      <c r="BR3" s="92"/>
      <c r="BS3" s="92"/>
      <c r="BT3" s="92"/>
      <c r="BU3" s="92"/>
      <c r="BV3" s="92"/>
      <c r="BW3" s="92"/>
      <c r="BX3" s="92"/>
      <c r="BY3" s="92"/>
      <c r="BZ3" s="92"/>
      <c r="CA3" s="92"/>
      <c r="CB3" s="92"/>
      <c r="CC3" s="92"/>
      <c r="CD3" s="92"/>
      <c r="CE3" s="92"/>
    </row>
    <row r="4" spans="1:83">
      <c r="A4" s="113"/>
      <c r="B4" s="108"/>
      <c r="C4" s="109" t="s">
        <v>40</v>
      </c>
      <c r="D4" s="109" t="s">
        <v>41</v>
      </c>
      <c r="E4" s="109" t="s">
        <v>42</v>
      </c>
      <c r="F4" s="109" t="s">
        <v>43</v>
      </c>
      <c r="G4" s="110" t="s">
        <v>44</v>
      </c>
      <c r="H4" s="109" t="s">
        <v>45</v>
      </c>
      <c r="I4" s="109" t="s">
        <v>46</v>
      </c>
      <c r="J4" s="109" t="s">
        <v>47</v>
      </c>
      <c r="K4" s="109" t="s">
        <v>48</v>
      </c>
      <c r="L4" s="110" t="s">
        <v>49</v>
      </c>
      <c r="M4" s="109" t="s">
        <v>50</v>
      </c>
      <c r="N4" s="109" t="s">
        <v>51</v>
      </c>
      <c r="O4" s="109" t="s">
        <v>52</v>
      </c>
      <c r="P4" s="109" t="s">
        <v>53</v>
      </c>
      <c r="Q4" s="110" t="s">
        <v>54</v>
      </c>
      <c r="R4" s="109" t="s">
        <v>55</v>
      </c>
      <c r="S4" s="109" t="s">
        <v>56</v>
      </c>
      <c r="T4" s="109" t="s">
        <v>57</v>
      </c>
      <c r="U4" s="109" t="s">
        <v>58</v>
      </c>
      <c r="V4" s="110" t="s">
        <v>59</v>
      </c>
      <c r="W4" s="109" t="s">
        <v>60</v>
      </c>
      <c r="X4" s="109" t="s">
        <v>61</v>
      </c>
      <c r="Y4" s="109" t="s">
        <v>62</v>
      </c>
      <c r="Z4" s="109" t="s">
        <v>63</v>
      </c>
      <c r="AA4" s="110" t="s">
        <v>64</v>
      </c>
      <c r="AB4" s="109" t="s">
        <v>65</v>
      </c>
      <c r="AC4" s="109" t="s">
        <v>66</v>
      </c>
      <c r="AD4" s="109" t="s">
        <v>67</v>
      </c>
      <c r="AE4" s="109" t="s">
        <v>68</v>
      </c>
      <c r="AF4" s="110" t="s">
        <v>69</v>
      </c>
      <c r="AG4" s="109" t="s">
        <v>70</v>
      </c>
      <c r="AH4" s="109" t="s">
        <v>71</v>
      </c>
      <c r="AI4" s="109" t="s">
        <v>72</v>
      </c>
      <c r="AJ4" s="109" t="s">
        <v>73</v>
      </c>
      <c r="AK4" s="110" t="str">
        <f>'Quarterly Model'!AK3</f>
        <v>2012A</v>
      </c>
      <c r="AL4" s="109" t="s">
        <v>75</v>
      </c>
      <c r="AM4" s="109" t="s">
        <v>76</v>
      </c>
      <c r="AN4" s="109" t="s">
        <v>77</v>
      </c>
      <c r="AO4" s="109" t="s">
        <v>78</v>
      </c>
      <c r="AP4" s="110" t="str">
        <f>'Quarterly Model'!AP3</f>
        <v>2013A</v>
      </c>
      <c r="AQ4" s="109" t="str">
        <f>'Quarterly Model'!AQ3</f>
        <v>1Q14A</v>
      </c>
      <c r="AR4" s="109" t="str">
        <f>'Quarterly Model'!AR3</f>
        <v>2Q14A</v>
      </c>
      <c r="AS4" s="109" t="str">
        <f>'Quarterly Model'!AS3</f>
        <v>3Q14A</v>
      </c>
      <c r="AT4" s="109" t="str">
        <f>'Quarterly Model'!AT3</f>
        <v>4Q14A</v>
      </c>
      <c r="AU4" s="110" t="str">
        <f>'Quarterly Model'!AU3</f>
        <v>2014A</v>
      </c>
      <c r="AV4" s="109" t="str">
        <f>'Quarterly Model'!AV3</f>
        <v>1Q15A</v>
      </c>
      <c r="AW4" s="109" t="str">
        <f>'Quarterly Model'!AW3</f>
        <v>2Q15A</v>
      </c>
      <c r="AX4" s="109" t="str">
        <f>'Quarterly Model'!AX3</f>
        <v>3Q15A</v>
      </c>
      <c r="AY4" s="109" t="str">
        <f>'Quarterly Model'!AY3</f>
        <v>4Q15A</v>
      </c>
      <c r="AZ4" s="110" t="str">
        <f>'Quarterly Model'!AZ3</f>
        <v>2015A</v>
      </c>
      <c r="BA4" s="109" t="str">
        <f>'Quarterly Model'!BA3</f>
        <v>1Q16A</v>
      </c>
      <c r="BB4" s="109" t="str">
        <f>'Quarterly Model'!BB3</f>
        <v>2Q16A</v>
      </c>
      <c r="BC4" s="109" t="str">
        <f>'Quarterly Model'!BC3</f>
        <v>3Q16A</v>
      </c>
      <c r="BD4" s="109" t="str">
        <f>'Quarterly Model'!BD3</f>
        <v>4Q16A</v>
      </c>
      <c r="BE4" s="110" t="str">
        <f>'Quarterly Model'!BE3</f>
        <v>2016A</v>
      </c>
      <c r="BF4" s="109" t="str">
        <f>'Quarterly Model'!BF3</f>
        <v>1Q17A</v>
      </c>
      <c r="BG4" s="109" t="str">
        <f>'Quarterly Model'!BG3</f>
        <v>2Q17A</v>
      </c>
      <c r="BH4" s="109" t="str">
        <f>'Quarterly Model'!BH3</f>
        <v>3Q17A</v>
      </c>
      <c r="BI4" s="109" t="str">
        <f>'Quarterly Model'!BI3</f>
        <v>4Q17A</v>
      </c>
      <c r="BJ4" s="110" t="str">
        <f>'Quarterly Model'!BJ3</f>
        <v>2017A</v>
      </c>
      <c r="BK4" s="109" t="str">
        <f>'Quarterly Model'!BK3</f>
        <v>1Q18A</v>
      </c>
      <c r="BL4" s="109" t="str">
        <f>'Quarterly Model'!BL3</f>
        <v>2Q18E</v>
      </c>
      <c r="BM4" s="109" t="str">
        <f>'Quarterly Model'!BM3</f>
        <v>3Q18E</v>
      </c>
      <c r="BN4" s="109" t="str">
        <f>'Quarterly Model'!BN3</f>
        <v>4Q18E</v>
      </c>
      <c r="BO4" s="110" t="str">
        <f>'Quarterly Model'!BO3</f>
        <v>2018E</v>
      </c>
      <c r="BP4" s="109" t="str">
        <f>'Quarterly Model'!BP3</f>
        <v>1Q19E</v>
      </c>
      <c r="BQ4" s="109" t="str">
        <f>'Quarterly Model'!BQ3</f>
        <v>2Q19E</v>
      </c>
      <c r="BR4" s="109" t="str">
        <f>'Quarterly Model'!BR3</f>
        <v>3Q19E</v>
      </c>
      <c r="BS4" s="109" t="str">
        <f>'Quarterly Model'!BS3</f>
        <v>4Q19E</v>
      </c>
      <c r="BT4" s="110" t="str">
        <f>'Quarterly Model'!BT3</f>
        <v>2019E</v>
      </c>
      <c r="BU4" s="109" t="str">
        <f>'Quarterly Model'!BU3</f>
        <v>1Q20E</v>
      </c>
      <c r="BV4" s="109" t="str">
        <f>'Quarterly Model'!BV3</f>
        <v>2Q20E</v>
      </c>
      <c r="BW4" s="109" t="str">
        <f>'Quarterly Model'!BW3</f>
        <v>3Q20E</v>
      </c>
      <c r="BX4" s="109" t="str">
        <f>'Quarterly Model'!BX3</f>
        <v>4Q20E</v>
      </c>
      <c r="BY4" s="110" t="str">
        <f>'Quarterly Model'!BY3</f>
        <v>2020E</v>
      </c>
      <c r="BZ4" s="109" t="str">
        <f>'Quarterly Model'!BZ3</f>
        <v>1Q21E</v>
      </c>
      <c r="CA4" s="109" t="str">
        <f>'Quarterly Model'!CA3</f>
        <v>2Q21E</v>
      </c>
      <c r="CB4" s="109" t="str">
        <f>'Quarterly Model'!CB3</f>
        <v>3Q21E</v>
      </c>
      <c r="CC4" s="109" t="str">
        <f>'Quarterly Model'!CC3</f>
        <v>4Q21E</v>
      </c>
      <c r="CD4" s="110" t="str">
        <f>'Quarterly Model'!CD3</f>
        <v>2021E</v>
      </c>
      <c r="CE4" s="92"/>
    </row>
    <row r="5" spans="1:83" ht="15.75">
      <c r="A5" s="533"/>
      <c r="B5" s="534" t="s">
        <v>263</v>
      </c>
      <c r="C5" s="535"/>
      <c r="D5" s="535"/>
      <c r="E5" s="535"/>
      <c r="F5" s="535"/>
      <c r="G5" s="535"/>
      <c r="H5" s="535"/>
      <c r="I5" s="535"/>
      <c r="J5" s="535"/>
      <c r="K5" s="535"/>
      <c r="L5" s="535"/>
      <c r="M5" s="535"/>
      <c r="N5" s="535"/>
      <c r="O5" s="535"/>
      <c r="P5" s="535"/>
      <c r="Q5" s="535"/>
      <c r="R5" s="535"/>
      <c r="S5" s="535"/>
      <c r="T5" s="535"/>
      <c r="U5" s="535"/>
      <c r="V5" s="535"/>
      <c r="W5" s="535"/>
      <c r="X5" s="535"/>
      <c r="Y5" s="535"/>
      <c r="Z5" s="535"/>
      <c r="AA5" s="535"/>
      <c r="AB5" s="535"/>
      <c r="AC5" s="535"/>
      <c r="AD5" s="535"/>
      <c r="AE5" s="535"/>
      <c r="AF5" s="535"/>
      <c r="AG5" s="535"/>
      <c r="AH5" s="535"/>
      <c r="AI5" s="535"/>
      <c r="AJ5" s="535"/>
      <c r="AK5" s="535"/>
      <c r="AL5" s="535"/>
      <c r="AM5" s="535"/>
      <c r="AN5" s="535"/>
      <c r="AO5" s="535"/>
      <c r="AP5" s="535"/>
      <c r="AQ5" s="535"/>
      <c r="AR5" s="535"/>
      <c r="AS5" s="535"/>
      <c r="AT5" s="535"/>
      <c r="AU5" s="535"/>
      <c r="AV5" s="535"/>
      <c r="AW5" s="535"/>
      <c r="AX5" s="535"/>
      <c r="AY5" s="536"/>
      <c r="AZ5" s="535"/>
      <c r="BA5" s="536"/>
      <c r="BB5" s="535"/>
      <c r="BC5" s="535"/>
      <c r="BD5" s="535"/>
      <c r="BE5" s="535"/>
      <c r="BF5" s="535"/>
      <c r="BG5" s="535"/>
      <c r="BH5" s="535"/>
      <c r="BI5" s="535"/>
      <c r="BJ5" s="537"/>
      <c r="BK5" s="535"/>
      <c r="BL5" s="535"/>
      <c r="BM5" s="535"/>
      <c r="BN5" s="535"/>
      <c r="BO5" s="537"/>
      <c r="BP5" s="535"/>
      <c r="BQ5" s="535"/>
      <c r="BR5" s="535"/>
      <c r="BS5" s="535"/>
      <c r="BT5" s="537"/>
      <c r="BU5" s="535"/>
      <c r="BV5" s="535"/>
      <c r="BW5" s="535"/>
      <c r="BX5" s="535"/>
      <c r="BY5" s="537"/>
      <c r="BZ5" s="535"/>
      <c r="CA5" s="535"/>
      <c r="CB5" s="535"/>
      <c r="CC5" s="535"/>
      <c r="CD5" s="537"/>
      <c r="CE5" s="310"/>
    </row>
    <row r="6" spans="1:83">
      <c r="A6" s="538"/>
      <c r="B6" s="300" t="s">
        <v>403</v>
      </c>
      <c r="C6" s="539"/>
      <c r="D6" s="539"/>
      <c r="E6" s="539"/>
      <c r="F6" s="539"/>
      <c r="G6" s="540"/>
      <c r="H6" s="539"/>
      <c r="I6" s="539"/>
      <c r="J6" s="539"/>
      <c r="K6" s="539"/>
      <c r="L6" s="540"/>
      <c r="M6" s="539"/>
      <c r="N6" s="539"/>
      <c r="O6" s="539"/>
      <c r="P6" s="539"/>
      <c r="Q6" s="540"/>
      <c r="R6" s="539"/>
      <c r="S6" s="539"/>
      <c r="T6" s="539"/>
      <c r="U6" s="539"/>
      <c r="V6" s="540"/>
      <c r="W6" s="539"/>
      <c r="X6" s="539"/>
      <c r="Y6" s="539"/>
      <c r="Z6" s="539"/>
      <c r="AA6" s="540"/>
      <c r="AB6" s="539"/>
      <c r="AC6" s="539"/>
      <c r="AD6" s="539"/>
      <c r="AE6" s="539"/>
      <c r="AF6" s="540"/>
      <c r="AG6" s="539"/>
      <c r="AH6" s="539"/>
      <c r="AI6" s="539"/>
      <c r="AJ6" s="539"/>
      <c r="AK6" s="810">
        <f>'Segment Detail'!AK6</f>
        <v>150066</v>
      </c>
      <c r="AL6" s="811"/>
      <c r="AM6" s="811"/>
      <c r="AN6" s="811"/>
      <c r="AO6" s="811"/>
      <c r="AP6" s="810">
        <f>'Segment Detail'!AP6</f>
        <v>185606</v>
      </c>
      <c r="AQ6" s="812">
        <f>'Segment Detail'!AQ6</f>
        <v>53676</v>
      </c>
      <c r="AR6" s="813">
        <f>'Segment Detail'!AR6</f>
        <v>56736</v>
      </c>
      <c r="AS6" s="812">
        <f>'Segment Detail'!AS6</f>
        <v>58184</v>
      </c>
      <c r="AT6" s="812">
        <f>'Segment Detail'!AT6</f>
        <v>66039</v>
      </c>
      <c r="AU6" s="810">
        <f>'Segment Detail'!AU6</f>
        <v>234635</v>
      </c>
      <c r="AV6" s="814">
        <f>'Segment Detail'!AV6</f>
        <v>63021</v>
      </c>
      <c r="AW6" s="812">
        <f>'Segment Detail'!AW6</f>
        <v>67482</v>
      </c>
      <c r="AX6" s="812">
        <f>'Segment Detail'!AX6</f>
        <v>71317</v>
      </c>
      <c r="AY6" s="812">
        <f>'Segment Detail'!AY6</f>
        <v>83102</v>
      </c>
      <c r="AZ6" s="810">
        <f>'Segment Detail'!AZ6</f>
        <v>288038</v>
      </c>
      <c r="BA6" s="812">
        <f>'Segment Detail'!BA6</f>
        <v>82559</v>
      </c>
      <c r="BB6" s="815">
        <f>'Segment Detail'!BB6</f>
        <v>87763</v>
      </c>
      <c r="BC6" s="815">
        <f>'Segment Detail'!BC6</f>
        <v>88895</v>
      </c>
      <c r="BD6" s="815">
        <f>'Segment Detail'!BD6</f>
        <v>100711</v>
      </c>
      <c r="BE6" s="810">
        <f>'Segment Detail'!BE6</f>
        <v>359928</v>
      </c>
      <c r="BF6" s="815">
        <f>'Segment Detail'!BF6</f>
        <v>100639</v>
      </c>
      <c r="BG6" s="815">
        <f>'Segment Detail'!BG6</f>
        <v>107800</v>
      </c>
      <c r="BH6" s="815">
        <f>'Segment Detail'!BH6</f>
        <v>115224</v>
      </c>
      <c r="BI6" s="815">
        <f>'Segment Detail'!BI6</f>
        <v>132515</v>
      </c>
      <c r="BJ6" s="810">
        <f>'Segment Detail'!BJ6</f>
        <v>456178</v>
      </c>
      <c r="BK6" s="815">
        <f>'Segment Detail'!BK6</f>
        <v>132364</v>
      </c>
      <c r="BL6" s="815">
        <f>'Segment Detail'!BL6</f>
        <v>140561.33787169337</v>
      </c>
      <c r="BM6" s="815">
        <f>'Segment Detail'!BM6</f>
        <v>147059.95453442595</v>
      </c>
      <c r="BN6" s="815">
        <f>'Segment Detail'!BN6</f>
        <v>167588.24807250078</v>
      </c>
      <c r="BO6" s="810">
        <f>'Segment Detail'!BO6</f>
        <v>587573.5404786201</v>
      </c>
      <c r="BP6" s="815">
        <f>'Segment Detail'!BP6</f>
        <v>162467.63207952195</v>
      </c>
      <c r="BQ6" s="815">
        <f>'Segment Detail'!BQ6</f>
        <v>172609.32290643945</v>
      </c>
      <c r="BR6" s="815">
        <f>'Segment Detail'!BR6</f>
        <v>180589.62416827507</v>
      </c>
      <c r="BS6" s="815">
        <f>'Segment Detail'!BS6</f>
        <v>205798.36863303094</v>
      </c>
      <c r="BT6" s="810">
        <f>'Segment Detail'!BT6</f>
        <v>721464.94778726739</v>
      </c>
      <c r="BU6" s="815">
        <f>'Segment Detail'!BU6</f>
        <v>194961.15849542632</v>
      </c>
      <c r="BV6" s="815">
        <f>'Segment Detail'!BV6</f>
        <v>207131.18748772735</v>
      </c>
      <c r="BW6" s="815">
        <f>'Segment Detail'!BW6</f>
        <v>213095.75651856457</v>
      </c>
      <c r="BX6" s="815">
        <f>'Segment Detail'!BX6</f>
        <v>242842.07498697651</v>
      </c>
      <c r="BY6" s="810">
        <f>'Segment Detail'!BY6</f>
        <v>858030.17748869467</v>
      </c>
      <c r="BZ6" s="815">
        <f>'Segment Detail'!BZ6</f>
        <v>228104.55543964877</v>
      </c>
      <c r="CA6" s="815">
        <f>'Segment Detail'!CA6</f>
        <v>242343.48936064099</v>
      </c>
      <c r="CB6" s="815">
        <f>'Segment Detail'!CB6</f>
        <v>249322.03512672053</v>
      </c>
      <c r="CC6" s="815">
        <f>'Segment Detail'!CC6</f>
        <v>284125.22773476248</v>
      </c>
      <c r="CD6" s="810">
        <f>'Segment Detail'!CD6</f>
        <v>1003895.3076617728</v>
      </c>
      <c r="CE6" s="270"/>
    </row>
    <row r="7" spans="1:83">
      <c r="A7" s="548"/>
      <c r="B7" s="138" t="s">
        <v>21</v>
      </c>
      <c r="C7" s="173"/>
      <c r="D7" s="173"/>
      <c r="E7" s="173"/>
      <c r="F7" s="173"/>
      <c r="G7" s="549"/>
      <c r="H7" s="173"/>
      <c r="I7" s="173"/>
      <c r="J7" s="173"/>
      <c r="K7" s="173"/>
      <c r="L7" s="549"/>
      <c r="M7" s="173"/>
      <c r="N7" s="173"/>
      <c r="O7" s="173"/>
      <c r="P7" s="173"/>
      <c r="Q7" s="549"/>
      <c r="R7" s="173"/>
      <c r="S7" s="173"/>
      <c r="T7" s="173"/>
      <c r="U7" s="173"/>
      <c r="V7" s="549"/>
      <c r="W7" s="173"/>
      <c r="X7" s="173"/>
      <c r="Y7" s="173"/>
      <c r="Z7" s="173"/>
      <c r="AA7" s="549"/>
      <c r="AB7" s="173"/>
      <c r="AC7" s="173"/>
      <c r="AD7" s="173"/>
      <c r="AE7" s="173"/>
      <c r="AF7" s="549"/>
      <c r="AG7" s="173"/>
      <c r="AH7" s="173"/>
      <c r="AI7" s="173"/>
      <c r="AJ7" s="173"/>
      <c r="AK7" s="549"/>
      <c r="AL7" s="173"/>
      <c r="AM7" s="173"/>
      <c r="AN7" s="173"/>
      <c r="AO7" s="173"/>
      <c r="AP7" s="549">
        <f>IF(ISERROR(AP6/AK6-1), "NM", (AP6/AK6-1))</f>
        <v>0.23682912851678606</v>
      </c>
      <c r="AQ7" s="173"/>
      <c r="AR7" s="173"/>
      <c r="AS7" s="173"/>
      <c r="AT7" s="173"/>
      <c r="AU7" s="549">
        <f>IF(ISERROR(AU6/AP6-1), "NM", (AU6/AP6-1))</f>
        <v>0.26415633115308768</v>
      </c>
      <c r="AV7" s="173">
        <f>IF(ISERROR(AV6/AQ6-1), "NM", (AV6/AQ6-1))</f>
        <v>0.1741001564945226</v>
      </c>
      <c r="AW7" s="173">
        <f>IF(ISERROR(AW6/AR6-1), "NM", (AW6/AR6-1))</f>
        <v>0.18940355329949243</v>
      </c>
      <c r="AX7" s="173">
        <f>IF(ISERROR(AX6/AS6-1), "NM", (AX6/AS6-1))</f>
        <v>0.22571497318850553</v>
      </c>
      <c r="AY7" s="173">
        <f>IF(ISERROR(AY6/AT6-1), "NM", (AY6/AT6-1))</f>
        <v>0.25837762534260067</v>
      </c>
      <c r="AZ7" s="549">
        <f>+AZ6/AU6-1</f>
        <v>0.22760031538346803</v>
      </c>
      <c r="BA7" s="173">
        <f>IF(ISERROR(BA6/AV6-1), "NM", (BA6/AV6-1))</f>
        <v>0.31002364291267992</v>
      </c>
      <c r="BB7" s="173">
        <f t="shared" ref="BB7:CD7" si="0">IF(ISERROR(BB6/AW6-1), "NM", (BB6/AW6-1))</f>
        <v>0.30053940310008587</v>
      </c>
      <c r="BC7" s="173">
        <f t="shared" si="0"/>
        <v>0.2464769970694225</v>
      </c>
      <c r="BD7" s="173">
        <f t="shared" si="0"/>
        <v>0.21189622391759522</v>
      </c>
      <c r="BE7" s="549">
        <f t="shared" si="0"/>
        <v>0.24958512418500334</v>
      </c>
      <c r="BF7" s="173">
        <f t="shared" si="0"/>
        <v>0.21899490061652882</v>
      </c>
      <c r="BG7" s="173">
        <f t="shared" si="0"/>
        <v>0.22830805692603939</v>
      </c>
      <c r="BH7" s="173">
        <f t="shared" si="0"/>
        <v>0.29618088756397998</v>
      </c>
      <c r="BI7" s="173">
        <f t="shared" si="0"/>
        <v>0.31579469968523788</v>
      </c>
      <c r="BJ7" s="549">
        <f t="shared" si="0"/>
        <v>0.26741459402991707</v>
      </c>
      <c r="BK7" s="173">
        <f t="shared" si="0"/>
        <v>0.31523564423334882</v>
      </c>
      <c r="BL7" s="173">
        <f t="shared" si="0"/>
        <v>0.30390851457971579</v>
      </c>
      <c r="BM7" s="173">
        <f t="shared" si="0"/>
        <v>0.27629621028974816</v>
      </c>
      <c r="BN7" s="173">
        <f t="shared" si="0"/>
        <v>0.2646737959665002</v>
      </c>
      <c r="BO7" s="549">
        <f t="shared" si="0"/>
        <v>0.28803568010430158</v>
      </c>
      <c r="BP7" s="173">
        <f t="shared" si="0"/>
        <v>0.22743066150556013</v>
      </c>
      <c r="BQ7" s="173">
        <f t="shared" si="0"/>
        <v>0.22799999999999998</v>
      </c>
      <c r="BR7" s="173">
        <f t="shared" si="0"/>
        <v>0.22799999999999998</v>
      </c>
      <c r="BS7" s="173">
        <f t="shared" si="0"/>
        <v>0.22799999999999998</v>
      </c>
      <c r="BT7" s="549">
        <f t="shared" si="0"/>
        <v>0.22787174384943087</v>
      </c>
      <c r="BU7" s="173">
        <f t="shared" si="0"/>
        <v>0.19999999999999996</v>
      </c>
      <c r="BV7" s="173">
        <f t="shared" si="0"/>
        <v>0.19999999999999996</v>
      </c>
      <c r="BW7" s="173">
        <f t="shared" si="0"/>
        <v>0.17999999999999994</v>
      </c>
      <c r="BX7" s="173">
        <f t="shared" si="0"/>
        <v>0.17999999999999994</v>
      </c>
      <c r="BY7" s="549">
        <f t="shared" si="0"/>
        <v>0.18928879375259022</v>
      </c>
      <c r="BZ7" s="173">
        <f t="shared" si="0"/>
        <v>0.16999999999999993</v>
      </c>
      <c r="CA7" s="173">
        <f t="shared" si="0"/>
        <v>0.16999999999999993</v>
      </c>
      <c r="CB7" s="173">
        <f t="shared" si="0"/>
        <v>0.16999999999999993</v>
      </c>
      <c r="CC7" s="173">
        <f t="shared" si="0"/>
        <v>0.16999999999999993</v>
      </c>
      <c r="CD7" s="549">
        <f t="shared" si="0"/>
        <v>0.17000000000000015</v>
      </c>
    </row>
    <row r="8" spans="1:83">
      <c r="A8" s="533"/>
      <c r="B8" s="560"/>
      <c r="C8" s="553"/>
      <c r="D8" s="553"/>
      <c r="E8" s="553"/>
      <c r="F8" s="554"/>
      <c r="G8" s="182"/>
      <c r="H8" s="553"/>
      <c r="I8" s="553"/>
      <c r="J8" s="553"/>
      <c r="K8" s="554"/>
      <c r="L8" s="182"/>
      <c r="M8" s="553"/>
      <c r="N8" s="553"/>
      <c r="O8" s="553"/>
      <c r="P8" s="554"/>
      <c r="Q8" s="182"/>
      <c r="R8" s="553"/>
      <c r="S8" s="553"/>
      <c r="T8" s="553"/>
      <c r="U8" s="554"/>
      <c r="V8" s="182"/>
      <c r="W8" s="553"/>
      <c r="X8" s="553"/>
      <c r="Y8" s="553"/>
      <c r="Z8" s="554"/>
      <c r="AA8" s="182"/>
      <c r="AB8" s="553"/>
      <c r="AC8" s="553"/>
      <c r="AD8" s="553"/>
      <c r="AE8" s="554"/>
      <c r="AF8" s="182"/>
      <c r="AG8" s="553"/>
      <c r="AH8" s="553"/>
      <c r="AI8" s="553"/>
      <c r="AJ8" s="554"/>
      <c r="AK8" s="182"/>
      <c r="AL8" s="553"/>
      <c r="AM8" s="553"/>
      <c r="AN8" s="553"/>
      <c r="AO8" s="554"/>
      <c r="AP8" s="182"/>
      <c r="AQ8" s="553"/>
      <c r="AR8" s="553"/>
      <c r="AS8" s="553"/>
      <c r="AT8" s="554"/>
      <c r="AU8" s="549"/>
      <c r="AV8" s="555"/>
      <c r="AW8" s="555"/>
      <c r="AX8" s="555"/>
      <c r="AY8" s="555"/>
      <c r="AZ8" s="144"/>
      <c r="BA8" s="555"/>
      <c r="BB8" s="555"/>
      <c r="BC8" s="555"/>
      <c r="BD8" s="555"/>
      <c r="BE8" s="182"/>
      <c r="BF8" s="555"/>
      <c r="BG8" s="555"/>
      <c r="BH8" s="555"/>
      <c r="BI8" s="555"/>
      <c r="BJ8" s="182"/>
      <c r="BK8" s="555"/>
      <c r="BL8" s="555"/>
      <c r="BM8" s="555"/>
      <c r="BN8" s="555"/>
      <c r="BO8" s="182"/>
      <c r="BP8" s="555"/>
      <c r="BQ8" s="555"/>
      <c r="BR8" s="555"/>
      <c r="BS8" s="555"/>
      <c r="BT8" s="182"/>
      <c r="BU8" s="555"/>
      <c r="BV8" s="555"/>
      <c r="BW8" s="555"/>
      <c r="BX8" s="555"/>
      <c r="BY8" s="182"/>
      <c r="BZ8" s="555"/>
      <c r="CA8" s="555"/>
      <c r="CB8" s="555"/>
      <c r="CC8" s="555"/>
      <c r="CD8" s="182"/>
      <c r="CE8" s="160"/>
    </row>
    <row r="9" spans="1:83">
      <c r="A9" s="533"/>
      <c r="B9" s="816" t="s">
        <v>404</v>
      </c>
      <c r="C9" s="817"/>
      <c r="D9" s="817"/>
      <c r="E9" s="817"/>
      <c r="F9" s="818"/>
      <c r="G9" s="819"/>
      <c r="H9" s="817"/>
      <c r="I9" s="817"/>
      <c r="J9" s="817"/>
      <c r="K9" s="818"/>
      <c r="L9" s="819"/>
      <c r="M9" s="817"/>
      <c r="N9" s="817"/>
      <c r="O9" s="817"/>
      <c r="P9" s="818"/>
      <c r="Q9" s="819"/>
      <c r="R9" s="817"/>
      <c r="S9" s="817"/>
      <c r="T9" s="817"/>
      <c r="U9" s="818"/>
      <c r="V9" s="819"/>
      <c r="W9" s="817"/>
      <c r="X9" s="817"/>
      <c r="Y9" s="817"/>
      <c r="Z9" s="818"/>
      <c r="AA9" s="819"/>
      <c r="AB9" s="817"/>
      <c r="AC9" s="817"/>
      <c r="AD9" s="817"/>
      <c r="AE9" s="818"/>
      <c r="AF9" s="819"/>
      <c r="AG9" s="817"/>
      <c r="AH9" s="817"/>
      <c r="AI9" s="817"/>
      <c r="AJ9" s="818"/>
      <c r="AK9" s="819"/>
      <c r="AL9" s="817"/>
      <c r="AM9" s="817"/>
      <c r="AN9" s="817"/>
      <c r="AO9" s="818"/>
      <c r="AP9" s="819"/>
      <c r="AQ9" s="820">
        <v>314</v>
      </c>
      <c r="AR9" s="820">
        <v>468</v>
      </c>
      <c r="AS9" s="820">
        <v>700</v>
      </c>
      <c r="AT9" s="820">
        <v>906</v>
      </c>
      <c r="AU9" s="821">
        <f>SUM(AQ9:AT9)</f>
        <v>2388</v>
      </c>
      <c r="AV9" s="822">
        <v>1300</v>
      </c>
      <c r="AW9" s="823">
        <f>AR9*(1+AW10)</f>
        <v>1623.96</v>
      </c>
      <c r="AX9" s="824">
        <v>2110</v>
      </c>
      <c r="AY9" s="824">
        <f>AT9*(1+AY10)</f>
        <v>2482.44</v>
      </c>
      <c r="AZ9" s="825">
        <f>SUM(AV9:AY9)</f>
        <v>7516.4</v>
      </c>
      <c r="BA9" s="826">
        <f>'Segment Detail'!BA98</f>
        <v>3200</v>
      </c>
      <c r="BB9" s="826">
        <f>'Segment Detail'!BB98</f>
        <v>3900</v>
      </c>
      <c r="BC9" s="826">
        <f>'Segment Detail'!BC98</f>
        <v>4900</v>
      </c>
      <c r="BD9" s="826">
        <f>'Segment Detail'!BD98</f>
        <v>5600</v>
      </c>
      <c r="BE9" s="827">
        <f>SUM(BA9:BD9)</f>
        <v>17600</v>
      </c>
      <c r="BF9" s="826">
        <f>'Segment Detail'!BF98</f>
        <v>6800</v>
      </c>
      <c r="BG9" s="826">
        <f>'Segment Detail'!BG98</f>
        <v>8000</v>
      </c>
      <c r="BH9" s="826">
        <f>'Segment Detail'!BH98</f>
        <v>9400</v>
      </c>
      <c r="BI9" s="826">
        <f>'Segment Detail'!BI98</f>
        <v>10400</v>
      </c>
      <c r="BJ9" s="827">
        <f>SUM(BF9:BI9)</f>
        <v>34600</v>
      </c>
      <c r="BK9" s="826">
        <f>'Segment Detail'!BK98</f>
        <v>12000</v>
      </c>
      <c r="BL9" s="828">
        <f>BG9*(1+BL10)</f>
        <v>13200</v>
      </c>
      <c r="BM9" s="828">
        <f>BH9*(1+BM10)</f>
        <v>15040</v>
      </c>
      <c r="BN9" s="828">
        <f>BI9*(1+BN10)</f>
        <v>15600</v>
      </c>
      <c r="BO9" s="827">
        <f>SUM(BK9:BN9)</f>
        <v>55840</v>
      </c>
      <c r="BP9" s="828">
        <f>BK9*(1+BP10)</f>
        <v>16200.000000000002</v>
      </c>
      <c r="BQ9" s="828">
        <f>BL9*(1+BQ10)</f>
        <v>17820</v>
      </c>
      <c r="BR9" s="828">
        <f>BM9*(1+BR10)</f>
        <v>20304</v>
      </c>
      <c r="BS9" s="828">
        <f>BN9*(1+BS10)</f>
        <v>21060</v>
      </c>
      <c r="BT9" s="827">
        <f>SUM(BP9:BS9)</f>
        <v>75384</v>
      </c>
      <c r="BU9" s="828">
        <f>BP9*(1+BU10)</f>
        <v>21060.000000000004</v>
      </c>
      <c r="BV9" s="828">
        <f>BQ9*(1+BV10)</f>
        <v>23166</v>
      </c>
      <c r="BW9" s="828">
        <f>BR9*(1+BW10)</f>
        <v>26395.200000000001</v>
      </c>
      <c r="BX9" s="828">
        <f>BS9*(1+BX10)</f>
        <v>27378</v>
      </c>
      <c r="BY9" s="827">
        <f>SUM(BU9:BX9)</f>
        <v>97999.2</v>
      </c>
      <c r="BZ9" s="828">
        <f>BU9*(1+BZ10)</f>
        <v>27378.000000000007</v>
      </c>
      <c r="CA9" s="828">
        <f>BV9*(1+CA10)</f>
        <v>30115.8</v>
      </c>
      <c r="CB9" s="828">
        <f>BW9*(1+CB10)</f>
        <v>34313.760000000002</v>
      </c>
      <c r="CC9" s="828">
        <f>BX9*(1+CC10)</f>
        <v>35591.4</v>
      </c>
      <c r="CD9" s="827">
        <f>SUM(BZ9:CC9)</f>
        <v>127398.95999999999</v>
      </c>
      <c r="CE9" s="160"/>
    </row>
    <row r="10" spans="1:83">
      <c r="A10" s="533"/>
      <c r="B10" s="138" t="s">
        <v>21</v>
      </c>
      <c r="C10" s="553"/>
      <c r="D10" s="553"/>
      <c r="E10" s="553"/>
      <c r="F10" s="554"/>
      <c r="G10" s="182"/>
      <c r="H10" s="553"/>
      <c r="I10" s="553"/>
      <c r="J10" s="553"/>
      <c r="K10" s="554"/>
      <c r="L10" s="182"/>
      <c r="M10" s="553"/>
      <c r="N10" s="553"/>
      <c r="O10" s="553"/>
      <c r="P10" s="554"/>
      <c r="Q10" s="182"/>
      <c r="R10" s="553"/>
      <c r="S10" s="553"/>
      <c r="T10" s="553"/>
      <c r="U10" s="554"/>
      <c r="V10" s="182"/>
      <c r="W10" s="553"/>
      <c r="X10" s="553"/>
      <c r="Y10" s="553"/>
      <c r="Z10" s="554"/>
      <c r="AA10" s="182"/>
      <c r="AB10" s="553"/>
      <c r="AC10" s="553"/>
      <c r="AD10" s="553"/>
      <c r="AE10" s="554"/>
      <c r="AF10" s="182"/>
      <c r="AG10" s="553"/>
      <c r="AH10" s="553"/>
      <c r="AI10" s="553"/>
      <c r="AJ10" s="554"/>
      <c r="AK10" s="182"/>
      <c r="AL10" s="553"/>
      <c r="AM10" s="553"/>
      <c r="AN10" s="553"/>
      <c r="AO10" s="554"/>
      <c r="AP10" s="182"/>
      <c r="AQ10" s="553"/>
      <c r="AR10" s="553"/>
      <c r="AS10" s="553"/>
      <c r="AT10" s="554"/>
      <c r="AU10" s="551">
        <v>6</v>
      </c>
      <c r="AV10" s="671">
        <f>AV9/AQ9-1</f>
        <v>3.1401273885350323</v>
      </c>
      <c r="AW10" s="672">
        <v>2.4700000000000002</v>
      </c>
      <c r="AX10" s="671">
        <f>AX9/AS9-1</f>
        <v>2.0142857142857142</v>
      </c>
      <c r="AY10" s="671">
        <v>1.74</v>
      </c>
      <c r="AZ10" s="785">
        <f>AZ9/AU9-1</f>
        <v>2.147571189279732</v>
      </c>
      <c r="BA10" s="829">
        <f>'Segment Detail'!BA99</f>
        <v>1.5</v>
      </c>
      <c r="BB10" s="829">
        <f>'Segment Detail'!BB99</f>
        <v>1.41</v>
      </c>
      <c r="BC10" s="829">
        <f>'Segment Detail'!BC99</f>
        <v>1.31</v>
      </c>
      <c r="BD10" s="829">
        <f>'Segment Detail'!BD99</f>
        <v>1.26</v>
      </c>
      <c r="BE10" s="785">
        <f>BE9/AZ9-1</f>
        <v>1.3415464850194243</v>
      </c>
      <c r="BF10" s="829">
        <f>'Segment Detail'!BF99</f>
        <v>1.125</v>
      </c>
      <c r="BG10" s="829">
        <f>'Segment Detail'!BG99</f>
        <v>1.03</v>
      </c>
      <c r="BH10" s="829">
        <f>'Segment Detail'!BH99</f>
        <v>0.93</v>
      </c>
      <c r="BI10" s="829">
        <f>'Segment Detail'!BI99</f>
        <v>0.86</v>
      </c>
      <c r="BJ10" s="785">
        <f>BJ9/BE9-1</f>
        <v>0.96590909090909083</v>
      </c>
      <c r="BK10" s="829">
        <f>'Segment Detail'!BK99</f>
        <v>0.8</v>
      </c>
      <c r="BL10" s="830">
        <v>0.65</v>
      </c>
      <c r="BM10" s="830">
        <v>0.6</v>
      </c>
      <c r="BN10" s="830">
        <v>0.5</v>
      </c>
      <c r="BO10" s="785">
        <f>BO9/BJ9-1</f>
        <v>0.61387283236994228</v>
      </c>
      <c r="BP10" s="830">
        <v>0.35</v>
      </c>
      <c r="BQ10" s="830">
        <f>+BP10</f>
        <v>0.35</v>
      </c>
      <c r="BR10" s="830">
        <f>+BQ10</f>
        <v>0.35</v>
      </c>
      <c r="BS10" s="830">
        <f>+BR10</f>
        <v>0.35</v>
      </c>
      <c r="BT10" s="785">
        <f>BT9/BO9-1</f>
        <v>0.35000000000000009</v>
      </c>
      <c r="BU10" s="830">
        <v>0.3</v>
      </c>
      <c r="BV10" s="830">
        <f>+BU10</f>
        <v>0.3</v>
      </c>
      <c r="BW10" s="830">
        <f>+BV10</f>
        <v>0.3</v>
      </c>
      <c r="BX10" s="830">
        <f>+BW10</f>
        <v>0.3</v>
      </c>
      <c r="BY10" s="785">
        <f>BY9/BT9-1</f>
        <v>0.30000000000000004</v>
      </c>
      <c r="BZ10" s="830">
        <v>0.3</v>
      </c>
      <c r="CA10" s="830">
        <f>+BZ10</f>
        <v>0.3</v>
      </c>
      <c r="CB10" s="830">
        <f>+CA10</f>
        <v>0.3</v>
      </c>
      <c r="CC10" s="830">
        <f>+CB10</f>
        <v>0.3</v>
      </c>
      <c r="CD10" s="785">
        <f>CD9/BY9-1</f>
        <v>0.30000000000000004</v>
      </c>
      <c r="CE10" s="160"/>
    </row>
    <row r="11" spans="1:83" ht="13.5" thickBot="1">
      <c r="A11" s="533"/>
      <c r="B11" s="138" t="s">
        <v>268</v>
      </c>
      <c r="C11" s="553"/>
      <c r="D11" s="553"/>
      <c r="E11" s="553"/>
      <c r="F11" s="554"/>
      <c r="G11" s="182"/>
      <c r="H11" s="553"/>
      <c r="I11" s="553"/>
      <c r="J11" s="553"/>
      <c r="K11" s="554"/>
      <c r="L11" s="182"/>
      <c r="M11" s="553"/>
      <c r="N11" s="553"/>
      <c r="O11" s="553"/>
      <c r="P11" s="554"/>
      <c r="Q11" s="182"/>
      <c r="R11" s="553"/>
      <c r="S11" s="553"/>
      <c r="T11" s="553"/>
      <c r="U11" s="554"/>
      <c r="V11" s="182"/>
      <c r="W11" s="553"/>
      <c r="X11" s="553"/>
      <c r="Y11" s="553"/>
      <c r="Z11" s="554"/>
      <c r="AA11" s="182"/>
      <c r="AB11" s="553"/>
      <c r="AC11" s="553"/>
      <c r="AD11" s="553"/>
      <c r="AE11" s="554"/>
      <c r="AF11" s="182"/>
      <c r="AG11" s="553"/>
      <c r="AH11" s="553"/>
      <c r="AI11" s="553"/>
      <c r="AJ11" s="554"/>
      <c r="AK11" s="182"/>
      <c r="AL11" s="553"/>
      <c r="AM11" s="553"/>
      <c r="AN11" s="553"/>
      <c r="AO11" s="554"/>
      <c r="AP11" s="182"/>
      <c r="AQ11" s="831">
        <f>AQ9/AQ$6</f>
        <v>5.8499143006185261E-3</v>
      </c>
      <c r="AR11" s="581">
        <f t="shared" ref="AR11:CD11" si="1">AR9/AR$6</f>
        <v>8.2487309644670055E-3</v>
      </c>
      <c r="AS11" s="581">
        <f t="shared" si="1"/>
        <v>1.203079884504331E-2</v>
      </c>
      <c r="AT11" s="581">
        <f t="shared" si="1"/>
        <v>1.3719165947394722E-2</v>
      </c>
      <c r="AU11" s="558">
        <f t="shared" si="1"/>
        <v>1.0177509749184905E-2</v>
      </c>
      <c r="AV11" s="831">
        <f t="shared" si="1"/>
        <v>2.0628044620047286E-2</v>
      </c>
      <c r="AW11" s="831">
        <f t="shared" si="1"/>
        <v>2.4065084022405977E-2</v>
      </c>
      <c r="AX11" s="831">
        <f t="shared" si="1"/>
        <v>2.9586213665745896E-2</v>
      </c>
      <c r="AY11" s="831">
        <f t="shared" si="1"/>
        <v>2.9872205241751101E-2</v>
      </c>
      <c r="AZ11" s="192">
        <f t="shared" si="1"/>
        <v>2.6095167998666843E-2</v>
      </c>
      <c r="BA11" s="831">
        <f t="shared" si="1"/>
        <v>3.8760159401155535E-2</v>
      </c>
      <c r="BB11" s="831">
        <f t="shared" si="1"/>
        <v>4.4437861057621091E-2</v>
      </c>
      <c r="BC11" s="831">
        <f t="shared" si="1"/>
        <v>5.5121210416783847E-2</v>
      </c>
      <c r="BD11" s="831">
        <f>BD9/BD$6</f>
        <v>5.5604650931874375E-2</v>
      </c>
      <c r="BE11" s="785">
        <f t="shared" si="1"/>
        <v>4.8898668622613412E-2</v>
      </c>
      <c r="BF11" s="831">
        <f t="shared" si="1"/>
        <v>6.7568238953089763E-2</v>
      </c>
      <c r="BG11" s="831">
        <f>BG9/BG$6</f>
        <v>7.4211502782931357E-2</v>
      </c>
      <c r="BH11" s="831">
        <f t="shared" si="1"/>
        <v>8.1580226341734355E-2</v>
      </c>
      <c r="BI11" s="831">
        <f t="shared" si="1"/>
        <v>7.8481681319095956E-2</v>
      </c>
      <c r="BJ11" s="785">
        <f t="shared" si="1"/>
        <v>7.5847585810801921E-2</v>
      </c>
      <c r="BK11" s="831">
        <f t="shared" si="1"/>
        <v>9.0659091595902214E-2</v>
      </c>
      <c r="BL11" s="831">
        <f t="shared" si="1"/>
        <v>9.3909180147738566E-2</v>
      </c>
      <c r="BM11" s="831">
        <f t="shared" si="1"/>
        <v>0.10227121344906452</v>
      </c>
      <c r="BN11" s="831">
        <f t="shared" si="1"/>
        <v>9.3085285987662122E-2</v>
      </c>
      <c r="BO11" s="785">
        <f t="shared" si="1"/>
        <v>9.5034912488595691E-2</v>
      </c>
      <c r="BP11" s="831">
        <f t="shared" si="1"/>
        <v>9.9712169080366092E-2</v>
      </c>
      <c r="BQ11" s="831">
        <f t="shared" si="1"/>
        <v>0.10323891954352367</v>
      </c>
      <c r="BR11" s="831">
        <f t="shared" si="1"/>
        <v>0.11243170859628428</v>
      </c>
      <c r="BS11" s="831">
        <f t="shared" si="1"/>
        <v>0.10233317270630608</v>
      </c>
      <c r="BT11" s="785">
        <f t="shared" si="1"/>
        <v>0.1044874047328324</v>
      </c>
      <c r="BU11" s="831">
        <f t="shared" si="1"/>
        <v>0.10802151650372994</v>
      </c>
      <c r="BV11" s="831">
        <f t="shared" si="1"/>
        <v>0.1118421628388173</v>
      </c>
      <c r="BW11" s="831">
        <f t="shared" si="1"/>
        <v>0.12386544167387253</v>
      </c>
      <c r="BX11" s="831">
        <f t="shared" si="1"/>
        <v>0.1127399360323711</v>
      </c>
      <c r="BY11" s="785">
        <f t="shared" si="1"/>
        <v>0.11421416468920317</v>
      </c>
      <c r="BZ11" s="831">
        <f t="shared" si="1"/>
        <v>0.12002390722636663</v>
      </c>
      <c r="CA11" s="831">
        <f t="shared" si="1"/>
        <v>0.12426906982090812</v>
      </c>
      <c r="CB11" s="831">
        <f t="shared" si="1"/>
        <v>0.13762826852652504</v>
      </c>
      <c r="CC11" s="831">
        <f t="shared" si="1"/>
        <v>0.12526659559152348</v>
      </c>
      <c r="CD11" s="785">
        <f t="shared" si="1"/>
        <v>0.12690462743244796</v>
      </c>
      <c r="CE11" s="160"/>
    </row>
    <row r="12" spans="1:83">
      <c r="A12" s="533"/>
      <c r="B12" s="138" t="s">
        <v>405</v>
      </c>
      <c r="C12" s="553"/>
      <c r="D12" s="553"/>
      <c r="E12" s="553"/>
      <c r="F12" s="554"/>
      <c r="G12" s="182"/>
      <c r="H12" s="553"/>
      <c r="I12" s="553"/>
      <c r="J12" s="553"/>
      <c r="K12" s="554"/>
      <c r="L12" s="182"/>
      <c r="M12" s="553"/>
      <c r="N12" s="553"/>
      <c r="O12" s="553"/>
      <c r="P12" s="554"/>
      <c r="Q12" s="182"/>
      <c r="R12" s="553"/>
      <c r="S12" s="553"/>
      <c r="T12" s="553"/>
      <c r="U12" s="554"/>
      <c r="V12" s="182"/>
      <c r="W12" s="553"/>
      <c r="X12" s="553"/>
      <c r="Y12" s="553"/>
      <c r="Z12" s="554"/>
      <c r="AA12" s="182"/>
      <c r="AB12" s="553"/>
      <c r="AC12" s="553"/>
      <c r="AD12" s="553"/>
      <c r="AE12" s="554"/>
      <c r="AF12" s="182"/>
      <c r="AG12" s="553"/>
      <c r="AH12" s="553"/>
      <c r="AI12" s="553"/>
      <c r="AJ12" s="554"/>
      <c r="AK12" s="182"/>
      <c r="AL12" s="553"/>
      <c r="AM12" s="553"/>
      <c r="AN12" s="553"/>
      <c r="AO12" s="554"/>
      <c r="AP12" s="832"/>
      <c r="AQ12" s="833">
        <v>0</v>
      </c>
      <c r="AR12" s="834">
        <v>0</v>
      </c>
      <c r="AS12" s="834">
        <v>0</v>
      </c>
      <c r="AT12" s="834">
        <v>0</v>
      </c>
      <c r="AU12" s="835">
        <f>SUMPRODUCT(AQ12:AT12,AQ9:AT9)/SUM(AQ9:AT9)</f>
        <v>0</v>
      </c>
      <c r="AV12" s="834">
        <v>0</v>
      </c>
      <c r="AW12" s="834">
        <v>0</v>
      </c>
      <c r="AX12" s="834">
        <v>0</v>
      </c>
      <c r="AY12" s="834">
        <v>0</v>
      </c>
      <c r="AZ12" s="835">
        <f>SUMPRODUCT(AV12:AY12,AV9:AY9)/SUM(AV9:AY9)</f>
        <v>0</v>
      </c>
      <c r="BA12" s="834">
        <v>0</v>
      </c>
      <c r="BB12" s="834">
        <v>0</v>
      </c>
      <c r="BC12" s="834">
        <v>0</v>
      </c>
      <c r="BD12" s="834">
        <v>0</v>
      </c>
      <c r="BE12" s="835">
        <f>SUMPRODUCT(BA12:BD12,BA9:BD9)/SUM(BA9:BD9)</f>
        <v>0</v>
      </c>
      <c r="BF12" s="834">
        <v>0</v>
      </c>
      <c r="BG12" s="834">
        <v>0</v>
      </c>
      <c r="BH12" s="834">
        <v>0</v>
      </c>
      <c r="BI12" s="834">
        <v>0</v>
      </c>
      <c r="BJ12" s="835">
        <f>SUMPRODUCT(BF12:BI12,BF9:BI9)/SUM(BF9:BI9)</f>
        <v>0</v>
      </c>
      <c r="BK12" s="834">
        <v>0</v>
      </c>
      <c r="BL12" s="834">
        <v>0</v>
      </c>
      <c r="BM12" s="834">
        <v>0</v>
      </c>
      <c r="BN12" s="834">
        <v>0</v>
      </c>
      <c r="BO12" s="835">
        <f>SUMPRODUCT(BK12:BN12,BK9:BN9)/SUM(BK9:BN9)</f>
        <v>0</v>
      </c>
      <c r="BP12" s="834">
        <v>0</v>
      </c>
      <c r="BQ12" s="834">
        <v>0</v>
      </c>
      <c r="BR12" s="834">
        <v>0</v>
      </c>
      <c r="BS12" s="834">
        <v>0</v>
      </c>
      <c r="BT12" s="835">
        <f>SUMPRODUCT(BP12:BS12,BP9:BS9)/SUM(BP9:BS9)</f>
        <v>0</v>
      </c>
      <c r="BU12" s="834">
        <v>0</v>
      </c>
      <c r="BV12" s="834">
        <v>0</v>
      </c>
      <c r="BW12" s="834">
        <v>0</v>
      </c>
      <c r="BX12" s="834">
        <v>0</v>
      </c>
      <c r="BY12" s="835">
        <f>SUMPRODUCT(BU12:BX12,BU9:BX9)/SUM(BU9:BX9)</f>
        <v>0</v>
      </c>
      <c r="BZ12" s="834">
        <v>0</v>
      </c>
      <c r="CA12" s="834">
        <v>0</v>
      </c>
      <c r="CB12" s="834">
        <v>0</v>
      </c>
      <c r="CC12" s="834">
        <v>0</v>
      </c>
      <c r="CD12" s="835">
        <f>SUMPRODUCT(BZ12:CC12,BZ9:CC9)/SUM(BZ9:CC9)</f>
        <v>0</v>
      </c>
      <c r="CE12" s="160"/>
    </row>
    <row r="13" spans="1:83" ht="13.5" thickBot="1">
      <c r="A13" s="533"/>
      <c r="B13" s="138" t="s">
        <v>406</v>
      </c>
      <c r="C13" s="553"/>
      <c r="D13" s="553"/>
      <c r="E13" s="553"/>
      <c r="F13" s="554"/>
      <c r="G13" s="182"/>
      <c r="H13" s="553"/>
      <c r="I13" s="553"/>
      <c r="J13" s="553"/>
      <c r="K13" s="554"/>
      <c r="L13" s="182"/>
      <c r="M13" s="553"/>
      <c r="N13" s="553"/>
      <c r="O13" s="553"/>
      <c r="P13" s="554"/>
      <c r="Q13" s="182"/>
      <c r="R13" s="553"/>
      <c r="S13" s="553"/>
      <c r="T13" s="553"/>
      <c r="U13" s="554"/>
      <c r="V13" s="182"/>
      <c r="W13" s="553"/>
      <c r="X13" s="553"/>
      <c r="Y13" s="553"/>
      <c r="Z13" s="554"/>
      <c r="AA13" s="182"/>
      <c r="AB13" s="553"/>
      <c r="AC13" s="553"/>
      <c r="AD13" s="553"/>
      <c r="AE13" s="554"/>
      <c r="AF13" s="182"/>
      <c r="AG13" s="553"/>
      <c r="AH13" s="553"/>
      <c r="AI13" s="553"/>
      <c r="AJ13" s="554"/>
      <c r="AK13" s="182"/>
      <c r="AL13" s="553"/>
      <c r="AM13" s="553"/>
      <c r="AN13" s="553"/>
      <c r="AO13" s="554"/>
      <c r="AP13" s="832"/>
      <c r="AQ13" s="836">
        <v>3.0000000000000001E-3</v>
      </c>
      <c r="AR13" s="834">
        <f>AQ13</f>
        <v>3.0000000000000001E-3</v>
      </c>
      <c r="AS13" s="834">
        <f>AR13</f>
        <v>3.0000000000000001E-3</v>
      </c>
      <c r="AT13" s="834">
        <f>AS13</f>
        <v>3.0000000000000001E-3</v>
      </c>
      <c r="AU13" s="835">
        <f>SUMPRODUCT(AQ13:AT13,AQ9:AT9)/SUM(AQ9:AT9)</f>
        <v>3.0000000000000001E-3</v>
      </c>
      <c r="AV13" s="834">
        <f>AT13</f>
        <v>3.0000000000000001E-3</v>
      </c>
      <c r="AW13" s="834">
        <f>AV13</f>
        <v>3.0000000000000001E-3</v>
      </c>
      <c r="AX13" s="834">
        <f>AW13</f>
        <v>3.0000000000000001E-3</v>
      </c>
      <c r="AY13" s="834">
        <f>AX13</f>
        <v>3.0000000000000001E-3</v>
      </c>
      <c r="AZ13" s="835">
        <f>SUMPRODUCT(AV13:AY13,AV9:AY9)/SUM(AV9:AY9)</f>
        <v>3.0000000000000001E-3</v>
      </c>
      <c r="BA13" s="834">
        <f>AY13</f>
        <v>3.0000000000000001E-3</v>
      </c>
      <c r="BB13" s="834">
        <f>BA13</f>
        <v>3.0000000000000001E-3</v>
      </c>
      <c r="BC13" s="834">
        <f>BB13</f>
        <v>3.0000000000000001E-3</v>
      </c>
      <c r="BD13" s="834">
        <f>BC13</f>
        <v>3.0000000000000001E-3</v>
      </c>
      <c r="BE13" s="835">
        <f>SUMPRODUCT(BA13:BD13,BA9:BD9)/SUM(BA9:BD9)</f>
        <v>2.9999999999999996E-3</v>
      </c>
      <c r="BF13" s="834">
        <f>BD13</f>
        <v>3.0000000000000001E-3</v>
      </c>
      <c r="BG13" s="834">
        <f>BE13</f>
        <v>2.9999999999999996E-3</v>
      </c>
      <c r="BH13" s="834">
        <f>BG13</f>
        <v>2.9999999999999996E-3</v>
      </c>
      <c r="BI13" s="834">
        <f>BH13</f>
        <v>2.9999999999999996E-3</v>
      </c>
      <c r="BJ13" s="835">
        <f>SUMPRODUCT(BF13:BI13,BF9:BI9)/SUM(BF9:BI9)</f>
        <v>2.9999999999999996E-3</v>
      </c>
      <c r="BK13" s="834">
        <f>BI13</f>
        <v>2.9999999999999996E-3</v>
      </c>
      <c r="BL13" s="834">
        <f>BK13</f>
        <v>2.9999999999999996E-3</v>
      </c>
      <c r="BM13" s="834">
        <f>BL13</f>
        <v>2.9999999999999996E-3</v>
      </c>
      <c r="BN13" s="834">
        <f>BM13</f>
        <v>2.9999999999999996E-3</v>
      </c>
      <c r="BO13" s="835">
        <f>SUMPRODUCT(BK13:BN13,BK9:BN9)/SUM(BK9:BN9)</f>
        <v>2.9999999999999996E-3</v>
      </c>
      <c r="BP13" s="834">
        <f>BN13</f>
        <v>2.9999999999999996E-3</v>
      </c>
      <c r="BQ13" s="834">
        <f>BP13</f>
        <v>2.9999999999999996E-3</v>
      </c>
      <c r="BR13" s="834">
        <f>BQ13</f>
        <v>2.9999999999999996E-3</v>
      </c>
      <c r="BS13" s="834">
        <f>BR13</f>
        <v>2.9999999999999996E-3</v>
      </c>
      <c r="BT13" s="835">
        <f>SUMPRODUCT(BP13:BS13,BP9:BS9)/SUM(BP9:BS9)</f>
        <v>2.9999999999999996E-3</v>
      </c>
      <c r="BU13" s="834">
        <f>BS13</f>
        <v>2.9999999999999996E-3</v>
      </c>
      <c r="BV13" s="834">
        <f>BU13</f>
        <v>2.9999999999999996E-3</v>
      </c>
      <c r="BW13" s="834">
        <f>BV13</f>
        <v>2.9999999999999996E-3</v>
      </c>
      <c r="BX13" s="834">
        <f>BW13</f>
        <v>2.9999999999999996E-3</v>
      </c>
      <c r="BY13" s="835">
        <f>SUMPRODUCT(BU13:BX13,BU9:BX9)/SUM(BU9:BX9)</f>
        <v>3.0000000000000001E-3</v>
      </c>
      <c r="BZ13" s="834">
        <f>BX13</f>
        <v>2.9999999999999996E-3</v>
      </c>
      <c r="CA13" s="834">
        <f>BZ13</f>
        <v>2.9999999999999996E-3</v>
      </c>
      <c r="CB13" s="834">
        <f>CA13</f>
        <v>2.9999999999999996E-3</v>
      </c>
      <c r="CC13" s="834">
        <f>CB13</f>
        <v>2.9999999999999996E-3</v>
      </c>
      <c r="CD13" s="835">
        <f>SUMPRODUCT(BZ13:CC13,BZ9:CC9)/SUM(BZ9:CC9)</f>
        <v>3.0000000000000005E-3</v>
      </c>
      <c r="CE13" s="160"/>
    </row>
    <row r="14" spans="1:83">
      <c r="A14" s="533"/>
      <c r="B14" s="138" t="s">
        <v>407</v>
      </c>
      <c r="C14" s="553"/>
      <c r="D14" s="553"/>
      <c r="E14" s="553"/>
      <c r="F14" s="554"/>
      <c r="G14" s="182"/>
      <c r="H14" s="553"/>
      <c r="I14" s="553"/>
      <c r="J14" s="553"/>
      <c r="K14" s="554"/>
      <c r="L14" s="182"/>
      <c r="M14" s="553"/>
      <c r="N14" s="553"/>
      <c r="O14" s="553"/>
      <c r="P14" s="554"/>
      <c r="Q14" s="182"/>
      <c r="R14" s="553"/>
      <c r="S14" s="553"/>
      <c r="T14" s="553"/>
      <c r="U14" s="554"/>
      <c r="V14" s="182"/>
      <c r="W14" s="553"/>
      <c r="X14" s="553"/>
      <c r="Y14" s="553"/>
      <c r="Z14" s="554"/>
      <c r="AA14" s="182"/>
      <c r="AB14" s="553"/>
      <c r="AC14" s="553"/>
      <c r="AD14" s="553"/>
      <c r="AE14" s="554"/>
      <c r="AF14" s="182"/>
      <c r="AG14" s="553"/>
      <c r="AH14" s="553"/>
      <c r="AI14" s="553"/>
      <c r="AJ14" s="554"/>
      <c r="AK14" s="182"/>
      <c r="AL14" s="553"/>
      <c r="AM14" s="553"/>
      <c r="AN14" s="553"/>
      <c r="AO14" s="554"/>
      <c r="AP14" s="182"/>
      <c r="AQ14" s="837">
        <f>AQ9*AQ12</f>
        <v>0</v>
      </c>
      <c r="AR14" s="318">
        <f>AR9*AR12</f>
        <v>0</v>
      </c>
      <c r="AS14" s="318">
        <f>AS9*AS12</f>
        <v>0</v>
      </c>
      <c r="AT14" s="318">
        <f>AT9*AT12</f>
        <v>0</v>
      </c>
      <c r="AU14" s="838">
        <f>SUM(AQ14:AT14)</f>
        <v>0</v>
      </c>
      <c r="AV14" s="318">
        <f t="shared" ref="AV14:BN14" si="2">AV9*AV12</f>
        <v>0</v>
      </c>
      <c r="AW14" s="318">
        <f t="shared" si="2"/>
        <v>0</v>
      </c>
      <c r="AX14" s="318">
        <f t="shared" si="2"/>
        <v>0</v>
      </c>
      <c r="AY14" s="318">
        <f t="shared" si="2"/>
        <v>0</v>
      </c>
      <c r="AZ14" s="838">
        <f>SUM(AV14:AY14)</f>
        <v>0</v>
      </c>
      <c r="BA14" s="318">
        <f t="shared" si="2"/>
        <v>0</v>
      </c>
      <c r="BB14" s="318">
        <f t="shared" si="2"/>
        <v>0</v>
      </c>
      <c r="BC14" s="318">
        <f t="shared" si="2"/>
        <v>0</v>
      </c>
      <c r="BD14" s="318">
        <f t="shared" si="2"/>
        <v>0</v>
      </c>
      <c r="BE14" s="838">
        <f>SUM(BA14:BD14)</f>
        <v>0</v>
      </c>
      <c r="BF14" s="318">
        <f t="shared" si="2"/>
        <v>0</v>
      </c>
      <c r="BG14" s="318">
        <f>BG9*BG12</f>
        <v>0</v>
      </c>
      <c r="BH14" s="318">
        <f t="shared" si="2"/>
        <v>0</v>
      </c>
      <c r="BI14" s="318">
        <f t="shared" si="2"/>
        <v>0</v>
      </c>
      <c r="BJ14" s="838">
        <f>SUM(BF14:BI14)</f>
        <v>0</v>
      </c>
      <c r="BK14" s="318">
        <f t="shared" si="2"/>
        <v>0</v>
      </c>
      <c r="BL14" s="318">
        <f t="shared" si="2"/>
        <v>0</v>
      </c>
      <c r="BM14" s="318">
        <f t="shared" si="2"/>
        <v>0</v>
      </c>
      <c r="BN14" s="318">
        <f t="shared" si="2"/>
        <v>0</v>
      </c>
      <c r="BO14" s="838">
        <f>SUM(BK14:BN14)</f>
        <v>0</v>
      </c>
      <c r="BP14" s="318">
        <f>BP9*BP12</f>
        <v>0</v>
      </c>
      <c r="BQ14" s="318">
        <f>BQ9*BQ12</f>
        <v>0</v>
      </c>
      <c r="BR14" s="318">
        <f>BR9*BR12</f>
        <v>0</v>
      </c>
      <c r="BS14" s="318">
        <f>BS9*BS12</f>
        <v>0</v>
      </c>
      <c r="BT14" s="838">
        <f>SUM(BP14:BS14)</f>
        <v>0</v>
      </c>
      <c r="BU14" s="318">
        <f>BU9*BU12</f>
        <v>0</v>
      </c>
      <c r="BV14" s="318">
        <f>BV9*BV12</f>
        <v>0</v>
      </c>
      <c r="BW14" s="318">
        <f>BW9*BW12</f>
        <v>0</v>
      </c>
      <c r="BX14" s="318">
        <f>BX9*BX12</f>
        <v>0</v>
      </c>
      <c r="BY14" s="838">
        <f>SUM(BU14:BX14)</f>
        <v>0</v>
      </c>
      <c r="BZ14" s="318">
        <f>BZ9*BZ12</f>
        <v>0</v>
      </c>
      <c r="CA14" s="318">
        <f>CA9*CA12</f>
        <v>0</v>
      </c>
      <c r="CB14" s="318">
        <f>CB9*CB12</f>
        <v>0</v>
      </c>
      <c r="CC14" s="318">
        <f>CC9*CC12</f>
        <v>0</v>
      </c>
      <c r="CD14" s="838">
        <f>SUM(BZ14:CC14)</f>
        <v>0</v>
      </c>
      <c r="CE14" s="160"/>
    </row>
    <row r="15" spans="1:83">
      <c r="A15" s="533"/>
      <c r="B15" s="138" t="s">
        <v>408</v>
      </c>
      <c r="C15" s="553"/>
      <c r="D15" s="553"/>
      <c r="E15" s="553"/>
      <c r="F15" s="554"/>
      <c r="G15" s="182"/>
      <c r="H15" s="553"/>
      <c r="I15" s="553"/>
      <c r="J15" s="553"/>
      <c r="K15" s="554"/>
      <c r="L15" s="182"/>
      <c r="M15" s="553"/>
      <c r="N15" s="553"/>
      <c r="O15" s="553"/>
      <c r="P15" s="554"/>
      <c r="Q15" s="182"/>
      <c r="R15" s="553"/>
      <c r="S15" s="553"/>
      <c r="T15" s="553"/>
      <c r="U15" s="554"/>
      <c r="V15" s="182"/>
      <c r="W15" s="553"/>
      <c r="X15" s="553"/>
      <c r="Y15" s="553"/>
      <c r="Z15" s="554"/>
      <c r="AA15" s="182"/>
      <c r="AB15" s="553"/>
      <c r="AC15" s="553"/>
      <c r="AD15" s="553"/>
      <c r="AE15" s="554"/>
      <c r="AF15" s="182"/>
      <c r="AG15" s="553"/>
      <c r="AH15" s="553"/>
      <c r="AI15" s="553"/>
      <c r="AJ15" s="554"/>
      <c r="AK15" s="182"/>
      <c r="AL15" s="553"/>
      <c r="AM15" s="553"/>
      <c r="AN15" s="553"/>
      <c r="AO15" s="554"/>
      <c r="AP15" s="182"/>
      <c r="AQ15" s="837">
        <f>AQ9*AQ13</f>
        <v>0.94200000000000006</v>
      </c>
      <c r="AR15" s="318">
        <f>AR9*AR13</f>
        <v>1.4040000000000001</v>
      </c>
      <c r="AS15" s="318">
        <f>AS9*AS13</f>
        <v>2.1</v>
      </c>
      <c r="AT15" s="318">
        <f>AT9*AT13</f>
        <v>2.718</v>
      </c>
      <c r="AU15" s="838">
        <f>SUM(AQ15:AT15)</f>
        <v>7.1639999999999997</v>
      </c>
      <c r="AV15" s="318">
        <f>AV9*AV13</f>
        <v>3.9</v>
      </c>
      <c r="AW15" s="318">
        <f>AW9*AW13</f>
        <v>4.87188</v>
      </c>
      <c r="AX15" s="318">
        <f>AX9*AX13</f>
        <v>6.33</v>
      </c>
      <c r="AY15" s="318">
        <f>AY9*AY13</f>
        <v>7.4473200000000004</v>
      </c>
      <c r="AZ15" s="838">
        <f>SUM(AV15:AY15)</f>
        <v>22.549199999999999</v>
      </c>
      <c r="BA15" s="318">
        <f>BA9*BA13</f>
        <v>9.6</v>
      </c>
      <c r="BB15" s="318">
        <f>BB9*BB13</f>
        <v>11.700000000000001</v>
      </c>
      <c r="BC15" s="318">
        <f>BC9*BC13</f>
        <v>14.700000000000001</v>
      </c>
      <c r="BD15" s="318">
        <f>BD9*BD13</f>
        <v>16.8</v>
      </c>
      <c r="BE15" s="838">
        <f>SUM(BA15:BD15)</f>
        <v>52.8</v>
      </c>
      <c r="BF15" s="318">
        <f>BF9*BF13</f>
        <v>20.400000000000002</v>
      </c>
      <c r="BG15" s="318">
        <f>BG9*BG13</f>
        <v>23.999999999999996</v>
      </c>
      <c r="BH15" s="318">
        <f>BH9*BH13</f>
        <v>28.199999999999996</v>
      </c>
      <c r="BI15" s="318">
        <f>BI9*BI13</f>
        <v>31.199999999999996</v>
      </c>
      <c r="BJ15" s="838">
        <f>SUM(BF15:BI15)</f>
        <v>103.79999999999998</v>
      </c>
      <c r="BK15" s="318">
        <f>BK9*BK13</f>
        <v>35.999999999999993</v>
      </c>
      <c r="BL15" s="318">
        <f>BL9*BL13</f>
        <v>39.599999999999994</v>
      </c>
      <c r="BM15" s="318">
        <f>BM9*BM13</f>
        <v>45.12</v>
      </c>
      <c r="BN15" s="318">
        <f>BN9*BN13</f>
        <v>46.8</v>
      </c>
      <c r="BO15" s="838">
        <f>SUM(BK15:BN15)</f>
        <v>167.51999999999998</v>
      </c>
      <c r="BP15" s="318">
        <f>BP9*BP13</f>
        <v>48.6</v>
      </c>
      <c r="BQ15" s="318">
        <f>BQ9*BQ13</f>
        <v>53.459999999999994</v>
      </c>
      <c r="BR15" s="318">
        <f>BR9*BR13</f>
        <v>60.911999999999992</v>
      </c>
      <c r="BS15" s="318">
        <f>BS9*BS13</f>
        <v>63.179999999999993</v>
      </c>
      <c r="BT15" s="838">
        <f>SUM(BP15:BS15)</f>
        <v>226.15199999999999</v>
      </c>
      <c r="BU15" s="318">
        <f>BU9*BU13</f>
        <v>63.18</v>
      </c>
      <c r="BV15" s="318">
        <f>BV9*BV13</f>
        <v>69.49799999999999</v>
      </c>
      <c r="BW15" s="318">
        <f>BW9*BW13</f>
        <v>79.185599999999994</v>
      </c>
      <c r="BX15" s="318">
        <f>BX9*BX13</f>
        <v>82.133999999999986</v>
      </c>
      <c r="BY15" s="838">
        <f>SUM(BU15:BX15)</f>
        <v>293.99759999999998</v>
      </c>
      <c r="BZ15" s="318">
        <f>BZ9*BZ13</f>
        <v>82.134000000000015</v>
      </c>
      <c r="CA15" s="318">
        <f>CA9*CA13</f>
        <v>90.347399999999993</v>
      </c>
      <c r="CB15" s="318">
        <f>CB9*CB13</f>
        <v>102.94127999999999</v>
      </c>
      <c r="CC15" s="318">
        <f>CC9*CC13</f>
        <v>106.77419999999999</v>
      </c>
      <c r="CD15" s="838">
        <f>SUM(BZ15:CC15)</f>
        <v>382.19688000000002</v>
      </c>
      <c r="CE15" s="160"/>
    </row>
    <row r="16" spans="1:83">
      <c r="A16" s="533"/>
      <c r="B16" s="138"/>
      <c r="C16" s="553"/>
      <c r="D16" s="553"/>
      <c r="E16" s="553"/>
      <c r="F16" s="554"/>
      <c r="G16" s="182"/>
      <c r="H16" s="553"/>
      <c r="I16" s="553"/>
      <c r="J16" s="553"/>
      <c r="K16" s="554"/>
      <c r="L16" s="182"/>
      <c r="M16" s="553"/>
      <c r="N16" s="553"/>
      <c r="O16" s="553"/>
      <c r="P16" s="554"/>
      <c r="Q16" s="182"/>
      <c r="R16" s="553"/>
      <c r="S16" s="553"/>
      <c r="T16" s="553"/>
      <c r="U16" s="554"/>
      <c r="V16" s="182"/>
      <c r="W16" s="553"/>
      <c r="X16" s="553"/>
      <c r="Y16" s="553"/>
      <c r="Z16" s="554"/>
      <c r="AA16" s="182"/>
      <c r="AB16" s="553"/>
      <c r="AC16" s="553"/>
      <c r="AD16" s="553"/>
      <c r="AE16" s="554"/>
      <c r="AF16" s="182"/>
      <c r="AG16" s="553"/>
      <c r="AH16" s="553"/>
      <c r="AI16" s="553"/>
      <c r="AJ16" s="554"/>
      <c r="AK16" s="182"/>
      <c r="AL16" s="553"/>
      <c r="AM16" s="553"/>
      <c r="AN16" s="553"/>
      <c r="AO16" s="554"/>
      <c r="AP16" s="182"/>
      <c r="AQ16" s="318"/>
      <c r="AR16" s="318"/>
      <c r="AS16" s="318"/>
      <c r="AT16" s="318"/>
      <c r="AU16" s="838"/>
      <c r="AV16" s="318"/>
      <c r="AW16" s="318"/>
      <c r="AX16" s="318"/>
      <c r="AY16" s="318"/>
      <c r="AZ16" s="838"/>
      <c r="BA16" s="318"/>
      <c r="BB16" s="318"/>
      <c r="BC16" s="318"/>
      <c r="BD16" s="318"/>
      <c r="BE16" s="838"/>
      <c r="BF16" s="318"/>
      <c r="BG16" s="318"/>
      <c r="BH16" s="318"/>
      <c r="BI16" s="318"/>
      <c r="BJ16" s="838"/>
      <c r="BK16" s="318"/>
      <c r="BL16" s="318"/>
      <c r="BM16" s="318"/>
      <c r="BN16" s="318"/>
      <c r="BO16" s="838"/>
      <c r="BP16" s="318"/>
      <c r="BQ16" s="318"/>
      <c r="BR16" s="318"/>
      <c r="BS16" s="318"/>
      <c r="BT16" s="838"/>
      <c r="BU16" s="318"/>
      <c r="BV16" s="318"/>
      <c r="BW16" s="318"/>
      <c r="BX16" s="318"/>
      <c r="BY16" s="838"/>
      <c r="BZ16" s="318"/>
      <c r="CA16" s="318"/>
      <c r="CB16" s="318"/>
      <c r="CC16" s="318"/>
      <c r="CD16" s="838"/>
      <c r="CE16" s="160"/>
    </row>
    <row r="17" spans="1:83">
      <c r="A17" s="533"/>
      <c r="B17" s="138" t="s">
        <v>409</v>
      </c>
      <c r="C17" s="553"/>
      <c r="D17" s="553"/>
      <c r="E17" s="553"/>
      <c r="F17" s="554"/>
      <c r="G17" s="182"/>
      <c r="H17" s="553"/>
      <c r="I17" s="553"/>
      <c r="J17" s="553"/>
      <c r="K17" s="554"/>
      <c r="L17" s="182"/>
      <c r="M17" s="553"/>
      <c r="N17" s="553"/>
      <c r="O17" s="553"/>
      <c r="P17" s="554"/>
      <c r="Q17" s="182"/>
      <c r="R17" s="553"/>
      <c r="S17" s="553"/>
      <c r="T17" s="553"/>
      <c r="U17" s="554"/>
      <c r="V17" s="182"/>
      <c r="W17" s="553"/>
      <c r="X17" s="553"/>
      <c r="Y17" s="553"/>
      <c r="Z17" s="554"/>
      <c r="AA17" s="182"/>
      <c r="AB17" s="553"/>
      <c r="AC17" s="553"/>
      <c r="AD17" s="553"/>
      <c r="AE17" s="554"/>
      <c r="AF17" s="182"/>
      <c r="AG17" s="553"/>
      <c r="AH17" s="553"/>
      <c r="AI17" s="553"/>
      <c r="AJ17" s="554"/>
      <c r="AK17" s="184">
        <f>(AK55+AK30+AK38)/(AK6-AK9)</f>
        <v>3.3505257686617891E-2</v>
      </c>
      <c r="AL17" s="553"/>
      <c r="AM17" s="553"/>
      <c r="AN17" s="553"/>
      <c r="AO17" s="554"/>
      <c r="AP17" s="184">
        <f t="shared" ref="AP17:CD17" si="3">(AP55+AP30+AP38)/(AP6-AP9)</f>
        <v>3.2283439112959708E-2</v>
      </c>
      <c r="AQ17" s="186">
        <f>(AQ55+AQ30+AQ38)/(AQ6-AQ9)</f>
        <v>3.1314418500056222E-2</v>
      </c>
      <c r="AR17" s="186">
        <f t="shared" si="3"/>
        <v>3.0390275111964172E-2</v>
      </c>
      <c r="AS17" s="186">
        <f t="shared" si="3"/>
        <v>3.0443253774963468E-2</v>
      </c>
      <c r="AT17" s="186">
        <f t="shared" si="3"/>
        <v>3.0138332335375308E-2</v>
      </c>
      <c r="AU17" s="835">
        <f t="shared" si="3"/>
        <v>3.0545066244128019E-2</v>
      </c>
      <c r="AV17" s="186">
        <f t="shared" si="3"/>
        <v>3.0961909236726561E-2</v>
      </c>
      <c r="AW17" s="186">
        <f t="shared" si="3"/>
        <v>2.9852087915158122E-2</v>
      </c>
      <c r="AX17" s="186">
        <f t="shared" si="3"/>
        <v>2.8956608435562876E-2</v>
      </c>
      <c r="AY17" s="186">
        <f t="shared" si="3"/>
        <v>2.8355401592367907E-2</v>
      </c>
      <c r="AZ17" s="835">
        <f t="shared" si="3"/>
        <v>2.9291862017042539E-2</v>
      </c>
      <c r="BA17" s="186">
        <f t="shared" si="3"/>
        <v>2.8474653158431933E-2</v>
      </c>
      <c r="BB17" s="186">
        <f t="shared" si="3"/>
        <v>2.7976103883715107E-2</v>
      </c>
      <c r="BC17" s="186">
        <f t="shared" si="3"/>
        <v>2.7789749389844631E-2</v>
      </c>
      <c r="BD17" s="186">
        <f t="shared" si="3"/>
        <v>2.7723396873127189E-2</v>
      </c>
      <c r="BE17" s="835">
        <f t="shared" si="3"/>
        <v>2.7975742562688415E-2</v>
      </c>
      <c r="BF17" s="186">
        <f t="shared" si="3"/>
        <v>2.7947868157162801E-2</v>
      </c>
      <c r="BG17" s="186">
        <f>(BG55+BG30+BG38)/(BG6-BG9)</f>
        <v>2.7777555110220439E-2</v>
      </c>
      <c r="BH17" s="186">
        <f t="shared" si="3"/>
        <v>2.6967417599032359E-2</v>
      </c>
      <c r="BI17" s="186">
        <f t="shared" si="3"/>
        <v>2.650780002456701E-2</v>
      </c>
      <c r="BJ17" s="835">
        <f t="shared" si="3"/>
        <v>2.7244305917291701E-2</v>
      </c>
      <c r="BK17" s="186">
        <f t="shared" si="3"/>
        <v>2.6477352032169086E-2</v>
      </c>
      <c r="BL17" s="186">
        <f t="shared" si="3"/>
        <v>2.6312720895491429E-2</v>
      </c>
      <c r="BM17" s="186">
        <f t="shared" si="3"/>
        <v>2.6229407328990414E-2</v>
      </c>
      <c r="BN17" s="186">
        <f t="shared" si="3"/>
        <v>2.5722930957279667E-2</v>
      </c>
      <c r="BO17" s="835">
        <f t="shared" si="3"/>
        <v>2.6160718953892374E-2</v>
      </c>
      <c r="BP17" s="186">
        <f t="shared" si="3"/>
        <v>2.569480910092891E-2</v>
      </c>
      <c r="BQ17" s="186">
        <f t="shared" si="3"/>
        <v>2.5516438783796596E-2</v>
      </c>
      <c r="BR17" s="186">
        <f t="shared" si="3"/>
        <v>2.5468266917555965E-2</v>
      </c>
      <c r="BS17" s="186">
        <f t="shared" si="3"/>
        <v>2.4958212143145614E-2</v>
      </c>
      <c r="BT17" s="835">
        <f t="shared" si="3"/>
        <v>2.5385251921006175E-2</v>
      </c>
      <c r="BU17" s="186">
        <f t="shared" si="3"/>
        <v>2.4944788750518202E-2</v>
      </c>
      <c r="BV17" s="186">
        <f t="shared" si="3"/>
        <v>2.4849720694338613E-2</v>
      </c>
      <c r="BW17" s="186">
        <f t="shared" si="3"/>
        <v>2.4784474561055592E-2</v>
      </c>
      <c r="BX17" s="186">
        <f t="shared" si="3"/>
        <v>2.4372583382080856E-2</v>
      </c>
      <c r="BY17" s="835">
        <f t="shared" si="3"/>
        <v>2.4720179929774266E-2</v>
      </c>
      <c r="BZ17" s="186">
        <f t="shared" si="3"/>
        <v>2.4411836171831649E-2</v>
      </c>
      <c r="CA17" s="186">
        <f t="shared" si="3"/>
        <v>2.4347867153790979E-2</v>
      </c>
      <c r="CB17" s="186">
        <f t="shared" si="3"/>
        <v>2.4438328308625502E-2</v>
      </c>
      <c r="CC17" s="186">
        <f t="shared" si="3"/>
        <v>2.4072965866997073E-2</v>
      </c>
      <c r="CD17" s="835">
        <f t="shared" si="3"/>
        <v>2.4306757921973725E-2</v>
      </c>
      <c r="CE17" s="160"/>
    </row>
    <row r="18" spans="1:83">
      <c r="A18" s="533"/>
      <c r="B18" s="138" t="s">
        <v>410</v>
      </c>
      <c r="C18" s="553"/>
      <c r="D18" s="553"/>
      <c r="E18" s="553"/>
      <c r="F18" s="554"/>
      <c r="G18" s="182"/>
      <c r="H18" s="553"/>
      <c r="I18" s="553"/>
      <c r="J18" s="553"/>
      <c r="K18" s="554"/>
      <c r="L18" s="182"/>
      <c r="M18" s="553"/>
      <c r="N18" s="553"/>
      <c r="O18" s="553"/>
      <c r="P18" s="554"/>
      <c r="Q18" s="182"/>
      <c r="R18" s="553"/>
      <c r="S18" s="553"/>
      <c r="T18" s="553"/>
      <c r="U18" s="554"/>
      <c r="V18" s="182"/>
      <c r="W18" s="553"/>
      <c r="X18" s="553"/>
      <c r="Y18" s="553"/>
      <c r="Z18" s="554"/>
      <c r="AA18" s="182"/>
      <c r="AB18" s="553"/>
      <c r="AC18" s="553"/>
      <c r="AD18" s="553"/>
      <c r="AE18" s="554"/>
      <c r="AF18" s="182"/>
      <c r="AG18" s="553"/>
      <c r="AH18" s="553"/>
      <c r="AI18" s="553"/>
      <c r="AJ18" s="554"/>
      <c r="AK18" s="184">
        <f>(AK56+AK31+AK39)/(AK6-AK9)</f>
        <v>1.0115549158370317E-2</v>
      </c>
      <c r="AL18" s="553"/>
      <c r="AM18" s="553"/>
      <c r="AN18" s="553"/>
      <c r="AO18" s="554"/>
      <c r="AP18" s="184">
        <f t="shared" ref="AP18:CD18" si="4">(AP56+AP31+AP39)/(AP6-AP9)</f>
        <v>9.8865338405008454E-3</v>
      </c>
      <c r="AQ18" s="186">
        <f t="shared" si="4"/>
        <v>9.6146696150818927E-3</v>
      </c>
      <c r="AR18" s="186">
        <f t="shared" si="4"/>
        <v>9.3053956067391773E-3</v>
      </c>
      <c r="AS18" s="186">
        <f t="shared" si="4"/>
        <v>9.3051979681302611E-3</v>
      </c>
      <c r="AT18" s="186">
        <f t="shared" si="4"/>
        <v>9.0780710239049336E-3</v>
      </c>
      <c r="AU18" s="835">
        <f t="shared" si="4"/>
        <v>9.312654200054251E-3</v>
      </c>
      <c r="AV18" s="186">
        <f t="shared" si="4"/>
        <v>9.2529285008344005E-3</v>
      </c>
      <c r="AW18" s="186">
        <f t="shared" si="4"/>
        <v>9.5527914283510418E-3</v>
      </c>
      <c r="AX18" s="186">
        <f t="shared" si="4"/>
        <v>9.3150981837097392E-3</v>
      </c>
      <c r="AY18" s="186">
        <f t="shared" si="4"/>
        <v>9.2105771849908397E-3</v>
      </c>
      <c r="AZ18" s="835">
        <f t="shared" si="4"/>
        <v>9.2237132541665243E-3</v>
      </c>
      <c r="BA18" s="186">
        <f t="shared" si="4"/>
        <v>9.3539485124560541E-3</v>
      </c>
      <c r="BB18" s="186">
        <f t="shared" si="4"/>
        <v>9.5162348115378631E-3</v>
      </c>
      <c r="BC18" s="186">
        <f t="shared" si="4"/>
        <v>9.697005774153224E-3</v>
      </c>
      <c r="BD18" s="186">
        <f t="shared" si="4"/>
        <v>9.841132991977794E-3</v>
      </c>
      <c r="BE18" s="835">
        <f t="shared" si="4"/>
        <v>9.6132364282208865E-3</v>
      </c>
      <c r="BF18" s="186">
        <f t="shared" si="4"/>
        <v>1.0296358656848434E-2</v>
      </c>
      <c r="BG18" s="186">
        <f>(BG56+BG31+BG39)/(BG6-BG9)</f>
        <v>1.0412825651302606E-2</v>
      </c>
      <c r="BH18" s="186">
        <f t="shared" si="4"/>
        <v>1.0135697006350166E-2</v>
      </c>
      <c r="BI18" s="186">
        <f t="shared" si="4"/>
        <v>1.0095401875281497E-2</v>
      </c>
      <c r="BJ18" s="835">
        <f t="shared" si="4"/>
        <v>1.0225391268045296E-2</v>
      </c>
      <c r="BK18" s="186">
        <f t="shared" si="4"/>
        <v>1.0269848127347048E-2</v>
      </c>
      <c r="BL18" s="186">
        <f t="shared" si="4"/>
        <v>1.0358317990833324E-2</v>
      </c>
      <c r="BM18" s="186">
        <f t="shared" si="4"/>
        <v>1.0437682297231987E-2</v>
      </c>
      <c r="BN18" s="186">
        <f t="shared" si="4"/>
        <v>1.0382458803306302E-2</v>
      </c>
      <c r="BO18" s="835">
        <f t="shared" si="4"/>
        <v>1.036489685976345E-2</v>
      </c>
      <c r="BP18" s="186">
        <f t="shared" si="4"/>
        <v>1.0446861652361498E-2</v>
      </c>
      <c r="BQ18" s="186">
        <f t="shared" si="4"/>
        <v>1.0478170079044186E-2</v>
      </c>
      <c r="BR18" s="186">
        <f t="shared" si="4"/>
        <v>1.0548926924458527E-2</v>
      </c>
      <c r="BS18" s="186">
        <f t="shared" si="4"/>
        <v>1.0481653207767875E-2</v>
      </c>
      <c r="BT18" s="835">
        <f t="shared" si="4"/>
        <v>1.0489632053336912E-2</v>
      </c>
      <c r="BU18" s="186">
        <f t="shared" si="4"/>
        <v>1.0540048136333496E-2</v>
      </c>
      <c r="BV18" s="186">
        <f t="shared" si="4"/>
        <v>1.0574881690341263E-2</v>
      </c>
      <c r="BW18" s="186">
        <f t="shared" si="4"/>
        <v>1.0662292520508239E-2</v>
      </c>
      <c r="BX18" s="186">
        <f t="shared" si="4"/>
        <v>1.0597684703907637E-2</v>
      </c>
      <c r="BY18" s="835">
        <f t="shared" si="4"/>
        <v>1.0594848357379751E-2</v>
      </c>
      <c r="BZ18" s="186">
        <f t="shared" si="4"/>
        <v>1.0661412737978031E-2</v>
      </c>
      <c r="CA18" s="186">
        <f t="shared" si="4"/>
        <v>1.0693957640328785E-2</v>
      </c>
      <c r="CB18" s="186">
        <f t="shared" si="4"/>
        <v>1.0779456438130533E-2</v>
      </c>
      <c r="CC18" s="186">
        <f t="shared" si="4"/>
        <v>1.0711350507563895E-2</v>
      </c>
      <c r="CD18" s="835">
        <f t="shared" si="4"/>
        <v>1.0712409558362605E-2</v>
      </c>
      <c r="CE18" s="160"/>
    </row>
    <row r="19" spans="1:83">
      <c r="A19" s="533"/>
      <c r="B19" s="839" t="s">
        <v>411</v>
      </c>
      <c r="C19" s="553"/>
      <c r="D19" s="553"/>
      <c r="E19" s="553"/>
      <c r="F19" s="554"/>
      <c r="G19" s="182"/>
      <c r="H19" s="553"/>
      <c r="I19" s="553"/>
      <c r="J19" s="553"/>
      <c r="K19" s="554"/>
      <c r="L19" s="182"/>
      <c r="M19" s="553"/>
      <c r="N19" s="553"/>
      <c r="O19" s="553"/>
      <c r="P19" s="554"/>
      <c r="Q19" s="182"/>
      <c r="R19" s="553"/>
      <c r="S19" s="553"/>
      <c r="T19" s="553"/>
      <c r="U19" s="554"/>
      <c r="V19" s="182"/>
      <c r="W19" s="553"/>
      <c r="X19" s="553"/>
      <c r="Y19" s="553"/>
      <c r="Z19" s="554"/>
      <c r="AA19" s="182"/>
      <c r="AB19" s="553"/>
      <c r="AC19" s="553"/>
      <c r="AD19" s="553"/>
      <c r="AE19" s="554"/>
      <c r="AF19" s="182"/>
      <c r="AG19" s="553"/>
      <c r="AH19" s="553"/>
      <c r="AI19" s="553"/>
      <c r="AJ19" s="554"/>
      <c r="AK19" s="182"/>
      <c r="AL19" s="553"/>
      <c r="AM19" s="553"/>
      <c r="AN19" s="553"/>
      <c r="AO19" s="554"/>
      <c r="AP19" s="182"/>
      <c r="AQ19" s="318"/>
      <c r="AR19" s="318"/>
      <c r="AS19" s="318"/>
      <c r="AT19" s="318"/>
      <c r="AU19" s="840">
        <f t="shared" ref="AU19:CD19" si="5">-((AU58-AP58)-(AU17-AP17))*10000</f>
        <v>3.1087270948911354</v>
      </c>
      <c r="AV19" s="841">
        <f t="shared" si="5"/>
        <v>4.5549698065801625</v>
      </c>
      <c r="AW19" s="841">
        <f t="shared" si="5"/>
        <v>4.6771180058780351</v>
      </c>
      <c r="AX19" s="841">
        <f t="shared" si="5"/>
        <v>4.9045974185471168</v>
      </c>
      <c r="AY19" s="841">
        <f t="shared" si="5"/>
        <v>4.3356559339274847</v>
      </c>
      <c r="AZ19" s="840">
        <f t="shared" si="5"/>
        <v>4.5350335083938278</v>
      </c>
      <c r="BA19" s="841">
        <f t="shared" si="5"/>
        <v>4.6160693610878409</v>
      </c>
      <c r="BB19" s="841">
        <f t="shared" si="5"/>
        <v>5.1523398178316206</v>
      </c>
      <c r="BC19" s="841">
        <f t="shared" si="5"/>
        <v>6.4359038481353465</v>
      </c>
      <c r="BD19" s="841">
        <f t="shared" si="5"/>
        <v>6.5280794149765935</v>
      </c>
      <c r="BE19" s="840">
        <f t="shared" si="5"/>
        <v>5.8104043714687563</v>
      </c>
      <c r="BF19" s="841">
        <f t="shared" si="5"/>
        <v>7.7418654448703839</v>
      </c>
      <c r="BG19" s="841">
        <f t="shared" si="5"/>
        <v>8.0181309668542902</v>
      </c>
      <c r="BH19" s="841">
        <f t="shared" si="5"/>
        <v>6.6325050312841114</v>
      </c>
      <c r="BI19" s="841">
        <f t="shared" si="5"/>
        <v>5.277061878410823</v>
      </c>
      <c r="BJ19" s="840">
        <f t="shared" si="5"/>
        <v>6.8723958137607148</v>
      </c>
      <c r="BK19" s="841">
        <f t="shared" si="5"/>
        <v>4.497819203079338</v>
      </c>
      <c r="BL19" s="841">
        <f t="shared" si="5"/>
        <v>3.1724039737459493</v>
      </c>
      <c r="BM19" s="841">
        <f t="shared" si="5"/>
        <v>3.47140384839361</v>
      </c>
      <c r="BN19" s="841">
        <f t="shared" si="5"/>
        <v>1.7139477860694114</v>
      </c>
      <c r="BO19" s="840">
        <f t="shared" si="5"/>
        <v>3.0930667403977763</v>
      </c>
      <c r="BP19" s="841">
        <f t="shared" si="5"/>
        <v>-0.13448562683777282</v>
      </c>
      <c r="BQ19" s="841">
        <f t="shared" si="5"/>
        <v>-0.50820230058243321</v>
      </c>
      <c r="BR19" s="841">
        <f t="shared" si="5"/>
        <v>-0.87989210161603526</v>
      </c>
      <c r="BS19" s="841">
        <f t="shared" si="5"/>
        <v>-1.1767350824316152</v>
      </c>
      <c r="BT19" s="840">
        <f t="shared" si="5"/>
        <v>-0.70821852922960116</v>
      </c>
      <c r="BU19" s="841">
        <f t="shared" si="5"/>
        <v>-1.6066501695966711</v>
      </c>
      <c r="BV19" s="841">
        <f t="shared" si="5"/>
        <v>-1.6458775600694184</v>
      </c>
      <c r="BW19" s="841">
        <f t="shared" si="5"/>
        <v>-1.5046202304933032</v>
      </c>
      <c r="BX19" s="841">
        <f t="shared" si="5"/>
        <v>-1.3847342761371186</v>
      </c>
      <c r="BY19" s="840">
        <f t="shared" si="5"/>
        <v>-1.5235923392611581</v>
      </c>
      <c r="BZ19" s="841">
        <f t="shared" si="5"/>
        <v>-1.2752224523551043</v>
      </c>
      <c r="CA19" s="841">
        <f t="shared" si="5"/>
        <v>-1.380482070965916</v>
      </c>
      <c r="CB19" s="841">
        <f t="shared" si="5"/>
        <v>-1.4199091897904719</v>
      </c>
      <c r="CC19" s="841">
        <f t="shared" si="5"/>
        <v>-1.3733718163274484</v>
      </c>
      <c r="CD19" s="840">
        <f t="shared" si="5"/>
        <v>-1.3684464188628078</v>
      </c>
      <c r="CE19" s="160"/>
    </row>
    <row r="20" spans="1:83">
      <c r="A20" s="533"/>
      <c r="B20" s="138" t="s">
        <v>412</v>
      </c>
      <c r="C20" s="553"/>
      <c r="D20" s="553"/>
      <c r="E20" s="553"/>
      <c r="F20" s="554"/>
      <c r="G20" s="182"/>
      <c r="H20" s="553"/>
      <c r="I20" s="553"/>
      <c r="J20" s="553"/>
      <c r="K20" s="554"/>
      <c r="L20" s="182"/>
      <c r="M20" s="553"/>
      <c r="N20" s="553"/>
      <c r="O20" s="553"/>
      <c r="P20" s="554"/>
      <c r="Q20" s="182"/>
      <c r="R20" s="553"/>
      <c r="S20" s="553"/>
      <c r="T20" s="553"/>
      <c r="U20" s="554"/>
      <c r="V20" s="182"/>
      <c r="W20" s="553"/>
      <c r="X20" s="553"/>
      <c r="Y20" s="553"/>
      <c r="Z20" s="554"/>
      <c r="AA20" s="182"/>
      <c r="AB20" s="553"/>
      <c r="AC20" s="553"/>
      <c r="AD20" s="553"/>
      <c r="AE20" s="554"/>
      <c r="AF20" s="182"/>
      <c r="AG20" s="553"/>
      <c r="AH20" s="553"/>
      <c r="AI20" s="553"/>
      <c r="AJ20" s="554"/>
      <c r="AK20" s="182"/>
      <c r="AL20" s="553"/>
      <c r="AM20" s="553"/>
      <c r="AN20" s="553"/>
      <c r="AO20" s="554"/>
      <c r="AP20" s="182"/>
      <c r="AQ20" s="318"/>
      <c r="AR20" s="318"/>
      <c r="AS20" s="318"/>
      <c r="AT20" s="318"/>
      <c r="AU20" s="840">
        <f>-((AU60-AP60)-(AU18-AP18))*10000</f>
        <v>0.6424709966428368</v>
      </c>
      <c r="AV20" s="841">
        <f t="shared" ref="AV20:CD20" si="6">-((AV60-AQ60)-(AV18-AQ18))*10000</f>
        <v>0.90290437746044083</v>
      </c>
      <c r="AW20" s="841">
        <f t="shared" si="6"/>
        <v>1.0568196432004726</v>
      </c>
      <c r="AX20" s="841">
        <f t="shared" si="6"/>
        <v>1.1098327575065001</v>
      </c>
      <c r="AY20" s="841">
        <f t="shared" si="6"/>
        <v>1.0213757132278116</v>
      </c>
      <c r="AZ20" s="840">
        <f t="shared" si="6"/>
        <v>0.98161743278720948</v>
      </c>
      <c r="BA20" s="841">
        <f t="shared" si="6"/>
        <v>1.1632536506332551</v>
      </c>
      <c r="BB20" s="841">
        <f t="shared" si="6"/>
        <v>1.2913942326583419</v>
      </c>
      <c r="BC20" s="841">
        <f t="shared" si="6"/>
        <v>1.7330783896358017</v>
      </c>
      <c r="BD20" s="841">
        <f t="shared" si="6"/>
        <v>1.829598933151249</v>
      </c>
      <c r="BE20" s="840">
        <f t="shared" si="6"/>
        <v>1.5452388009240017</v>
      </c>
      <c r="BF20" s="841">
        <f t="shared" si="6"/>
        <v>2.4371644973751954</v>
      </c>
      <c r="BG20" s="841">
        <f t="shared" si="6"/>
        <v>2.5586288160233015</v>
      </c>
      <c r="BH20" s="841">
        <f t="shared" si="6"/>
        <v>2.1156959675730675</v>
      </c>
      <c r="BI20" s="841">
        <f t="shared" si="6"/>
        <v>1.732829081289456</v>
      </c>
      <c r="BJ20" s="840">
        <f t="shared" si="6"/>
        <v>2.2145040345111431</v>
      </c>
      <c r="BK20" s="841">
        <f t="shared" si="6"/>
        <v>1.4829214236041464</v>
      </c>
      <c r="BL20" s="841">
        <f t="shared" si="6"/>
        <v>1.1451052375959294</v>
      </c>
      <c r="BM20" s="841">
        <f t="shared" si="6"/>
        <v>1.3985333142670433</v>
      </c>
      <c r="BN20" s="841">
        <f t="shared" si="6"/>
        <v>0.89580679621449955</v>
      </c>
      <c r="BO20" s="840">
        <f t="shared" si="6"/>
        <v>1.203338067741512</v>
      </c>
      <c r="BP20" s="841">
        <f t="shared" si="6"/>
        <v>0.33430321178062539</v>
      </c>
      <c r="BQ20" s="841">
        <f t="shared" si="6"/>
        <v>0.19852088210859514</v>
      </c>
      <c r="BR20" s="841">
        <f t="shared" si="6"/>
        <v>0.11244627226536866</v>
      </c>
      <c r="BS20" s="841">
        <f t="shared" si="6"/>
        <v>-8.055955384306257E-3</v>
      </c>
      <c r="BT20" s="840">
        <f t="shared" si="6"/>
        <v>0.14912941897246568</v>
      </c>
      <c r="BU20" s="841">
        <f t="shared" si="6"/>
        <v>-0.11813516028004456</v>
      </c>
      <c r="BV20" s="841">
        <f t="shared" si="6"/>
        <v>-0.13288388702925938</v>
      </c>
      <c r="BW20" s="841">
        <f t="shared" si="6"/>
        <v>-1.6344039502902419E-2</v>
      </c>
      <c r="BX20" s="841">
        <f t="shared" si="6"/>
        <v>-3.9685038602382816E-2</v>
      </c>
      <c r="BY20" s="840">
        <f t="shared" si="6"/>
        <v>-7.5086242511453877E-2</v>
      </c>
      <c r="BZ20" s="841">
        <f t="shared" si="6"/>
        <v>1.3646016445330311E-2</v>
      </c>
      <c r="CA20" s="841">
        <f t="shared" si="6"/>
        <v>-9.2405001247963803E-3</v>
      </c>
      <c r="CB20" s="841">
        <f t="shared" si="6"/>
        <v>-2.836082377707938E-2</v>
      </c>
      <c r="CC20" s="841">
        <f t="shared" si="6"/>
        <v>-6.3341963437452825E-2</v>
      </c>
      <c r="CD20" s="840">
        <f t="shared" si="6"/>
        <v>-2.4387990171462898E-2</v>
      </c>
      <c r="CE20" s="160"/>
    </row>
    <row r="21" spans="1:83">
      <c r="A21" s="533"/>
      <c r="B21" s="138"/>
      <c r="C21" s="553"/>
      <c r="D21" s="553"/>
      <c r="E21" s="553"/>
      <c r="F21" s="554"/>
      <c r="G21" s="182"/>
      <c r="H21" s="553"/>
      <c r="I21" s="553"/>
      <c r="J21" s="553"/>
      <c r="K21" s="554"/>
      <c r="L21" s="182"/>
      <c r="M21" s="553"/>
      <c r="N21" s="553"/>
      <c r="O21" s="553"/>
      <c r="P21" s="554"/>
      <c r="Q21" s="182"/>
      <c r="R21" s="553"/>
      <c r="S21" s="553"/>
      <c r="T21" s="553"/>
      <c r="U21" s="554"/>
      <c r="V21" s="182"/>
      <c r="W21" s="553"/>
      <c r="X21" s="553"/>
      <c r="Y21" s="553"/>
      <c r="Z21" s="554"/>
      <c r="AA21" s="182"/>
      <c r="AB21" s="553"/>
      <c r="AC21" s="553"/>
      <c r="AD21" s="553"/>
      <c r="AE21" s="554"/>
      <c r="AF21" s="182"/>
      <c r="AG21" s="553"/>
      <c r="AH21" s="553"/>
      <c r="AI21" s="553"/>
      <c r="AJ21" s="554"/>
      <c r="AK21" s="182"/>
      <c r="AL21" s="553"/>
      <c r="AM21" s="553"/>
      <c r="AN21" s="553"/>
      <c r="AO21" s="554"/>
      <c r="AP21" s="182"/>
      <c r="AQ21" s="318"/>
      <c r="AR21" s="318"/>
      <c r="AS21" s="318"/>
      <c r="AT21" s="318"/>
      <c r="AU21" s="406"/>
      <c r="AV21" s="841"/>
      <c r="AW21" s="841"/>
      <c r="AX21" s="841"/>
      <c r="AY21" s="841"/>
      <c r="AZ21" s="406"/>
      <c r="BA21" s="841"/>
      <c r="BB21" s="841"/>
      <c r="BC21" s="841"/>
      <c r="BD21" s="841"/>
      <c r="BE21" s="406"/>
      <c r="BF21" s="841"/>
      <c r="BG21" s="841"/>
      <c r="BH21" s="841"/>
      <c r="BI21" s="841"/>
      <c r="BJ21" s="840"/>
      <c r="BK21" s="841"/>
      <c r="BL21" s="841"/>
      <c r="BM21" s="841"/>
      <c r="BN21" s="841"/>
      <c r="BO21" s="840"/>
      <c r="BP21" s="841"/>
      <c r="BQ21" s="841"/>
      <c r="BR21" s="841"/>
      <c r="BS21" s="841"/>
      <c r="BT21" s="840"/>
      <c r="BU21" s="841"/>
      <c r="BV21" s="841"/>
      <c r="BW21" s="841"/>
      <c r="BX21" s="841"/>
      <c r="BY21" s="840"/>
      <c r="BZ21" s="841"/>
      <c r="CA21" s="841"/>
      <c r="CB21" s="841"/>
      <c r="CC21" s="841"/>
      <c r="CD21" s="840"/>
      <c r="CE21" s="160"/>
    </row>
    <row r="22" spans="1:83">
      <c r="A22" s="533"/>
      <c r="B22" s="138" t="s">
        <v>413</v>
      </c>
      <c r="C22" s="553"/>
      <c r="D22" s="553"/>
      <c r="E22" s="553"/>
      <c r="F22" s="554"/>
      <c r="G22" s="182"/>
      <c r="H22" s="553"/>
      <c r="I22" s="553"/>
      <c r="J22" s="553"/>
      <c r="K22" s="554"/>
      <c r="L22" s="182"/>
      <c r="M22" s="553"/>
      <c r="N22" s="553"/>
      <c r="O22" s="553"/>
      <c r="P22" s="554"/>
      <c r="Q22" s="182"/>
      <c r="R22" s="553"/>
      <c r="S22" s="553"/>
      <c r="T22" s="553"/>
      <c r="U22" s="554"/>
      <c r="V22" s="182"/>
      <c r="W22" s="553"/>
      <c r="X22" s="553"/>
      <c r="Y22" s="553"/>
      <c r="Z22" s="554"/>
      <c r="AA22" s="182"/>
      <c r="AB22" s="553"/>
      <c r="AC22" s="553"/>
      <c r="AD22" s="553"/>
      <c r="AE22" s="554"/>
      <c r="AF22" s="182"/>
      <c r="AG22" s="553"/>
      <c r="AH22" s="553"/>
      <c r="AI22" s="553"/>
      <c r="AJ22" s="554"/>
      <c r="AK22" s="835">
        <f>('Quarterly Model'!AK33+'Take Rate Drivers'!AK15-'Take Rate Drivers'!AK14)/('Quarterly Model'!AK14-'Take Rate Drivers'!AK14)</f>
        <v>0.66743200282585657</v>
      </c>
      <c r="AL22" s="553"/>
      <c r="AM22" s="553"/>
      <c r="AN22" s="553"/>
      <c r="AO22" s="554"/>
      <c r="AP22" s="835">
        <f>('Quarterly Model'!AP33+'Take Rate Drivers'!AP15-'Take Rate Drivers'!AP14)/('Quarterly Model'!AP14-'Take Rate Drivers'!AP14)</f>
        <v>0.65259402408205736</v>
      </c>
      <c r="AQ22" s="581">
        <f>('Quarterly Model'!AQ33+'Take Rate Drivers'!AQ15-'Take Rate Drivers'!AQ14)/('Quarterly Model'!AQ14-'Take Rate Drivers'!AQ14)</f>
        <v>0.6504233030464992</v>
      </c>
      <c r="AR22" s="581">
        <f>('Quarterly Model'!AR33+'Take Rate Drivers'!AR15-'Take Rate Drivers'!AR14)/('Quarterly Model'!AR14-'Take Rate Drivers'!AR14)</f>
        <v>0.65795254921756685</v>
      </c>
      <c r="AS22" s="581">
        <f>('Quarterly Model'!AS33+'Take Rate Drivers'!AS15-'Take Rate Drivers'!AS14)/('Quarterly Model'!AS14-'Take Rate Drivers'!AS14)</f>
        <v>0.63221714865550482</v>
      </c>
      <c r="AT22" s="581">
        <f>('Quarterly Model'!AT33+'Take Rate Drivers'!AT15-'Take Rate Drivers'!AT14)/('Quarterly Model'!AT14-'Take Rate Drivers'!AT14)</f>
        <v>0.63669164001827316</v>
      </c>
      <c r="AU22" s="406">
        <f>('Quarterly Model'!AU33+'Take Rate Drivers'!AU15-'Take Rate Drivers'!AU14)/('Quarterly Model'!AU14-'Take Rate Drivers'!AU14)</f>
        <v>0.64405441837244126</v>
      </c>
      <c r="AV22" s="581">
        <f>('Quarterly Model'!AV33+'Take Rate Drivers'!AV15-'Take Rate Drivers'!AV14)/('Quarterly Model'!AV14-'Take Rate Drivers'!AV14)</f>
        <v>0.64428303655107788</v>
      </c>
      <c r="AW22" s="581">
        <f>('Quarterly Model'!AW33+'Take Rate Drivers'!AW15-'Take Rate Drivers'!AW14)/('Quarterly Model'!AW14-'Take Rate Drivers'!AW14)</f>
        <v>0.63971734845180983</v>
      </c>
      <c r="AX22" s="581">
        <f>('Quarterly Model'!AX33+'Take Rate Drivers'!AX15-'Take Rate Drivers'!AX14)/('Quarterly Model'!AX14-'Take Rate Drivers'!AX14)</f>
        <v>0.62547829937998223</v>
      </c>
      <c r="AY22" s="581">
        <f>('Quarterly Model'!AY33+'Take Rate Drivers'!AY15-'Take Rate Drivers'!AY14)/('Quarterly Model'!AY14-'Take Rate Drivers'!AY14)</f>
        <v>0.6136335367762128</v>
      </c>
      <c r="AZ22" s="406">
        <f>('Quarterly Model'!AZ33+'Take Rate Drivers'!AZ15-'Take Rate Drivers'!AZ14)/('Quarterly Model'!AZ14-'Take Rate Drivers'!AZ14)</f>
        <v>0.63035782871972323</v>
      </c>
      <c r="BA22" s="581">
        <f>('Quarterly Model'!BA33+'Take Rate Drivers'!BA15-'Take Rate Drivers'!BA14)/('Quarterly Model'!BA14-'Take Rate Drivers'!BA14)</f>
        <v>0.60794025157232701</v>
      </c>
      <c r="BB22" s="581">
        <f>('Quarterly Model'!BB33+'Take Rate Drivers'!BB15-'Take Rate Drivers'!BB14)/('Quarterly Model'!BB14-'Take Rate Drivers'!BB14)</f>
        <v>0.60252830188679252</v>
      </c>
      <c r="BC22" s="581">
        <f>('Quarterly Model'!BC33+'Take Rate Drivers'!BC15-'Take Rate Drivers'!BC14)/('Quarterly Model'!BC14-'Take Rate Drivers'!BC14)</f>
        <v>0.59268841394825644</v>
      </c>
      <c r="BD22" s="581">
        <f>('Quarterly Model'!BD33+'Take Rate Drivers'!BD15-'Take Rate Drivers'!BD14)/('Quarterly Model'!BD14-'Take Rate Drivers'!BD14)</f>
        <v>0.58262328077826231</v>
      </c>
      <c r="BE22" s="406">
        <f>('Quarterly Model'!BE33+'Take Rate Drivers'!BE15-'Take Rate Drivers'!BE14)/('Quarterly Model'!BE14-'Take Rate Drivers'!BE14)</f>
        <v>0.59590481460985056</v>
      </c>
      <c r="BF22" s="581">
        <f>('Quarterly Model'!BF33+'Take Rate Drivers'!BF15-'Take Rate Drivers'!BF14)/('Quarterly Model'!BF14-'Take Rate Drivers'!BF14)</f>
        <v>0.57425210084033618</v>
      </c>
      <c r="BG22" s="581">
        <f>('Quarterly Model'!BG33+'Take Rate Drivers'!BG15-'Take Rate Drivers'!BG14)/('Quarterly Model'!BG14-'Take Rate Drivers'!BG14)</f>
        <v>0.57015306122448983</v>
      </c>
      <c r="BH22" s="581">
        <f>('Quarterly Model'!BH33+'Take Rate Drivers'!BH15-'Take Rate Drivers'!BH14)/('Quarterly Model'!BH14-'Take Rate Drivers'!BH14)</f>
        <v>0.55640629824019761</v>
      </c>
      <c r="BI22" s="581">
        <f>('Quarterly Model'!BI33+'Take Rate Drivers'!BI15-'Take Rate Drivers'!BI14)/('Quarterly Model'!BI14-'Take Rate Drivers'!BI14)</f>
        <v>0.65592442645074223</v>
      </c>
      <c r="BJ22" s="406">
        <f>('Quarterly Model'!BJ33+'Take Rate Drivers'!BJ15-'Take Rate Drivers'!BJ14)/('Quarterly Model'!BJ14-'Take Rate Drivers'!BJ14)</f>
        <v>0.59201838376101112</v>
      </c>
      <c r="BK22" s="581">
        <f>('Quarterly Model'!BK33+'Take Rate Drivers'!BK15-'Take Rate Drivers'!BK14)/('Quarterly Model'!BK14-'Take Rate Drivers'!BK14)</f>
        <v>0.58100407055630932</v>
      </c>
      <c r="BL22" s="581">
        <f>('Quarterly Model'!BL33+'Take Rate Drivers'!BL15-'Take Rate Drivers'!BL14)/('Quarterly Model'!BL14-'Take Rate Drivers'!BL14)</f>
        <v>0.56886649948123968</v>
      </c>
      <c r="BM22" s="581">
        <f>('Quarterly Model'!BM33+'Take Rate Drivers'!BM15-'Take Rate Drivers'!BM14)/('Quarterly Model'!BM14-'Take Rate Drivers'!BM14)</f>
        <v>0.52934263388592273</v>
      </c>
      <c r="BN22" s="581">
        <f>('Quarterly Model'!BN33+'Take Rate Drivers'!BN15-'Take Rate Drivers'!BN14)/('Quarterly Model'!BN14-'Take Rate Drivers'!BN14)</f>
        <v>0.53488622012416043</v>
      </c>
      <c r="BO22" s="406">
        <f>('Quarterly Model'!BO33+'Take Rate Drivers'!BO15-'Take Rate Drivers'!BO14)/('Quarterly Model'!BO14-'Take Rate Drivers'!BO14)</f>
        <v>0.55302330907490782</v>
      </c>
      <c r="BP22" s="581">
        <f>('Quarterly Model'!BP33+'Take Rate Drivers'!BP15-'Take Rate Drivers'!BP14)/('Quarterly Model'!BP14-'Take Rate Drivers'!BP14)</f>
        <v>0.53232197828206329</v>
      </c>
      <c r="BQ22" s="581">
        <f>('Quarterly Model'!BQ33+'Take Rate Drivers'!BQ15-'Take Rate Drivers'!BQ14)/('Quarterly Model'!BQ14-'Take Rate Drivers'!BQ14)</f>
        <v>0.52147949259249182</v>
      </c>
      <c r="BR22" s="581">
        <f>('Quarterly Model'!BR33+'Take Rate Drivers'!BR15-'Take Rate Drivers'!BR14)/('Quarterly Model'!BR14-'Take Rate Drivers'!BR14)</f>
        <v>0.51350048503585355</v>
      </c>
      <c r="BS22" s="581">
        <f>('Quarterly Model'!BS33+'Take Rate Drivers'!BS15-'Take Rate Drivers'!BS14)/('Quarterly Model'!BS14-'Take Rate Drivers'!BS14)</f>
        <v>0.51940730466647422</v>
      </c>
      <c r="BT22" s="406">
        <f>('Quarterly Model'!BT33+'Take Rate Drivers'!BT15-'Take Rate Drivers'!BT14)/('Quarterly Model'!BT14-'Take Rate Drivers'!BT14)</f>
        <v>0.52141950270685811</v>
      </c>
      <c r="BU22" s="581">
        <f>('Quarterly Model'!BU33+'Take Rate Drivers'!BU15-'Take Rate Drivers'!BU14)/('Quarterly Model'!BU14-'Take Rate Drivers'!BU14)</f>
        <v>0.51668144054006349</v>
      </c>
      <c r="BV22" s="581">
        <f>('Quarterly Model'!BV33+'Take Rate Drivers'!BV15-'Take Rate Drivers'!BV14)/('Quarterly Model'!BV14-'Take Rate Drivers'!BV14)</f>
        <v>0.50707109354204216</v>
      </c>
      <c r="BW22" s="581">
        <f>('Quarterly Model'!BW33+'Take Rate Drivers'!BW15-'Take Rate Drivers'!BW14)/('Quarterly Model'!BW14-'Take Rate Drivers'!BW14)</f>
        <v>0.49870773957668035</v>
      </c>
      <c r="BX22" s="581">
        <f>('Quarterly Model'!BX33+'Take Rate Drivers'!BX15-'Take Rate Drivers'!BX14)/('Quarterly Model'!BX14-'Take Rate Drivers'!BX14)</f>
        <v>0.50623560293834313</v>
      </c>
      <c r="BY22" s="406">
        <f>('Quarterly Model'!BY33+'Take Rate Drivers'!BY15-'Take Rate Drivers'!BY14)/('Quarterly Model'!BY14-'Take Rate Drivers'!BY14)</f>
        <v>0.50701614755338364</v>
      </c>
      <c r="BZ22" s="581">
        <f>('Quarterly Model'!BZ33+'Take Rate Drivers'!BZ15-'Take Rate Drivers'!BZ14)/('Quarterly Model'!BZ14-'Take Rate Drivers'!BZ14)</f>
        <v>0.50446033242685395</v>
      </c>
      <c r="CA22" s="581">
        <f>('Quarterly Model'!CA33+'Take Rate Drivers'!CA15-'Take Rate Drivers'!CA14)/('Quarterly Model'!CA14-'Take Rate Drivers'!CA14)</f>
        <v>0.49551964673666876</v>
      </c>
      <c r="CB22" s="581">
        <f>('Quarterly Model'!CB33+'Take Rate Drivers'!CB15-'Take Rate Drivers'!CB14)/('Quarterly Model'!CB14-'Take Rate Drivers'!CB14)</f>
        <v>0.49056349661539989</v>
      </c>
      <c r="CC22" s="581">
        <f>('Quarterly Model'!CC33+'Take Rate Drivers'!CC15-'Take Rate Drivers'!CC14)/('Quarterly Model'!CC14-'Take Rate Drivers'!CC14)</f>
        <v>0.49884659301011769</v>
      </c>
      <c r="CD22" s="406">
        <f>('Quarterly Model'!CD33+'Take Rate Drivers'!CD15-'Take Rate Drivers'!CD14)/('Quarterly Model'!CD14-'Take Rate Drivers'!CD14)</f>
        <v>0.49731145754306344</v>
      </c>
      <c r="CE22" s="160"/>
    </row>
    <row r="23" spans="1:83">
      <c r="A23" s="533"/>
      <c r="B23" s="138" t="s">
        <v>414</v>
      </c>
      <c r="C23" s="553"/>
      <c r="D23" s="553"/>
      <c r="E23" s="553"/>
      <c r="F23" s="554"/>
      <c r="G23" s="182"/>
      <c r="H23" s="553"/>
      <c r="I23" s="553"/>
      <c r="J23" s="553"/>
      <c r="K23" s="554"/>
      <c r="L23" s="182"/>
      <c r="M23" s="553"/>
      <c r="N23" s="553"/>
      <c r="O23" s="553"/>
      <c r="P23" s="554"/>
      <c r="Q23" s="182"/>
      <c r="R23" s="553"/>
      <c r="S23" s="553"/>
      <c r="T23" s="553"/>
      <c r="U23" s="554"/>
      <c r="V23" s="182"/>
      <c r="W23" s="553"/>
      <c r="X23" s="553"/>
      <c r="Y23" s="553"/>
      <c r="Z23" s="554"/>
      <c r="AA23" s="182"/>
      <c r="AB23" s="553"/>
      <c r="AC23" s="553"/>
      <c r="AD23" s="553"/>
      <c r="AE23" s="554"/>
      <c r="AF23" s="182"/>
      <c r="AG23" s="553"/>
      <c r="AH23" s="553"/>
      <c r="AI23" s="553"/>
      <c r="AJ23" s="554"/>
      <c r="AK23" s="182"/>
      <c r="AL23" s="553"/>
      <c r="AM23" s="553"/>
      <c r="AN23" s="553"/>
      <c r="AO23" s="554"/>
      <c r="AP23" s="182"/>
      <c r="AQ23" s="318"/>
      <c r="AR23" s="318"/>
      <c r="AS23" s="318"/>
      <c r="AT23" s="318"/>
      <c r="AU23" s="840">
        <f>-(('Quarterly Model'!AU34-'Quarterly Model'!AP34)-(AU22-AP22))*10000</f>
        <v>8.941587618571667</v>
      </c>
      <c r="AV23" s="841">
        <f>-(('Quarterly Model'!AV34-'Quarterly Model'!AQ34)-(AV22-AQ22))*10000</f>
        <v>13.240798113764995</v>
      </c>
      <c r="AW23" s="841">
        <f>-(('Quarterly Model'!AW34-'Quarterly Model'!AR34)-(AW22-AR22))*10000</f>
        <v>14.15942134974868</v>
      </c>
      <c r="AX23" s="841">
        <f>-(('Quarterly Model'!AX34-'Quarterly Model'!AS34)-(AX22-AS22))*10000</f>
        <v>17.379167997971791</v>
      </c>
      <c r="AY23" s="841">
        <f>-(('Quarterly Model'!AY34-'Quarterly Model'!AT34)-(AY22-AT22))*10000</f>
        <v>16.719991120777156</v>
      </c>
      <c r="AZ23" s="840">
        <f>-(('Quarterly Model'!AZ34-'Quarterly Model'!AU34)-(AZ22-AU22))*10000</f>
        <v>15.441197848556909</v>
      </c>
      <c r="BA23" s="841">
        <f>-(('Quarterly Model'!BA34-'Quarterly Model'!AV34)-(BA22-AV22))*10000</f>
        <v>19.460310162506822</v>
      </c>
      <c r="BB23" s="841">
        <f>-(('Quarterly Model'!BB34-'Quarterly Model'!AW34)-(BB22-AW22))*10000</f>
        <v>22.904192414979761</v>
      </c>
      <c r="BC23" s="841">
        <f>-(('Quarterly Model'!BC34-'Quarterly Model'!AX34)-(BC22-AX22))*10000</f>
        <v>27.08445213170263</v>
      </c>
      <c r="BD23" s="841">
        <f>-(('Quarterly Model'!BD34-'Quarterly Model'!AY34)-(BD22-AY22))*10000</f>
        <v>27.220307487325623</v>
      </c>
      <c r="BE23" s="840">
        <f>-(('Quarterly Model'!BE34-'Quarterly Model'!AZ34)-(BE22-AZ22))*10000</f>
        <v>24.316716469783284</v>
      </c>
      <c r="BF23" s="841">
        <f>-(('Quarterly Model'!BF34-'Quarterly Model'!BA34)-(BF22-BA22))*10000</f>
        <v>30.835579514825184</v>
      </c>
      <c r="BG23" s="841">
        <f>-(('Quarterly Model'!BG34-'Quarterly Model'!BB34)-(BG22-BB22))*10000</f>
        <v>32.379668848671052</v>
      </c>
      <c r="BH23" s="841">
        <f>-(('Quarterly Model'!BH34-'Quarterly Model'!BC34)-(BH22-BC22))*10000</f>
        <v>31.945798377550627</v>
      </c>
      <c r="BI23" s="841">
        <f>-(('Quarterly Model'!BI34-'Quarterly Model'!BD34)-(BI22-BD22))*10000</f>
        <v>27.853599110153617</v>
      </c>
      <c r="BJ23" s="840">
        <f>-(('Quarterly Model'!BJ34-'Quarterly Model'!BE34)-(BJ22-BE22))*10000</f>
        <v>30.810264436125223</v>
      </c>
      <c r="BK23" s="841">
        <f>-(('Quarterly Model'!BK34-'Quarterly Model'!BF34)-(BK22-BF22))*10000</f>
        <v>29.121922853265758</v>
      </c>
      <c r="BL23" s="841">
        <f>-(('Quarterly Model'!BL34-'Quarterly Model'!BG34)-(BL22-BG22))*10000</f>
        <v>27.111506825753253</v>
      </c>
      <c r="BM23" s="841">
        <f>-(('Quarterly Model'!BM34-'Quarterly Model'!BH34)-(BM22-BH22))*10000</f>
        <v>36.155160730120258</v>
      </c>
      <c r="BN23" s="841">
        <f>-(('Quarterly Model'!BN34-'Quarterly Model'!BI34)-(BN22-BI22))*10000</f>
        <v>26.125303096409258</v>
      </c>
      <c r="BO23" s="840">
        <f>-(('Quarterly Model'!BO34-'Quarterly Model'!BJ34)-(BO22-BJ22))*10000</f>
        <v>29.20445737167876</v>
      </c>
      <c r="BP23" s="841">
        <f>-(('Quarterly Model'!BP34-'Quarterly Model'!BK34)-(BP22-BK22))*10000</f>
        <v>21.350101104178343</v>
      </c>
      <c r="BQ23" s="841">
        <f>-(('Quarterly Model'!BQ34-'Quarterly Model'!BL34)-(BQ22-BL22))*10000</f>
        <v>22.314744869909031</v>
      </c>
      <c r="BR23" s="841">
        <f>-(('Quarterly Model'!BR34-'Quarterly Model'!BM34)-(BR22-BM22))*10000</f>
        <v>16.271302898434037</v>
      </c>
      <c r="BS23" s="841">
        <f>-(('Quarterly Model'!BS34-'Quarterly Model'!BN34)-(BS22-BN22))*10000</f>
        <v>14.497342305260785</v>
      </c>
      <c r="BT23" s="840">
        <f>-(('Quarterly Model'!BT34-'Quarterly Model'!BO34)-(BT22-BO22))*10000</f>
        <v>18.661189807287482</v>
      </c>
      <c r="BU23" s="841">
        <f>-(('Quarterly Model'!BU34-'Quarterly Model'!BP34)-(BU22-BP22))*10000</f>
        <v>13.331283166754249</v>
      </c>
      <c r="BV23" s="841">
        <f>-(('Quarterly Model'!BV34-'Quarterly Model'!BQ34)-(BV22-BQ22))*10000</f>
        <v>13.606459150518058</v>
      </c>
      <c r="BW23" s="841">
        <f>-(('Quarterly Model'!BW34-'Quarterly Model'!BR34)-(BW22-BR22))*10000</f>
        <v>17.77934801177161</v>
      </c>
      <c r="BX23" s="841">
        <f>-(('Quarterly Model'!BX34-'Quarterly Model'!BS34)-(BX22-BS22))*10000</f>
        <v>15.410711358660457</v>
      </c>
      <c r="BY23" s="840">
        <f>-(('Quarterly Model'!BY34-'Quarterly Model'!BT34)-(BY22-BT22))*10000</f>
        <v>15.037546356147512</v>
      </c>
      <c r="BZ23" s="841">
        <f>-(('Quarterly Model'!BZ34-'Quarterly Model'!BU34)-(BZ22-BU22))*10000</f>
        <v>17.36445769335959</v>
      </c>
      <c r="CA23" s="841">
        <f>-(('Quarterly Model'!CA34-'Quarterly Model'!BV34)-(CA22-BV22))*10000</f>
        <v>18.040895505886944</v>
      </c>
      <c r="CB23" s="841">
        <f>-(('Quarterly Model'!CB34-'Quarterly Model'!BW34)-(CB22-BW22))*10000</f>
        <v>19.141073372787034</v>
      </c>
      <c r="CC23" s="841">
        <f>-(('Quarterly Model'!CC34-'Quarterly Model'!BX34)-(CC22-BX22))*10000</f>
        <v>16.827380017435665</v>
      </c>
      <c r="CD23" s="840">
        <f>-(('Quarterly Model'!CD34-'Quarterly Model'!BY34)-(CD22-BY22))*10000</f>
        <v>17.831781509175528</v>
      </c>
      <c r="CE23" s="160"/>
    </row>
    <row r="24" spans="1:83">
      <c r="A24" s="533"/>
      <c r="B24" s="560"/>
      <c r="C24" s="553"/>
      <c r="D24" s="553"/>
      <c r="E24" s="553"/>
      <c r="F24" s="554"/>
      <c r="G24" s="182"/>
      <c r="H24" s="553"/>
      <c r="I24" s="553"/>
      <c r="J24" s="553"/>
      <c r="K24" s="554"/>
      <c r="L24" s="182"/>
      <c r="M24" s="553"/>
      <c r="N24" s="553"/>
      <c r="O24" s="553"/>
      <c r="P24" s="554"/>
      <c r="Q24" s="182"/>
      <c r="R24" s="553"/>
      <c r="S24" s="553"/>
      <c r="T24" s="553"/>
      <c r="U24" s="554"/>
      <c r="V24" s="182"/>
      <c r="W24" s="553"/>
      <c r="X24" s="553"/>
      <c r="Y24" s="553"/>
      <c r="Z24" s="554"/>
      <c r="AA24" s="182"/>
      <c r="AB24" s="553"/>
      <c r="AC24" s="553"/>
      <c r="AD24" s="553"/>
      <c r="AE24" s="554"/>
      <c r="AF24" s="182"/>
      <c r="AG24" s="553"/>
      <c r="AH24" s="553"/>
      <c r="AI24" s="553"/>
      <c r="AJ24" s="554"/>
      <c r="AK24" s="182"/>
      <c r="AL24" s="553"/>
      <c r="AM24" s="553"/>
      <c r="AN24" s="553"/>
      <c r="AO24" s="554"/>
      <c r="AP24" s="182"/>
      <c r="AQ24" s="553"/>
      <c r="AR24" s="553"/>
      <c r="AS24" s="553"/>
      <c r="AT24" s="554"/>
      <c r="AU24" s="549"/>
      <c r="AV24" s="555"/>
      <c r="AW24" s="555"/>
      <c r="AX24" s="555"/>
      <c r="AY24" s="555"/>
      <c r="AZ24" s="144"/>
      <c r="BA24" s="555"/>
      <c r="BB24" s="555"/>
      <c r="BC24" s="555"/>
      <c r="BD24" s="555"/>
      <c r="BE24" s="182"/>
      <c r="BF24" s="555"/>
      <c r="BG24" s="555"/>
      <c r="BH24" s="555"/>
      <c r="BI24" s="555"/>
      <c r="BJ24" s="182"/>
      <c r="BK24" s="555"/>
      <c r="BL24" s="555"/>
      <c r="BM24" s="555"/>
      <c r="BN24" s="555"/>
      <c r="BO24" s="182"/>
      <c r="BP24" s="555"/>
      <c r="BQ24" s="555"/>
      <c r="BR24" s="555"/>
      <c r="BS24" s="555"/>
      <c r="BT24" s="182"/>
      <c r="BU24" s="555"/>
      <c r="BV24" s="555"/>
      <c r="BW24" s="555"/>
      <c r="BX24" s="555"/>
      <c r="BY24" s="182"/>
      <c r="BZ24" s="555"/>
      <c r="CA24" s="555"/>
      <c r="CB24" s="555"/>
      <c r="CC24" s="555"/>
      <c r="CD24" s="182"/>
      <c r="CE24" s="160"/>
    </row>
    <row r="25" spans="1:83">
      <c r="A25" s="533"/>
      <c r="B25" s="816" t="s">
        <v>415</v>
      </c>
      <c r="C25" s="817"/>
      <c r="D25" s="817"/>
      <c r="E25" s="817"/>
      <c r="F25" s="818"/>
      <c r="G25" s="819"/>
      <c r="H25" s="817"/>
      <c r="I25" s="817"/>
      <c r="J25" s="817"/>
      <c r="K25" s="818"/>
      <c r="L25" s="819"/>
      <c r="M25" s="817"/>
      <c r="N25" s="817"/>
      <c r="O25" s="817"/>
      <c r="P25" s="818"/>
      <c r="Q25" s="819"/>
      <c r="R25" s="817"/>
      <c r="S25" s="817"/>
      <c r="T25" s="817"/>
      <c r="U25" s="818"/>
      <c r="V25" s="819"/>
      <c r="W25" s="817"/>
      <c r="X25" s="817"/>
      <c r="Y25" s="817"/>
      <c r="Z25" s="818"/>
      <c r="AA25" s="819"/>
      <c r="AB25" s="817"/>
      <c r="AC25" s="817"/>
      <c r="AD25" s="817"/>
      <c r="AE25" s="818"/>
      <c r="AF25" s="819"/>
      <c r="AG25" s="817"/>
      <c r="AH25" s="817"/>
      <c r="AI25" s="817"/>
      <c r="AJ25" s="818"/>
      <c r="AK25" s="819"/>
      <c r="AL25" s="817"/>
      <c r="AM25" s="817"/>
      <c r="AN25" s="817"/>
      <c r="AO25" s="818"/>
      <c r="AP25" s="819"/>
      <c r="AQ25" s="842">
        <v>500</v>
      </c>
      <c r="AR25" s="842">
        <v>1000</v>
      </c>
      <c r="AS25" s="842">
        <v>1500</v>
      </c>
      <c r="AT25" s="842">
        <f>3118.38-AT9</f>
        <v>2212.38</v>
      </c>
      <c r="AU25" s="843">
        <f>SUM(AQ25:AT25)</f>
        <v>5212.38</v>
      </c>
      <c r="AV25" s="842">
        <v>3000</v>
      </c>
      <c r="AW25" s="842">
        <v>3500</v>
      </c>
      <c r="AX25" s="842">
        <v>4000</v>
      </c>
      <c r="AY25" s="842">
        <v>4500</v>
      </c>
      <c r="AZ25" s="843">
        <f>SUM(AV25:AY25)</f>
        <v>15000</v>
      </c>
      <c r="BA25" s="844">
        <f>AV25*(1+BA26)</f>
        <v>6000</v>
      </c>
      <c r="BB25" s="844">
        <f>AW25*(1+BB26)</f>
        <v>6650</v>
      </c>
      <c r="BC25" s="844">
        <f>AX25*(1+BC26)</f>
        <v>7200</v>
      </c>
      <c r="BD25" s="844">
        <f>AY25*(1+BD26)</f>
        <v>7650</v>
      </c>
      <c r="BE25" s="845">
        <f>SUM(BA25:BD25)</f>
        <v>27500</v>
      </c>
      <c r="BF25" s="844">
        <f>BA25*(1+BF26)</f>
        <v>9900</v>
      </c>
      <c r="BG25" s="844">
        <f>BB25*(1+BG26)</f>
        <v>10972.5</v>
      </c>
      <c r="BH25" s="844">
        <f>BC25*(1+BH26)</f>
        <v>11160</v>
      </c>
      <c r="BI25" s="844">
        <f>BD25*(1+BI26)</f>
        <v>11092.5</v>
      </c>
      <c r="BJ25" s="845">
        <f>SUM(BF25:BI25)</f>
        <v>43125</v>
      </c>
      <c r="BK25" s="844">
        <f>BF25*(1+BK26)</f>
        <v>13860</v>
      </c>
      <c r="BL25" s="844">
        <f>BG25*(1+BL26)</f>
        <v>14812.875000000002</v>
      </c>
      <c r="BM25" s="844">
        <f>BH25*(1+BM26)</f>
        <v>14508</v>
      </c>
      <c r="BN25" s="844">
        <f>BI25*(1+BN26)</f>
        <v>14420.25</v>
      </c>
      <c r="BO25" s="845">
        <f>SUM(BK25:BN25)</f>
        <v>57601.125</v>
      </c>
      <c r="BP25" s="844">
        <f>BK25*(1+BP26)</f>
        <v>17325</v>
      </c>
      <c r="BQ25" s="844">
        <f>BL25*(1+BQ26)</f>
        <v>18516.093750000004</v>
      </c>
      <c r="BR25" s="844">
        <f>BM25*(1+BR26)</f>
        <v>18135</v>
      </c>
      <c r="BS25" s="844">
        <f>BN25*(1+BS26)</f>
        <v>18025.3125</v>
      </c>
      <c r="BT25" s="845">
        <f>SUM(BP25:BS25)</f>
        <v>72001.40625</v>
      </c>
      <c r="BU25" s="844">
        <f>BP25*(1+BU26)</f>
        <v>20790</v>
      </c>
      <c r="BV25" s="844">
        <f>BQ25*(1+BV26)</f>
        <v>22219.312500000004</v>
      </c>
      <c r="BW25" s="844">
        <f>BR25*(1+BW26)</f>
        <v>21762</v>
      </c>
      <c r="BX25" s="844">
        <f>BS25*(1+BX26)</f>
        <v>21630.375</v>
      </c>
      <c r="BY25" s="845">
        <f>SUM(BU25:BX25)</f>
        <v>86401.6875</v>
      </c>
      <c r="BZ25" s="844">
        <f>BU25*(1+BZ26)</f>
        <v>24948</v>
      </c>
      <c r="CA25" s="844">
        <f>BV25*(1+CA26)</f>
        <v>26663.175000000003</v>
      </c>
      <c r="CB25" s="844">
        <f>BW25*(1+CB26)</f>
        <v>26114.399999999998</v>
      </c>
      <c r="CC25" s="844">
        <f>BX25*(1+CC26)</f>
        <v>25956.45</v>
      </c>
      <c r="CD25" s="845">
        <f>SUM(BZ25:CC25)</f>
        <v>103682.02499999999</v>
      </c>
      <c r="CE25" s="160"/>
    </row>
    <row r="26" spans="1:83">
      <c r="A26" s="533"/>
      <c r="B26" s="138" t="s">
        <v>21</v>
      </c>
      <c r="C26" s="553"/>
      <c r="D26" s="553"/>
      <c r="E26" s="553"/>
      <c r="F26" s="554"/>
      <c r="G26" s="182"/>
      <c r="H26" s="553"/>
      <c r="I26" s="553"/>
      <c r="J26" s="553"/>
      <c r="K26" s="554"/>
      <c r="L26" s="182"/>
      <c r="M26" s="553"/>
      <c r="N26" s="553"/>
      <c r="O26" s="553"/>
      <c r="P26" s="554"/>
      <c r="Q26" s="182"/>
      <c r="R26" s="553"/>
      <c r="S26" s="553"/>
      <c r="T26" s="553"/>
      <c r="U26" s="554"/>
      <c r="V26" s="182"/>
      <c r="W26" s="553"/>
      <c r="X26" s="553"/>
      <c r="Y26" s="553"/>
      <c r="Z26" s="554"/>
      <c r="AA26" s="182"/>
      <c r="AB26" s="553"/>
      <c r="AC26" s="553"/>
      <c r="AD26" s="553"/>
      <c r="AE26" s="554"/>
      <c r="AF26" s="182"/>
      <c r="AG26" s="553"/>
      <c r="AH26" s="553"/>
      <c r="AI26" s="553"/>
      <c r="AJ26" s="554"/>
      <c r="AK26" s="182"/>
      <c r="AL26" s="553"/>
      <c r="AM26" s="553"/>
      <c r="AN26" s="553"/>
      <c r="AO26" s="554"/>
      <c r="AP26" s="182"/>
      <c r="AQ26" s="553"/>
      <c r="AR26" s="553"/>
      <c r="AS26" s="553"/>
      <c r="AT26" s="554"/>
      <c r="AU26" s="549"/>
      <c r="AV26" s="555"/>
      <c r="AW26" s="555"/>
      <c r="AX26" s="555"/>
      <c r="AY26" s="671">
        <v>1.74</v>
      </c>
      <c r="AZ26" s="144"/>
      <c r="BA26" s="830">
        <v>1</v>
      </c>
      <c r="BB26" s="830">
        <v>0.9</v>
      </c>
      <c r="BC26" s="830">
        <v>0.8</v>
      </c>
      <c r="BD26" s="830">
        <v>0.7</v>
      </c>
      <c r="BE26" s="785">
        <f>BE25/AZ25-1</f>
        <v>0.83333333333333326</v>
      </c>
      <c r="BF26" s="830">
        <v>0.65</v>
      </c>
      <c r="BG26" s="830">
        <v>0.65</v>
      </c>
      <c r="BH26" s="830">
        <v>0.55000000000000004</v>
      </c>
      <c r="BI26" s="830">
        <v>0.45</v>
      </c>
      <c r="BJ26" s="785">
        <f>BJ25/BE25-1</f>
        <v>0.56818181818181812</v>
      </c>
      <c r="BK26" s="830">
        <v>0.4</v>
      </c>
      <c r="BL26" s="830">
        <v>0.35</v>
      </c>
      <c r="BM26" s="830">
        <v>0.3</v>
      </c>
      <c r="BN26" s="830">
        <v>0.3</v>
      </c>
      <c r="BO26" s="785">
        <f>BO25/BJ25-1</f>
        <v>0.3356782608695652</v>
      </c>
      <c r="BP26" s="830">
        <v>0.25</v>
      </c>
      <c r="BQ26" s="830">
        <f>+BP26</f>
        <v>0.25</v>
      </c>
      <c r="BR26" s="830">
        <f>+BQ26</f>
        <v>0.25</v>
      </c>
      <c r="BS26" s="830">
        <f>+BR26</f>
        <v>0.25</v>
      </c>
      <c r="BT26" s="785">
        <f>BT25/BO25-1</f>
        <v>0.25</v>
      </c>
      <c r="BU26" s="830">
        <v>0.2</v>
      </c>
      <c r="BV26" s="830">
        <f>+BU26</f>
        <v>0.2</v>
      </c>
      <c r="BW26" s="830">
        <f>+BV26</f>
        <v>0.2</v>
      </c>
      <c r="BX26" s="830">
        <f>+BW26</f>
        <v>0.2</v>
      </c>
      <c r="BY26" s="785">
        <f>BY25/BT25-1</f>
        <v>0.19999999999999996</v>
      </c>
      <c r="BZ26" s="830">
        <v>0.2</v>
      </c>
      <c r="CA26" s="830">
        <f>+BZ26</f>
        <v>0.2</v>
      </c>
      <c r="CB26" s="830">
        <f>+CA26</f>
        <v>0.2</v>
      </c>
      <c r="CC26" s="830">
        <f>+CB26</f>
        <v>0.2</v>
      </c>
      <c r="CD26" s="785">
        <f>CD25/BY25-1</f>
        <v>0.19999999999999996</v>
      </c>
      <c r="CE26" s="160"/>
    </row>
    <row r="27" spans="1:83" ht="13.5" thickBot="1">
      <c r="A27" s="533"/>
      <c r="B27" s="138" t="s">
        <v>268</v>
      </c>
      <c r="C27" s="553"/>
      <c r="D27" s="553"/>
      <c r="E27" s="553"/>
      <c r="F27" s="554"/>
      <c r="G27" s="182"/>
      <c r="H27" s="553"/>
      <c r="I27" s="553"/>
      <c r="J27" s="553"/>
      <c r="K27" s="554"/>
      <c r="L27" s="182"/>
      <c r="M27" s="553"/>
      <c r="N27" s="553"/>
      <c r="O27" s="553"/>
      <c r="P27" s="554"/>
      <c r="Q27" s="182"/>
      <c r="R27" s="553"/>
      <c r="S27" s="553"/>
      <c r="T27" s="553"/>
      <c r="U27" s="554"/>
      <c r="V27" s="182"/>
      <c r="W27" s="553"/>
      <c r="X27" s="553"/>
      <c r="Y27" s="553"/>
      <c r="Z27" s="554"/>
      <c r="AA27" s="182"/>
      <c r="AB27" s="553"/>
      <c r="AC27" s="553"/>
      <c r="AD27" s="553"/>
      <c r="AE27" s="554"/>
      <c r="AF27" s="182"/>
      <c r="AG27" s="553"/>
      <c r="AH27" s="553"/>
      <c r="AI27" s="553"/>
      <c r="AJ27" s="554"/>
      <c r="AK27" s="182"/>
      <c r="AL27" s="553"/>
      <c r="AM27" s="553"/>
      <c r="AN27" s="553"/>
      <c r="AO27" s="554"/>
      <c r="AP27" s="182"/>
      <c r="AQ27" s="831">
        <f>AQ25/AQ$6</f>
        <v>9.3151501602205828E-3</v>
      </c>
      <c r="AR27" s="581">
        <f t="shared" ref="AR27:CD27" si="7">AR25/AR$6</f>
        <v>1.7625493513818386E-2</v>
      </c>
      <c r="AS27" s="581">
        <f t="shared" si="7"/>
        <v>2.5780283239378525E-2</v>
      </c>
      <c r="AT27" s="581">
        <f t="shared" si="7"/>
        <v>3.350111297869441E-2</v>
      </c>
      <c r="AU27" s="549">
        <f t="shared" si="7"/>
        <v>2.2214844332686941E-2</v>
      </c>
      <c r="AV27" s="831">
        <f t="shared" si="7"/>
        <v>4.7603179892416816E-2</v>
      </c>
      <c r="AW27" s="831">
        <f t="shared" si="7"/>
        <v>5.1865682700572006E-2</v>
      </c>
      <c r="AX27" s="831">
        <f t="shared" si="7"/>
        <v>5.6087608845015915E-2</v>
      </c>
      <c r="AY27" s="831">
        <f t="shared" si="7"/>
        <v>5.4150321291906334E-2</v>
      </c>
      <c r="AZ27" s="192">
        <f t="shared" si="7"/>
        <v>5.2076462133468504E-2</v>
      </c>
      <c r="BA27" s="831">
        <f t="shared" si="7"/>
        <v>7.267529887716663E-2</v>
      </c>
      <c r="BB27" s="831">
        <f t="shared" si="7"/>
        <v>7.5772250264918017E-2</v>
      </c>
      <c r="BC27" s="831">
        <f t="shared" si="7"/>
        <v>8.0994431632825242E-2</v>
      </c>
      <c r="BD27" s="831">
        <f t="shared" si="7"/>
        <v>7.5959924933721237E-2</v>
      </c>
      <c r="BE27" s="785">
        <f t="shared" si="7"/>
        <v>7.6404169722833454E-2</v>
      </c>
      <c r="BF27" s="831">
        <f t="shared" si="7"/>
        <v>9.8371406711115966E-2</v>
      </c>
      <c r="BG27" s="831">
        <f>BG25/BG$6</f>
        <v>0.10178571428571428</v>
      </c>
      <c r="BH27" s="831">
        <f t="shared" si="7"/>
        <v>9.6854821912101652E-2</v>
      </c>
      <c r="BI27" s="831">
        <f t="shared" si="7"/>
        <v>8.3707504810776143E-2</v>
      </c>
      <c r="BJ27" s="785">
        <f t="shared" si="7"/>
        <v>9.4535466418810207E-2</v>
      </c>
      <c r="BK27" s="831">
        <f t="shared" si="7"/>
        <v>0.10471125079326705</v>
      </c>
      <c r="BL27" s="831">
        <f t="shared" si="7"/>
        <v>0.10538370809704038</v>
      </c>
      <c r="BM27" s="831">
        <f t="shared" si="7"/>
        <v>9.865364127121197E-2</v>
      </c>
      <c r="BN27" s="831">
        <f t="shared" si="7"/>
        <v>8.6045711234845168E-2</v>
      </c>
      <c r="BO27" s="785">
        <f t="shared" si="7"/>
        <v>9.8032196877142944E-2</v>
      </c>
      <c r="BP27" s="831">
        <f t="shared" si="7"/>
        <v>0.10663662526650261</v>
      </c>
      <c r="BQ27" s="831">
        <f t="shared" si="7"/>
        <v>0.10727168983819259</v>
      </c>
      <c r="BR27" s="831">
        <f t="shared" si="7"/>
        <v>0.10042105178258548</v>
      </c>
      <c r="BS27" s="831">
        <f t="shared" si="7"/>
        <v>8.7587246778140448E-2</v>
      </c>
      <c r="BT27" s="785">
        <f t="shared" si="7"/>
        <v>9.9798897328038289E-2</v>
      </c>
      <c r="BU27" s="831">
        <f t="shared" si="7"/>
        <v>0.10663662526650261</v>
      </c>
      <c r="BV27" s="831">
        <f t="shared" si="7"/>
        <v>0.10727168983819257</v>
      </c>
      <c r="BW27" s="831">
        <f t="shared" si="7"/>
        <v>0.10212310350771404</v>
      </c>
      <c r="BX27" s="831">
        <f t="shared" si="7"/>
        <v>8.9071776384549606E-2</v>
      </c>
      <c r="BY27" s="785">
        <f t="shared" si="7"/>
        <v>0.10069772575235376</v>
      </c>
      <c r="BZ27" s="831">
        <f t="shared" si="7"/>
        <v>0.10937089770923347</v>
      </c>
      <c r="CA27" s="831">
        <f t="shared" si="7"/>
        <v>0.11002224598788982</v>
      </c>
      <c r="CB27" s="831">
        <f t="shared" si="7"/>
        <v>0.10474164462329646</v>
      </c>
      <c r="CC27" s="831">
        <f t="shared" si="7"/>
        <v>9.1355668086717565E-2</v>
      </c>
      <c r="CD27" s="785">
        <f t="shared" si="7"/>
        <v>0.10327971872036282</v>
      </c>
      <c r="CE27" s="160"/>
    </row>
    <row r="28" spans="1:83">
      <c r="A28" s="533"/>
      <c r="B28" s="138" t="s">
        <v>405</v>
      </c>
      <c r="C28" s="553"/>
      <c r="D28" s="553"/>
      <c r="E28" s="553"/>
      <c r="F28" s="554"/>
      <c r="G28" s="182"/>
      <c r="H28" s="553"/>
      <c r="I28" s="553"/>
      <c r="J28" s="553"/>
      <c r="K28" s="554"/>
      <c r="L28" s="182"/>
      <c r="M28" s="553"/>
      <c r="N28" s="553"/>
      <c r="O28" s="553"/>
      <c r="P28" s="554"/>
      <c r="Q28" s="182"/>
      <c r="R28" s="553"/>
      <c r="S28" s="553"/>
      <c r="T28" s="553"/>
      <c r="U28" s="554"/>
      <c r="V28" s="182"/>
      <c r="W28" s="553"/>
      <c r="X28" s="553"/>
      <c r="Y28" s="553"/>
      <c r="Z28" s="554"/>
      <c r="AA28" s="182"/>
      <c r="AB28" s="553"/>
      <c r="AC28" s="553"/>
      <c r="AD28" s="553"/>
      <c r="AE28" s="554"/>
      <c r="AF28" s="182"/>
      <c r="AG28" s="553"/>
      <c r="AH28" s="553"/>
      <c r="AI28" s="553"/>
      <c r="AJ28" s="554"/>
      <c r="AK28" s="182"/>
      <c r="AL28" s="553"/>
      <c r="AM28" s="553"/>
      <c r="AN28" s="553"/>
      <c r="AO28" s="554"/>
      <c r="AP28" s="832"/>
      <c r="AQ28" s="833">
        <v>2.8000000000000001E-2</v>
      </c>
      <c r="AR28" s="834">
        <f t="shared" ref="AR28:AT29" si="8">AQ28</f>
        <v>2.8000000000000001E-2</v>
      </c>
      <c r="AS28" s="834">
        <f t="shared" si="8"/>
        <v>2.8000000000000001E-2</v>
      </c>
      <c r="AT28" s="834">
        <f t="shared" si="8"/>
        <v>2.8000000000000001E-2</v>
      </c>
      <c r="AU28" s="835">
        <f>SUMPRODUCT(AQ28:AT28,AQ25:AT25)/SUM(AQ25:AT25)</f>
        <v>2.8000000000000001E-2</v>
      </c>
      <c r="AV28" s="834">
        <f>AT28-0.075%</f>
        <v>2.725E-2</v>
      </c>
      <c r="AW28" s="834">
        <f t="shared" ref="AW28:AY29" si="9">AV28</f>
        <v>2.725E-2</v>
      </c>
      <c r="AX28" s="834">
        <f t="shared" si="9"/>
        <v>2.725E-2</v>
      </c>
      <c r="AY28" s="834">
        <f t="shared" si="9"/>
        <v>2.725E-2</v>
      </c>
      <c r="AZ28" s="835">
        <f>SUMPRODUCT(AV28:AY28,AV25:AY25)/SUM(AV25:AY25)</f>
        <v>2.725E-2</v>
      </c>
      <c r="BA28" s="834">
        <f>AY28-0.075%</f>
        <v>2.6499999999999999E-2</v>
      </c>
      <c r="BB28" s="834">
        <f t="shared" ref="BB28:BD29" si="10">BA28</f>
        <v>2.6499999999999999E-2</v>
      </c>
      <c r="BC28" s="834">
        <f t="shared" si="10"/>
        <v>2.6499999999999999E-2</v>
      </c>
      <c r="BD28" s="834">
        <f t="shared" si="10"/>
        <v>2.6499999999999999E-2</v>
      </c>
      <c r="BE28" s="835">
        <f>SUMPRODUCT(BA28:BD28,BA25:BD25)/SUM(BA25:BD25)</f>
        <v>2.6499999999999999E-2</v>
      </c>
      <c r="BF28" s="834">
        <f>BD28-0.05%</f>
        <v>2.5999999999999999E-2</v>
      </c>
      <c r="BG28" s="834">
        <f>BE28-0.05%</f>
        <v>2.5999999999999999E-2</v>
      </c>
      <c r="BH28" s="834">
        <f>BG28</f>
        <v>2.5999999999999999E-2</v>
      </c>
      <c r="BI28" s="834">
        <f>BH28</f>
        <v>2.5999999999999999E-2</v>
      </c>
      <c r="BJ28" s="835">
        <f>SUMPRODUCT(BF28:BI28,BF25:BI25)/SUM(BF25:BI25)</f>
        <v>2.5999999999999999E-2</v>
      </c>
      <c r="BK28" s="846">
        <f>BI28-0.02%</f>
        <v>2.58E-2</v>
      </c>
      <c r="BL28" s="834">
        <f t="shared" ref="BL28:BN29" si="11">BK28</f>
        <v>2.58E-2</v>
      </c>
      <c r="BM28" s="834">
        <f t="shared" si="11"/>
        <v>2.58E-2</v>
      </c>
      <c r="BN28" s="834">
        <f t="shared" si="11"/>
        <v>2.58E-2</v>
      </c>
      <c r="BO28" s="835">
        <f>SUMPRODUCT(BK28:BN28,BK25:BN25)/SUM(BK25:BN25)</f>
        <v>2.58E-2</v>
      </c>
      <c r="BP28" s="846">
        <f>BN28-0.02%</f>
        <v>2.5600000000000001E-2</v>
      </c>
      <c r="BQ28" s="834">
        <f t="shared" ref="BQ28:BS29" si="12">BP28</f>
        <v>2.5600000000000001E-2</v>
      </c>
      <c r="BR28" s="834">
        <f t="shared" si="12"/>
        <v>2.5600000000000001E-2</v>
      </c>
      <c r="BS28" s="834">
        <f t="shared" si="12"/>
        <v>2.5600000000000001E-2</v>
      </c>
      <c r="BT28" s="835">
        <f>SUMPRODUCT(BP28:BS28,BP25:BS25)/SUM(BP25:BS25)</f>
        <v>2.5600000000000005E-2</v>
      </c>
      <c r="BU28" s="846">
        <f>BS28-0.02%</f>
        <v>2.5400000000000002E-2</v>
      </c>
      <c r="BV28" s="834">
        <f t="shared" ref="BV28:BX29" si="13">BU28</f>
        <v>2.5400000000000002E-2</v>
      </c>
      <c r="BW28" s="834">
        <f t="shared" si="13"/>
        <v>2.5400000000000002E-2</v>
      </c>
      <c r="BX28" s="834">
        <f t="shared" si="13"/>
        <v>2.5400000000000002E-2</v>
      </c>
      <c r="BY28" s="835">
        <f>SUMPRODUCT(BU28:BX28,BU25:BX25)/SUM(BU25:BX25)</f>
        <v>2.5400000000000002E-2</v>
      </c>
      <c r="BZ28" s="846">
        <f>BX28-0.02%</f>
        <v>2.5200000000000004E-2</v>
      </c>
      <c r="CA28" s="834">
        <f t="shared" ref="CA28:CC29" si="14">BZ28</f>
        <v>2.5200000000000004E-2</v>
      </c>
      <c r="CB28" s="834">
        <f t="shared" si="14"/>
        <v>2.5200000000000004E-2</v>
      </c>
      <c r="CC28" s="834">
        <f t="shared" si="14"/>
        <v>2.5200000000000004E-2</v>
      </c>
      <c r="CD28" s="835">
        <f>SUMPRODUCT(BZ28:CC28,BZ25:CC25)/SUM(BZ25:CC25)</f>
        <v>2.5200000000000007E-2</v>
      </c>
      <c r="CE28" s="160"/>
    </row>
    <row r="29" spans="1:83" ht="13.5" thickBot="1">
      <c r="A29" s="533"/>
      <c r="B29" s="138" t="s">
        <v>406</v>
      </c>
      <c r="C29" s="553"/>
      <c r="D29" s="553"/>
      <c r="E29" s="553"/>
      <c r="F29" s="554"/>
      <c r="G29" s="182"/>
      <c r="H29" s="553"/>
      <c r="I29" s="553"/>
      <c r="J29" s="553"/>
      <c r="K29" s="554"/>
      <c r="L29" s="182"/>
      <c r="M29" s="553"/>
      <c r="N29" s="553"/>
      <c r="O29" s="553"/>
      <c r="P29" s="554"/>
      <c r="Q29" s="182"/>
      <c r="R29" s="553"/>
      <c r="S29" s="553"/>
      <c r="T29" s="553"/>
      <c r="U29" s="554"/>
      <c r="V29" s="182"/>
      <c r="W29" s="553"/>
      <c r="X29" s="553"/>
      <c r="Y29" s="553"/>
      <c r="Z29" s="554"/>
      <c r="AA29" s="182"/>
      <c r="AB29" s="553"/>
      <c r="AC29" s="553"/>
      <c r="AD29" s="553"/>
      <c r="AE29" s="554"/>
      <c r="AF29" s="182"/>
      <c r="AG29" s="553"/>
      <c r="AH29" s="553"/>
      <c r="AI29" s="553"/>
      <c r="AJ29" s="554"/>
      <c r="AK29" s="182"/>
      <c r="AL29" s="553"/>
      <c r="AM29" s="553"/>
      <c r="AN29" s="553"/>
      <c r="AO29" s="554"/>
      <c r="AP29" s="832"/>
      <c r="AQ29" s="836">
        <v>1.7999999999999999E-2</v>
      </c>
      <c r="AR29" s="834">
        <f t="shared" si="8"/>
        <v>1.7999999999999999E-2</v>
      </c>
      <c r="AS29" s="834">
        <f t="shared" si="8"/>
        <v>1.7999999999999999E-2</v>
      </c>
      <c r="AT29" s="834">
        <f t="shared" si="8"/>
        <v>1.7999999999999999E-2</v>
      </c>
      <c r="AU29" s="835">
        <f>SUMPRODUCT(AQ29:AT29,AQ25:AT25)/SUM(AQ25:AT25)</f>
        <v>1.7999999999999999E-2</v>
      </c>
      <c r="AV29" s="834">
        <f>AT29</f>
        <v>1.7999999999999999E-2</v>
      </c>
      <c r="AW29" s="834">
        <f t="shared" si="9"/>
        <v>1.7999999999999999E-2</v>
      </c>
      <c r="AX29" s="834">
        <f t="shared" si="9"/>
        <v>1.7999999999999999E-2</v>
      </c>
      <c r="AY29" s="834">
        <f t="shared" si="9"/>
        <v>1.7999999999999999E-2</v>
      </c>
      <c r="AZ29" s="835">
        <f>SUMPRODUCT(AV29:AY29,AV25:AY25)/SUM(AV25:AY25)</f>
        <v>1.7999999999999999E-2</v>
      </c>
      <c r="BA29" s="834">
        <f>AY29</f>
        <v>1.7999999999999999E-2</v>
      </c>
      <c r="BB29" s="834">
        <f t="shared" si="10"/>
        <v>1.7999999999999999E-2</v>
      </c>
      <c r="BC29" s="834">
        <f t="shared" si="10"/>
        <v>1.7999999999999999E-2</v>
      </c>
      <c r="BD29" s="834">
        <f t="shared" si="10"/>
        <v>1.7999999999999999E-2</v>
      </c>
      <c r="BE29" s="835">
        <f>SUMPRODUCT(BA29:BD29,BA25:BD25)/SUM(BA25:BD25)</f>
        <v>1.7999999999999999E-2</v>
      </c>
      <c r="BF29" s="834">
        <f>BD29</f>
        <v>1.7999999999999999E-2</v>
      </c>
      <c r="BG29" s="834">
        <f>BE29</f>
        <v>1.7999999999999999E-2</v>
      </c>
      <c r="BH29" s="834">
        <f>BG29</f>
        <v>1.7999999999999999E-2</v>
      </c>
      <c r="BI29" s="834">
        <f>BH29</f>
        <v>1.7999999999999999E-2</v>
      </c>
      <c r="BJ29" s="835">
        <f>SUMPRODUCT(BF29:BI29,BF25:BI25)/SUM(BF25:BI25)</f>
        <v>1.7999999999999999E-2</v>
      </c>
      <c r="BK29" s="834">
        <f>BI29</f>
        <v>1.7999999999999999E-2</v>
      </c>
      <c r="BL29" s="834">
        <f t="shared" si="11"/>
        <v>1.7999999999999999E-2</v>
      </c>
      <c r="BM29" s="834">
        <f t="shared" si="11"/>
        <v>1.7999999999999999E-2</v>
      </c>
      <c r="BN29" s="834">
        <f t="shared" si="11"/>
        <v>1.7999999999999999E-2</v>
      </c>
      <c r="BO29" s="835">
        <f>SUMPRODUCT(BK29:BN29,BK25:BN25)/SUM(BK25:BN25)</f>
        <v>1.7999999999999999E-2</v>
      </c>
      <c r="BP29" s="834">
        <f>BN29</f>
        <v>1.7999999999999999E-2</v>
      </c>
      <c r="BQ29" s="834">
        <f t="shared" si="12"/>
        <v>1.7999999999999999E-2</v>
      </c>
      <c r="BR29" s="834">
        <f t="shared" si="12"/>
        <v>1.7999999999999999E-2</v>
      </c>
      <c r="BS29" s="834">
        <f t="shared" si="12"/>
        <v>1.7999999999999999E-2</v>
      </c>
      <c r="BT29" s="835">
        <f>SUMPRODUCT(BP29:BS29,BP25:BS25)/SUM(BP25:BS25)</f>
        <v>1.7999999999999999E-2</v>
      </c>
      <c r="BU29" s="834">
        <f>BS29</f>
        <v>1.7999999999999999E-2</v>
      </c>
      <c r="BV29" s="834">
        <f t="shared" si="13"/>
        <v>1.7999999999999999E-2</v>
      </c>
      <c r="BW29" s="834">
        <f t="shared" si="13"/>
        <v>1.7999999999999999E-2</v>
      </c>
      <c r="BX29" s="834">
        <f t="shared" si="13"/>
        <v>1.7999999999999999E-2</v>
      </c>
      <c r="BY29" s="835">
        <f>SUMPRODUCT(BU29:BX29,BU25:BX25)/SUM(BU25:BX25)</f>
        <v>1.7999999999999999E-2</v>
      </c>
      <c r="BZ29" s="834">
        <f>BX29</f>
        <v>1.7999999999999999E-2</v>
      </c>
      <c r="CA29" s="834">
        <f t="shared" si="14"/>
        <v>1.7999999999999999E-2</v>
      </c>
      <c r="CB29" s="834">
        <f t="shared" si="14"/>
        <v>1.7999999999999999E-2</v>
      </c>
      <c r="CC29" s="834">
        <f t="shared" si="14"/>
        <v>1.7999999999999999E-2</v>
      </c>
      <c r="CD29" s="835">
        <f>SUMPRODUCT(BZ29:CC29,BZ25:CC25)/SUM(BZ25:CC25)</f>
        <v>1.7999999999999999E-2</v>
      </c>
      <c r="CE29" s="160"/>
    </row>
    <row r="30" spans="1:83">
      <c r="A30" s="533"/>
      <c r="B30" s="138" t="s">
        <v>407</v>
      </c>
      <c r="C30" s="553"/>
      <c r="D30" s="553"/>
      <c r="E30" s="553"/>
      <c r="F30" s="554"/>
      <c r="G30" s="182"/>
      <c r="H30" s="553"/>
      <c r="I30" s="553"/>
      <c r="J30" s="553"/>
      <c r="K30" s="554"/>
      <c r="L30" s="182"/>
      <c r="M30" s="553"/>
      <c r="N30" s="553"/>
      <c r="O30" s="553"/>
      <c r="P30" s="554"/>
      <c r="Q30" s="182"/>
      <c r="R30" s="553"/>
      <c r="S30" s="553"/>
      <c r="T30" s="553"/>
      <c r="U30" s="554"/>
      <c r="V30" s="182"/>
      <c r="W30" s="553"/>
      <c r="X30" s="553"/>
      <c r="Y30" s="553"/>
      <c r="Z30" s="554"/>
      <c r="AA30" s="182"/>
      <c r="AB30" s="553"/>
      <c r="AC30" s="553"/>
      <c r="AD30" s="553"/>
      <c r="AE30" s="554"/>
      <c r="AF30" s="182"/>
      <c r="AG30" s="553"/>
      <c r="AH30" s="553"/>
      <c r="AI30" s="553"/>
      <c r="AJ30" s="554"/>
      <c r="AK30" s="182"/>
      <c r="AL30" s="553"/>
      <c r="AM30" s="553"/>
      <c r="AN30" s="553"/>
      <c r="AO30" s="554"/>
      <c r="AP30" s="182"/>
      <c r="AQ30" s="837">
        <f>AQ25*AQ28</f>
        <v>14</v>
      </c>
      <c r="AR30" s="318">
        <f>AR25*AR28</f>
        <v>28</v>
      </c>
      <c r="AS30" s="318">
        <f>AS25*AS28</f>
        <v>42</v>
      </c>
      <c r="AT30" s="318">
        <f>AT25*AT28</f>
        <v>61.946640000000002</v>
      </c>
      <c r="AU30" s="838">
        <f>SUM(AQ30:AT30)</f>
        <v>145.94664</v>
      </c>
      <c r="AV30" s="318">
        <f t="shared" ref="AV30:BN30" si="15">AV25*AV28</f>
        <v>81.75</v>
      </c>
      <c r="AW30" s="318">
        <f t="shared" si="15"/>
        <v>95.375</v>
      </c>
      <c r="AX30" s="318">
        <f t="shared" si="15"/>
        <v>109</v>
      </c>
      <c r="AY30" s="318">
        <f t="shared" si="15"/>
        <v>122.625</v>
      </c>
      <c r="AZ30" s="838">
        <f>SUM(AV30:AY30)</f>
        <v>408.75</v>
      </c>
      <c r="BA30" s="318">
        <f t="shared" si="15"/>
        <v>159</v>
      </c>
      <c r="BB30" s="318">
        <f t="shared" si="15"/>
        <v>176.22499999999999</v>
      </c>
      <c r="BC30" s="318">
        <f t="shared" si="15"/>
        <v>190.79999999999998</v>
      </c>
      <c r="BD30" s="318">
        <f t="shared" si="15"/>
        <v>202.72499999999999</v>
      </c>
      <c r="BE30" s="838">
        <f>SUM(BA30:BD30)</f>
        <v>728.75</v>
      </c>
      <c r="BF30" s="318">
        <f t="shared" si="15"/>
        <v>257.39999999999998</v>
      </c>
      <c r="BG30" s="318">
        <f>BG25*BG28</f>
        <v>285.28499999999997</v>
      </c>
      <c r="BH30" s="318">
        <f t="shared" si="15"/>
        <v>290.15999999999997</v>
      </c>
      <c r="BI30" s="318">
        <f t="shared" si="15"/>
        <v>288.40499999999997</v>
      </c>
      <c r="BJ30" s="838">
        <f>SUM(BF30:BI30)</f>
        <v>1121.25</v>
      </c>
      <c r="BK30" s="318">
        <f t="shared" si="15"/>
        <v>357.58800000000002</v>
      </c>
      <c r="BL30" s="318">
        <f t="shared" si="15"/>
        <v>382.17217500000004</v>
      </c>
      <c r="BM30" s="318">
        <f t="shared" si="15"/>
        <v>374.3064</v>
      </c>
      <c r="BN30" s="318">
        <f t="shared" si="15"/>
        <v>372.04244999999997</v>
      </c>
      <c r="BO30" s="838">
        <f>SUM(BK30:BN30)</f>
        <v>1486.109025</v>
      </c>
      <c r="BP30" s="318">
        <f>BP25*BP28</f>
        <v>443.52000000000004</v>
      </c>
      <c r="BQ30" s="318">
        <f>BQ25*BQ28</f>
        <v>474.01200000000011</v>
      </c>
      <c r="BR30" s="318">
        <f>BR25*BR28</f>
        <v>464.25600000000003</v>
      </c>
      <c r="BS30" s="318">
        <f>BS25*BS28</f>
        <v>461.44800000000004</v>
      </c>
      <c r="BT30" s="838">
        <f>SUM(BP30:BS30)</f>
        <v>1843.2360000000003</v>
      </c>
      <c r="BU30" s="318">
        <f>BU25*BU28</f>
        <v>528.06600000000003</v>
      </c>
      <c r="BV30" s="318">
        <f>BV25*BV28</f>
        <v>564.37053750000018</v>
      </c>
      <c r="BW30" s="318">
        <f>BW25*BW28</f>
        <v>552.75480000000005</v>
      </c>
      <c r="BX30" s="318">
        <f>BX25*BX28</f>
        <v>549.4115250000001</v>
      </c>
      <c r="BY30" s="838">
        <f>SUM(BU30:BX30)</f>
        <v>2194.6028625000004</v>
      </c>
      <c r="BZ30" s="318">
        <f>BZ25*BZ28</f>
        <v>628.68960000000004</v>
      </c>
      <c r="CA30" s="318">
        <f>CA25*CA28</f>
        <v>671.91201000000012</v>
      </c>
      <c r="CB30" s="318">
        <f>CB25*CB28</f>
        <v>658.08288000000005</v>
      </c>
      <c r="CC30" s="318">
        <f>CC25*CC28</f>
        <v>654.10254000000009</v>
      </c>
      <c r="CD30" s="838">
        <f>SUM(BZ30:CC30)</f>
        <v>2612.7870300000004</v>
      </c>
      <c r="CE30" s="160"/>
    </row>
    <row r="31" spans="1:83">
      <c r="A31" s="533"/>
      <c r="B31" s="138" t="s">
        <v>408</v>
      </c>
      <c r="C31" s="553"/>
      <c r="D31" s="553"/>
      <c r="E31" s="553"/>
      <c r="F31" s="554"/>
      <c r="G31" s="182"/>
      <c r="H31" s="553"/>
      <c r="I31" s="553"/>
      <c r="J31" s="553"/>
      <c r="K31" s="554"/>
      <c r="L31" s="182"/>
      <c r="M31" s="553"/>
      <c r="N31" s="553"/>
      <c r="O31" s="553"/>
      <c r="P31" s="554"/>
      <c r="Q31" s="182"/>
      <c r="R31" s="553"/>
      <c r="S31" s="553"/>
      <c r="T31" s="553"/>
      <c r="U31" s="554"/>
      <c r="V31" s="182"/>
      <c r="W31" s="553"/>
      <c r="X31" s="553"/>
      <c r="Y31" s="553"/>
      <c r="Z31" s="554"/>
      <c r="AA31" s="182"/>
      <c r="AB31" s="553"/>
      <c r="AC31" s="553"/>
      <c r="AD31" s="553"/>
      <c r="AE31" s="554"/>
      <c r="AF31" s="182"/>
      <c r="AG31" s="553"/>
      <c r="AH31" s="553"/>
      <c r="AI31" s="553"/>
      <c r="AJ31" s="554"/>
      <c r="AK31" s="182"/>
      <c r="AL31" s="553"/>
      <c r="AM31" s="553"/>
      <c r="AN31" s="553"/>
      <c r="AO31" s="554"/>
      <c r="AP31" s="182"/>
      <c r="AQ31" s="837">
        <f>AQ25*AQ29</f>
        <v>9</v>
      </c>
      <c r="AR31" s="318">
        <f>AR25*AR29</f>
        <v>18</v>
      </c>
      <c r="AS31" s="318">
        <f>AS25*AS29</f>
        <v>26.999999999999996</v>
      </c>
      <c r="AT31" s="318">
        <f>AT25*AT29</f>
        <v>39.822839999999999</v>
      </c>
      <c r="AU31" s="838">
        <f>SUM(AQ31:AT31)</f>
        <v>93.822839999999999</v>
      </c>
      <c r="AV31" s="318">
        <f>AV25*AV29</f>
        <v>53.999999999999993</v>
      </c>
      <c r="AW31" s="318">
        <f>AW25*AW29</f>
        <v>62.999999999999993</v>
      </c>
      <c r="AX31" s="318">
        <f>AX25*AX29</f>
        <v>72</v>
      </c>
      <c r="AY31" s="318">
        <f>AY25*AY29</f>
        <v>81</v>
      </c>
      <c r="AZ31" s="838">
        <f>SUM(AV31:AY31)</f>
        <v>270</v>
      </c>
      <c r="BA31" s="318">
        <f>BA25*BA29</f>
        <v>107.99999999999999</v>
      </c>
      <c r="BB31" s="318">
        <f>BB25*BB29</f>
        <v>119.69999999999999</v>
      </c>
      <c r="BC31" s="318">
        <f>BC25*BC29</f>
        <v>129.6</v>
      </c>
      <c r="BD31" s="318">
        <f>BD25*BD29</f>
        <v>137.69999999999999</v>
      </c>
      <c r="BE31" s="838">
        <f>SUM(BA31:BD31)</f>
        <v>494.99999999999994</v>
      </c>
      <c r="BF31" s="318">
        <f>BF25*BF29</f>
        <v>178.2</v>
      </c>
      <c r="BG31" s="318">
        <f>BG25*BG29</f>
        <v>197.505</v>
      </c>
      <c r="BH31" s="318">
        <f>BH25*BH29</f>
        <v>200.88</v>
      </c>
      <c r="BI31" s="318">
        <f>BI25*BI29</f>
        <v>199.66499999999999</v>
      </c>
      <c r="BJ31" s="838">
        <f>SUM(BF31:BI31)</f>
        <v>776.25</v>
      </c>
      <c r="BK31" s="318">
        <f>BK25*BK29</f>
        <v>249.48</v>
      </c>
      <c r="BL31" s="318">
        <f>BL25*BL29</f>
        <v>266.63175000000001</v>
      </c>
      <c r="BM31" s="318">
        <f>BM25*BM29</f>
        <v>261.14400000000001</v>
      </c>
      <c r="BN31" s="318">
        <f>BN25*BN29</f>
        <v>259.56449999999995</v>
      </c>
      <c r="BO31" s="838">
        <f>SUM(BK31:BN31)</f>
        <v>1036.82025</v>
      </c>
      <c r="BP31" s="318">
        <f>BP25*BP29</f>
        <v>311.84999999999997</v>
      </c>
      <c r="BQ31" s="318">
        <f>BQ25*BQ29</f>
        <v>333.28968750000001</v>
      </c>
      <c r="BR31" s="318">
        <f>BR25*BR29</f>
        <v>326.42999999999995</v>
      </c>
      <c r="BS31" s="318">
        <f>BS25*BS29</f>
        <v>324.455625</v>
      </c>
      <c r="BT31" s="838">
        <f>SUM(BP31:BS31)</f>
        <v>1296.0253124999999</v>
      </c>
      <c r="BU31" s="318">
        <f>BU25*BU29</f>
        <v>374.21999999999997</v>
      </c>
      <c r="BV31" s="318">
        <f>BV25*BV29</f>
        <v>399.94762500000002</v>
      </c>
      <c r="BW31" s="318">
        <f>BW25*BW29</f>
        <v>391.71599999999995</v>
      </c>
      <c r="BX31" s="318">
        <f>BX25*BX29</f>
        <v>389.34674999999999</v>
      </c>
      <c r="BY31" s="838">
        <f>SUM(BU31:BX31)</f>
        <v>1555.2303749999999</v>
      </c>
      <c r="BZ31" s="318">
        <f>BZ25*BZ29</f>
        <v>449.06399999999996</v>
      </c>
      <c r="CA31" s="318">
        <f>CA25*CA29</f>
        <v>479.93715000000003</v>
      </c>
      <c r="CB31" s="318">
        <f>CB25*CB29</f>
        <v>470.05919999999992</v>
      </c>
      <c r="CC31" s="318">
        <f>CC25*CC29</f>
        <v>467.21609999999998</v>
      </c>
      <c r="CD31" s="838">
        <f>SUM(BZ31:CC31)</f>
        <v>1866.2764499999998</v>
      </c>
      <c r="CE31" s="160"/>
    </row>
    <row r="32" spans="1:83">
      <c r="A32" s="533"/>
      <c r="B32" s="560"/>
      <c r="C32" s="553"/>
      <c r="D32" s="553"/>
      <c r="E32" s="553"/>
      <c r="F32" s="554"/>
      <c r="G32" s="182"/>
      <c r="H32" s="553"/>
      <c r="I32" s="553"/>
      <c r="J32" s="553"/>
      <c r="K32" s="554"/>
      <c r="L32" s="182"/>
      <c r="M32" s="553"/>
      <c r="N32" s="553"/>
      <c r="O32" s="553"/>
      <c r="P32" s="554"/>
      <c r="Q32" s="182"/>
      <c r="R32" s="553"/>
      <c r="S32" s="553"/>
      <c r="T32" s="553"/>
      <c r="U32" s="554"/>
      <c r="V32" s="182"/>
      <c r="W32" s="553"/>
      <c r="X32" s="553"/>
      <c r="Y32" s="553"/>
      <c r="Z32" s="554"/>
      <c r="AA32" s="182"/>
      <c r="AB32" s="553"/>
      <c r="AC32" s="553"/>
      <c r="AD32" s="553"/>
      <c r="AE32" s="554"/>
      <c r="AF32" s="182"/>
      <c r="AG32" s="553"/>
      <c r="AH32" s="553"/>
      <c r="AI32" s="553"/>
      <c r="AJ32" s="554"/>
      <c r="AK32" s="182"/>
      <c r="AL32" s="553"/>
      <c r="AM32" s="553"/>
      <c r="AN32" s="553"/>
      <c r="AO32" s="554"/>
      <c r="AP32" s="182"/>
      <c r="AQ32" s="553"/>
      <c r="AR32" s="553"/>
      <c r="AS32" s="553"/>
      <c r="AT32" s="554"/>
      <c r="AU32" s="549"/>
      <c r="AV32" s="555"/>
      <c r="AW32" s="555"/>
      <c r="AX32" s="555"/>
      <c r="AY32" s="555"/>
      <c r="AZ32" s="144"/>
      <c r="BA32" s="555"/>
      <c r="BB32" s="555"/>
      <c r="BC32" s="555"/>
      <c r="BD32" s="555"/>
      <c r="BE32" s="182"/>
      <c r="BF32" s="555"/>
      <c r="BG32" s="555"/>
      <c r="BH32" s="555"/>
      <c r="BI32" s="555"/>
      <c r="BJ32" s="182"/>
      <c r="BK32" s="555"/>
      <c r="BL32" s="555"/>
      <c r="BM32" s="555"/>
      <c r="BN32" s="555"/>
      <c r="BO32" s="182"/>
      <c r="BP32" s="555"/>
      <c r="BQ32" s="555"/>
      <c r="BR32" s="555"/>
      <c r="BS32" s="555"/>
      <c r="BT32" s="182"/>
      <c r="BU32" s="555"/>
      <c r="BV32" s="555"/>
      <c r="BW32" s="555"/>
      <c r="BX32" s="555"/>
      <c r="BY32" s="182"/>
      <c r="BZ32" s="555"/>
      <c r="CA32" s="555"/>
      <c r="CB32" s="555"/>
      <c r="CC32" s="555"/>
      <c r="CD32" s="182"/>
      <c r="CE32" s="160"/>
    </row>
    <row r="33" spans="1:83">
      <c r="A33" s="533"/>
      <c r="B33" s="816" t="s">
        <v>416</v>
      </c>
      <c r="C33" s="817"/>
      <c r="D33" s="817"/>
      <c r="E33" s="817"/>
      <c r="F33" s="818"/>
      <c r="G33" s="819"/>
      <c r="H33" s="817"/>
      <c r="I33" s="817"/>
      <c r="J33" s="817"/>
      <c r="K33" s="818"/>
      <c r="L33" s="819"/>
      <c r="M33" s="817"/>
      <c r="N33" s="817"/>
      <c r="O33" s="817"/>
      <c r="P33" s="818"/>
      <c r="Q33" s="819"/>
      <c r="R33" s="817"/>
      <c r="S33" s="817"/>
      <c r="T33" s="817"/>
      <c r="U33" s="818"/>
      <c r="V33" s="819"/>
      <c r="W33" s="817"/>
      <c r="X33" s="817"/>
      <c r="Y33" s="817"/>
      <c r="Z33" s="818"/>
      <c r="AA33" s="819"/>
      <c r="AB33" s="817"/>
      <c r="AC33" s="817"/>
      <c r="AD33" s="817"/>
      <c r="AE33" s="818"/>
      <c r="AF33" s="847">
        <v>1706.6590000000001</v>
      </c>
      <c r="AG33" s="848"/>
      <c r="AH33" s="848"/>
      <c r="AI33" s="848"/>
      <c r="AJ33" s="848"/>
      <c r="AK33" s="847"/>
      <c r="AL33" s="849"/>
      <c r="AM33" s="849"/>
      <c r="AN33" s="849"/>
      <c r="AO33" s="849"/>
      <c r="AP33" s="847"/>
      <c r="AQ33" s="850"/>
      <c r="AR33" s="850"/>
      <c r="AS33" s="850"/>
      <c r="AT33" s="851">
        <v>1758.865</v>
      </c>
      <c r="AU33" s="852">
        <v>6859.3966819999996</v>
      </c>
      <c r="AV33" s="851">
        <v>1761.4469999999999</v>
      </c>
      <c r="AW33" s="851">
        <v>1727.5340000000001</v>
      </c>
      <c r="AX33" s="851">
        <v>1930.646</v>
      </c>
      <c r="AY33" s="828">
        <f>AT33*(1+AY34)/2</f>
        <v>1011.3473749999999</v>
      </c>
      <c r="AZ33" s="827">
        <f>AY33</f>
        <v>1011.3473749999999</v>
      </c>
      <c r="BA33" s="828">
        <f>AV33*(1+BA34)</f>
        <v>2025.6640499999996</v>
      </c>
      <c r="BB33" s="828">
        <f>AW33*(1+BB34)</f>
        <v>1986.6641</v>
      </c>
      <c r="BC33" s="828">
        <f>AX33*(1+BC34)</f>
        <v>2220.2428999999997</v>
      </c>
      <c r="BD33" s="828">
        <f>AY33*2*(1+BD34)</f>
        <v>2326.0989624999997</v>
      </c>
      <c r="BE33" s="827">
        <f>SUM(BA33:BD33)</f>
        <v>8558.6700124999988</v>
      </c>
      <c r="BF33" s="828">
        <f>BA33*(1+BF34)</f>
        <v>2329.5136574999992</v>
      </c>
      <c r="BG33" s="828">
        <f>BB33*(1+BG34)</f>
        <v>2284.6637149999997</v>
      </c>
      <c r="BH33" s="828">
        <f>BC33*(1+BH34)</f>
        <v>2553.2793349999997</v>
      </c>
      <c r="BI33" s="828">
        <f>BD33*(1+BI34)</f>
        <v>2675.0138068749993</v>
      </c>
      <c r="BJ33" s="827">
        <f>SUM(BF33:BI33)</f>
        <v>9842.4705143749961</v>
      </c>
      <c r="BK33" s="828">
        <f>BF33*(1+BK34)</f>
        <v>2678.940706124999</v>
      </c>
      <c r="BL33" s="828">
        <f>BG33*(1+BL34)</f>
        <v>2627.3632722499992</v>
      </c>
      <c r="BM33" s="828">
        <f>BH33*(1+BM34)</f>
        <v>2936.2712352499993</v>
      </c>
      <c r="BN33" s="828">
        <f>BI33*(1+BN34)</f>
        <v>3076.265877906249</v>
      </c>
      <c r="BO33" s="827">
        <f>SUM(BK33:BN33)</f>
        <v>11318.841091531247</v>
      </c>
      <c r="BP33" s="828">
        <f>BK33*(1+BP34)</f>
        <v>3080.7818120437487</v>
      </c>
      <c r="BQ33" s="828">
        <f>BL33*(1+BQ34)</f>
        <v>3021.467763087499</v>
      </c>
      <c r="BR33" s="828">
        <f>BM33*(1+BR34)</f>
        <v>3376.7119205374988</v>
      </c>
      <c r="BS33" s="828">
        <f>BN33*(1+BS34)</f>
        <v>3537.705759592186</v>
      </c>
      <c r="BT33" s="827">
        <f>SUM(BP33:BS33)</f>
        <v>13016.667255260931</v>
      </c>
      <c r="BU33" s="828">
        <f>BP33*(1+BU34)</f>
        <v>3542.8990838503105</v>
      </c>
      <c r="BV33" s="828">
        <f>BQ33*(1+BV34)</f>
        <v>3474.6879275506235</v>
      </c>
      <c r="BW33" s="828">
        <f>BR33*(1+BW34)</f>
        <v>3883.2187086181234</v>
      </c>
      <c r="BX33" s="828">
        <f>BS33*(1+BX34)</f>
        <v>4068.3616235310137</v>
      </c>
      <c r="BY33" s="827">
        <f>SUM(BU33:BX33)</f>
        <v>14969.167343550071</v>
      </c>
      <c r="BZ33" s="828">
        <f>BU33*(1+BZ34)</f>
        <v>4074.333946427857</v>
      </c>
      <c r="CA33" s="828">
        <f>BV33*(1+CA34)</f>
        <v>3995.8911166832168</v>
      </c>
      <c r="CB33" s="828">
        <f>BW33*(1+CB34)</f>
        <v>4465.701514910842</v>
      </c>
      <c r="CC33" s="828">
        <f>BX33*(1+CC34)</f>
        <v>4678.6158670606656</v>
      </c>
      <c r="CD33" s="827">
        <f>SUM(BZ33:CC33)</f>
        <v>17214.542445082581</v>
      </c>
      <c r="CE33" s="160"/>
    </row>
    <row r="34" spans="1:83">
      <c r="A34" s="533"/>
      <c r="B34" s="138" t="s">
        <v>21</v>
      </c>
      <c r="C34" s="553"/>
      <c r="D34" s="553"/>
      <c r="E34" s="553"/>
      <c r="F34" s="554"/>
      <c r="G34" s="182"/>
      <c r="H34" s="553"/>
      <c r="I34" s="553"/>
      <c r="J34" s="553"/>
      <c r="K34" s="554"/>
      <c r="L34" s="182"/>
      <c r="M34" s="553"/>
      <c r="N34" s="553"/>
      <c r="O34" s="553"/>
      <c r="P34" s="554"/>
      <c r="Q34" s="182"/>
      <c r="R34" s="553"/>
      <c r="S34" s="553"/>
      <c r="T34" s="553"/>
      <c r="U34" s="554"/>
      <c r="V34" s="182"/>
      <c r="W34" s="553"/>
      <c r="X34" s="553"/>
      <c r="Y34" s="553"/>
      <c r="Z34" s="554"/>
      <c r="AA34" s="182"/>
      <c r="AB34" s="553"/>
      <c r="AC34" s="553"/>
      <c r="AD34" s="553"/>
      <c r="AE34" s="554"/>
      <c r="AF34" s="182"/>
      <c r="AG34" s="553"/>
      <c r="AH34" s="553"/>
      <c r="AI34" s="553"/>
      <c r="AJ34" s="554"/>
      <c r="AK34" s="182"/>
      <c r="AL34" s="553"/>
      <c r="AM34" s="553"/>
      <c r="AN34" s="553"/>
      <c r="AO34" s="554"/>
      <c r="AP34" s="853">
        <v>0.70688883983996087</v>
      </c>
      <c r="AQ34" s="854">
        <v>0.49329465538094053</v>
      </c>
      <c r="AR34" s="854">
        <v>0.12371466415699395</v>
      </c>
      <c r="AS34" s="854">
        <v>0.13390588410729531</v>
      </c>
      <c r="AT34" s="854">
        <v>0.28687991442579452</v>
      </c>
      <c r="AU34" s="853">
        <v>0.23709644195280055</v>
      </c>
      <c r="AV34" s="854">
        <v>0.11717981219096218</v>
      </c>
      <c r="AW34" s="854">
        <v>-4.30987591270795E-2</v>
      </c>
      <c r="AX34" s="854">
        <v>0.1234490098626766</v>
      </c>
      <c r="AY34" s="830">
        <v>0.15</v>
      </c>
      <c r="AZ34" s="785"/>
      <c r="BA34" s="830">
        <v>0.15</v>
      </c>
      <c r="BB34" s="830">
        <v>0.15</v>
      </c>
      <c r="BC34" s="830">
        <v>0.15</v>
      </c>
      <c r="BD34" s="830">
        <v>0.15</v>
      </c>
      <c r="BE34" s="785"/>
      <c r="BF34" s="830">
        <v>0.15</v>
      </c>
      <c r="BG34" s="830">
        <v>0.15</v>
      </c>
      <c r="BH34" s="830">
        <v>0.15</v>
      </c>
      <c r="BI34" s="830">
        <v>0.15</v>
      </c>
      <c r="BJ34" s="785">
        <f>BJ33/BE33-1</f>
        <v>0.14999999999999969</v>
      </c>
      <c r="BK34" s="830">
        <v>0.15</v>
      </c>
      <c r="BL34" s="830">
        <v>0.15</v>
      </c>
      <c r="BM34" s="830">
        <v>0.15</v>
      </c>
      <c r="BN34" s="830">
        <v>0.15</v>
      </c>
      <c r="BO34" s="785">
        <f>BO33/BJ33-1</f>
        <v>0.15000000000000013</v>
      </c>
      <c r="BP34" s="830">
        <v>0.15</v>
      </c>
      <c r="BQ34" s="830">
        <v>0.15</v>
      </c>
      <c r="BR34" s="830">
        <v>0.15</v>
      </c>
      <c r="BS34" s="830">
        <v>0.15</v>
      </c>
      <c r="BT34" s="785">
        <f>BT33/BO33-1</f>
        <v>0.14999999999999969</v>
      </c>
      <c r="BU34" s="830">
        <v>0.15</v>
      </c>
      <c r="BV34" s="830">
        <v>0.15</v>
      </c>
      <c r="BW34" s="830">
        <v>0.15</v>
      </c>
      <c r="BX34" s="830">
        <v>0.15</v>
      </c>
      <c r="BY34" s="785">
        <f>BY33/BT33-1</f>
        <v>0.15000000000000013</v>
      </c>
      <c r="BZ34" s="830">
        <v>0.15</v>
      </c>
      <c r="CA34" s="830">
        <v>0.15</v>
      </c>
      <c r="CB34" s="830">
        <v>0.15</v>
      </c>
      <c r="CC34" s="830">
        <v>0.15</v>
      </c>
      <c r="CD34" s="785">
        <f>CD33/BY33-1</f>
        <v>0.14999999999999991</v>
      </c>
      <c r="CE34" s="160"/>
    </row>
    <row r="35" spans="1:83" ht="13.5" thickBot="1">
      <c r="A35" s="533"/>
      <c r="B35" s="138" t="s">
        <v>268</v>
      </c>
      <c r="C35" s="553"/>
      <c r="D35" s="553"/>
      <c r="E35" s="553"/>
      <c r="F35" s="554"/>
      <c r="G35" s="182"/>
      <c r="H35" s="553"/>
      <c r="I35" s="553"/>
      <c r="J35" s="553"/>
      <c r="K35" s="554"/>
      <c r="L35" s="182"/>
      <c r="M35" s="553"/>
      <c r="N35" s="553"/>
      <c r="O35" s="553"/>
      <c r="P35" s="554"/>
      <c r="Q35" s="182"/>
      <c r="R35" s="553"/>
      <c r="S35" s="553"/>
      <c r="T35" s="553"/>
      <c r="U35" s="554"/>
      <c r="V35" s="182"/>
      <c r="W35" s="553"/>
      <c r="X35" s="553"/>
      <c r="Y35" s="553"/>
      <c r="Z35" s="554"/>
      <c r="AA35" s="182"/>
      <c r="AB35" s="553"/>
      <c r="AC35" s="553"/>
      <c r="AD35" s="553"/>
      <c r="AE35" s="554"/>
      <c r="AF35" s="785"/>
      <c r="AG35" s="553"/>
      <c r="AH35" s="553"/>
      <c r="AI35" s="553"/>
      <c r="AJ35" s="554"/>
      <c r="AK35" s="785"/>
      <c r="AL35" s="581"/>
      <c r="AM35" s="581"/>
      <c r="AN35" s="581"/>
      <c r="AO35" s="581"/>
      <c r="AP35" s="785"/>
      <c r="AQ35" s="581"/>
      <c r="AR35" s="581"/>
      <c r="AS35" s="581"/>
      <c r="AT35" s="581"/>
      <c r="AU35" s="558"/>
      <c r="AV35" s="831"/>
      <c r="AW35" s="831"/>
      <c r="AX35" s="831"/>
      <c r="AY35" s="831">
        <f>AY33/AY$6</f>
        <v>1.2169952287550238E-2</v>
      </c>
      <c r="AZ35" s="192">
        <f t="shared" ref="AZ35:CD35" si="16">AZ33/AZ6</f>
        <v>3.5111595518646844E-3</v>
      </c>
      <c r="BA35" s="831">
        <f t="shared" si="16"/>
        <v>2.4535956709746964E-2</v>
      </c>
      <c r="BB35" s="831">
        <f t="shared" si="16"/>
        <v>2.2636693139477911E-2</v>
      </c>
      <c r="BC35" s="831">
        <f t="shared" si="16"/>
        <v>2.4976015523932728E-2</v>
      </c>
      <c r="BD35" s="831">
        <f t="shared" si="16"/>
        <v>2.3096771579072788E-2</v>
      </c>
      <c r="BE35" s="785">
        <f t="shared" si="16"/>
        <v>2.3778839135882728E-2</v>
      </c>
      <c r="BF35" s="831">
        <f t="shared" si="16"/>
        <v>2.3147225802124416E-2</v>
      </c>
      <c r="BG35" s="831">
        <f>BG33/BG6</f>
        <v>2.1193540955473097E-2</v>
      </c>
      <c r="BH35" s="831">
        <f t="shared" si="16"/>
        <v>2.2159266602443932E-2</v>
      </c>
      <c r="BI35" s="831">
        <f t="shared" si="16"/>
        <v>2.0186498184167824E-2</v>
      </c>
      <c r="BJ35" s="785">
        <f t="shared" si="16"/>
        <v>2.157594297483657E-2</v>
      </c>
      <c r="BK35" s="831">
        <f t="shared" si="16"/>
        <v>2.0239194238048101E-2</v>
      </c>
      <c r="BL35" s="831">
        <f t="shared" si="16"/>
        <v>1.8691934155096748E-2</v>
      </c>
      <c r="BM35" s="831">
        <f t="shared" si="16"/>
        <v>1.996649084073145E-2</v>
      </c>
      <c r="BN35" s="831">
        <f t="shared" si="16"/>
        <v>1.8356095449935234E-2</v>
      </c>
      <c r="BO35" s="785">
        <f t="shared" si="16"/>
        <v>1.9263701156984114E-2</v>
      </c>
      <c r="BP35" s="831">
        <f t="shared" si="16"/>
        <v>1.8962434379149559E-2</v>
      </c>
      <c r="BQ35" s="831">
        <f t="shared" si="16"/>
        <v>1.7504661464463566E-2</v>
      </c>
      <c r="BR35" s="831">
        <f t="shared" si="16"/>
        <v>1.8698260966483034E-2</v>
      </c>
      <c r="BS35" s="831">
        <f t="shared" si="16"/>
        <v>1.7190154533734136E-2</v>
      </c>
      <c r="BT35" s="785">
        <f t="shared" si="16"/>
        <v>1.8041995380625273E-2</v>
      </c>
      <c r="BU35" s="831">
        <f t="shared" si="16"/>
        <v>1.8172332946684994E-2</v>
      </c>
      <c r="BV35" s="831">
        <f t="shared" si="16"/>
        <v>1.6775300570110917E-2</v>
      </c>
      <c r="BW35" s="831">
        <f t="shared" si="16"/>
        <v>1.8222881450386006E-2</v>
      </c>
      <c r="BX35" s="831">
        <f t="shared" si="16"/>
        <v>1.6753116706605301E-2</v>
      </c>
      <c r="BY35" s="785">
        <f t="shared" si="16"/>
        <v>1.744596837766502E-2</v>
      </c>
      <c r="BZ35" s="831">
        <f t="shared" si="16"/>
        <v>1.7861694776656192E-2</v>
      </c>
      <c r="CA35" s="831">
        <f t="shared" si="16"/>
        <v>1.6488543295408165E-2</v>
      </c>
      <c r="CB35" s="831">
        <f t="shared" si="16"/>
        <v>1.7911379203370863E-2</v>
      </c>
      <c r="CC35" s="831">
        <f t="shared" si="16"/>
        <v>1.6466738643244529E-2</v>
      </c>
      <c r="CD35" s="785">
        <f t="shared" si="16"/>
        <v>1.714774669599553E-2</v>
      </c>
      <c r="CE35" s="160"/>
    </row>
    <row r="36" spans="1:83">
      <c r="A36" s="533"/>
      <c r="B36" s="138" t="s">
        <v>405</v>
      </c>
      <c r="C36" s="855"/>
      <c r="D36" s="855"/>
      <c r="E36" s="855"/>
      <c r="F36" s="856"/>
      <c r="G36" s="857"/>
      <c r="H36" s="855"/>
      <c r="I36" s="855"/>
      <c r="J36" s="855"/>
      <c r="K36" s="856"/>
      <c r="L36" s="857"/>
      <c r="M36" s="855"/>
      <c r="N36" s="855"/>
      <c r="O36" s="855"/>
      <c r="P36" s="856"/>
      <c r="Q36" s="857"/>
      <c r="R36" s="855"/>
      <c r="S36" s="855"/>
      <c r="T36" s="855"/>
      <c r="U36" s="856"/>
      <c r="V36" s="857"/>
      <c r="W36" s="855"/>
      <c r="X36" s="855"/>
      <c r="Y36" s="855"/>
      <c r="Z36" s="856"/>
      <c r="AA36" s="857"/>
      <c r="AB36" s="855"/>
      <c r="AC36" s="553"/>
      <c r="AD36" s="553"/>
      <c r="AE36" s="554"/>
      <c r="AF36" s="182"/>
      <c r="AG36" s="553"/>
      <c r="AH36" s="553"/>
      <c r="AI36" s="553"/>
      <c r="AJ36" s="554"/>
      <c r="AK36" s="858">
        <v>2.4632002209048792E-2</v>
      </c>
      <c r="AL36" s="553"/>
      <c r="AM36" s="553"/>
      <c r="AN36" s="553"/>
      <c r="AO36" s="554"/>
      <c r="AP36" s="858">
        <v>2.2039927823682019E-2</v>
      </c>
      <c r="AQ36" s="859">
        <v>2.2793310324136232E-2</v>
      </c>
      <c r="AR36" s="859">
        <v>2.2070056532224918E-2</v>
      </c>
      <c r="AS36" s="859">
        <v>2.2936294987660741E-2</v>
      </c>
      <c r="AT36" s="859">
        <v>2.4951318037484401E-2</v>
      </c>
      <c r="AU36" s="858">
        <v>2.3192127146904665E-2</v>
      </c>
      <c r="AV36" s="859">
        <v>2.5216767805105688E-2</v>
      </c>
      <c r="AW36" s="859">
        <v>2.6816838337190469E-2</v>
      </c>
      <c r="AX36" s="859">
        <v>2.1977617854334764E-2</v>
      </c>
      <c r="AY36" s="833">
        <v>2.3E-2</v>
      </c>
      <c r="AZ36" s="860">
        <f>AY36</f>
        <v>2.3E-2</v>
      </c>
      <c r="BA36" s="834">
        <f>AY36</f>
        <v>2.3E-2</v>
      </c>
      <c r="BB36" s="834">
        <f t="shared" ref="BB36:BD37" si="17">BA36</f>
        <v>2.3E-2</v>
      </c>
      <c r="BC36" s="834">
        <f t="shared" si="17"/>
        <v>2.3E-2</v>
      </c>
      <c r="BD36" s="834">
        <f t="shared" si="17"/>
        <v>2.3E-2</v>
      </c>
      <c r="BE36" s="835">
        <f>SUMPRODUCT(BA36:BD36,BA33:BD33)/SUM(BA33:BD33)</f>
        <v>2.2999999999999996E-2</v>
      </c>
      <c r="BF36" s="834">
        <f>BD36</f>
        <v>2.3E-2</v>
      </c>
      <c r="BG36" s="834">
        <f>BE36</f>
        <v>2.2999999999999996E-2</v>
      </c>
      <c r="BH36" s="834">
        <f>BG36</f>
        <v>2.2999999999999996E-2</v>
      </c>
      <c r="BI36" s="834">
        <f>BH36</f>
        <v>2.2999999999999996E-2</v>
      </c>
      <c r="BJ36" s="835">
        <f>SUMPRODUCT(BF36:BI36,BF33:BI33)/SUM(BF33:BI33)</f>
        <v>2.3E-2</v>
      </c>
      <c r="BK36" s="834">
        <f>BI36</f>
        <v>2.2999999999999996E-2</v>
      </c>
      <c r="BL36" s="834">
        <f t="shared" ref="BL36:BN37" si="18">BK36</f>
        <v>2.2999999999999996E-2</v>
      </c>
      <c r="BM36" s="834">
        <f t="shared" si="18"/>
        <v>2.2999999999999996E-2</v>
      </c>
      <c r="BN36" s="834">
        <f t="shared" si="18"/>
        <v>2.2999999999999996E-2</v>
      </c>
      <c r="BO36" s="835">
        <f>SUMPRODUCT(BK36:BN36,BK33:BN33)/SUM(BK33:BN33)</f>
        <v>2.2999999999999996E-2</v>
      </c>
      <c r="BP36" s="834">
        <f>BN36</f>
        <v>2.2999999999999996E-2</v>
      </c>
      <c r="BQ36" s="834">
        <f t="shared" ref="BQ36:BS37" si="19">BP36</f>
        <v>2.2999999999999996E-2</v>
      </c>
      <c r="BR36" s="834">
        <f t="shared" si="19"/>
        <v>2.2999999999999996E-2</v>
      </c>
      <c r="BS36" s="834">
        <f t="shared" si="19"/>
        <v>2.2999999999999996E-2</v>
      </c>
      <c r="BT36" s="835">
        <f>SUMPRODUCT(BP36:BS36,BP33:BS33)/SUM(BP33:BS33)</f>
        <v>2.3E-2</v>
      </c>
      <c r="BU36" s="834">
        <f>BS36</f>
        <v>2.2999999999999996E-2</v>
      </c>
      <c r="BV36" s="834">
        <f t="shared" ref="BV36:BX37" si="20">BU36</f>
        <v>2.2999999999999996E-2</v>
      </c>
      <c r="BW36" s="834">
        <f t="shared" si="20"/>
        <v>2.2999999999999996E-2</v>
      </c>
      <c r="BX36" s="834">
        <f t="shared" si="20"/>
        <v>2.2999999999999996E-2</v>
      </c>
      <c r="BY36" s="835">
        <f>SUMPRODUCT(BU36:BX36,BU33:BX33)/SUM(BU33:BX33)</f>
        <v>2.3E-2</v>
      </c>
      <c r="BZ36" s="834">
        <f>BX36</f>
        <v>2.2999999999999996E-2</v>
      </c>
      <c r="CA36" s="834">
        <f t="shared" ref="CA36:CC37" si="21">BZ36</f>
        <v>2.2999999999999996E-2</v>
      </c>
      <c r="CB36" s="834">
        <f t="shared" si="21"/>
        <v>2.2999999999999996E-2</v>
      </c>
      <c r="CC36" s="834">
        <f t="shared" si="21"/>
        <v>2.2999999999999996E-2</v>
      </c>
      <c r="CD36" s="835">
        <f>SUMPRODUCT(BZ36:CC36,BZ33:CC33)/SUM(BZ33:CC33)</f>
        <v>2.2999999999999996E-2</v>
      </c>
      <c r="CE36" s="160"/>
    </row>
    <row r="37" spans="1:83" ht="13.5" thickBot="1">
      <c r="A37" s="533"/>
      <c r="B37" s="138" t="s">
        <v>406</v>
      </c>
      <c r="C37" s="553"/>
      <c r="D37" s="553"/>
      <c r="E37" s="553"/>
      <c r="F37" s="554"/>
      <c r="G37" s="182"/>
      <c r="H37" s="553"/>
      <c r="I37" s="553"/>
      <c r="J37" s="553"/>
      <c r="K37" s="554"/>
      <c r="L37" s="182"/>
      <c r="M37" s="553"/>
      <c r="N37" s="553"/>
      <c r="O37" s="553"/>
      <c r="P37" s="554"/>
      <c r="Q37" s="182"/>
      <c r="R37" s="553"/>
      <c r="S37" s="553"/>
      <c r="T37" s="553"/>
      <c r="U37" s="554"/>
      <c r="V37" s="182"/>
      <c r="W37" s="553"/>
      <c r="X37" s="553"/>
      <c r="Y37" s="553"/>
      <c r="Z37" s="554"/>
      <c r="AA37" s="182"/>
      <c r="AB37" s="553"/>
      <c r="AC37" s="553"/>
      <c r="AD37" s="553"/>
      <c r="AE37" s="554"/>
      <c r="AF37" s="182"/>
      <c r="AG37" s="553"/>
      <c r="AH37" s="553"/>
      <c r="AI37" s="553"/>
      <c r="AJ37" s="554"/>
      <c r="AK37" s="858">
        <v>8.2436061182278239E-3</v>
      </c>
      <c r="AL37" s="553"/>
      <c r="AM37" s="553"/>
      <c r="AN37" s="553"/>
      <c r="AO37" s="554"/>
      <c r="AP37" s="858">
        <v>6.8681122971168251E-3</v>
      </c>
      <c r="AQ37" s="859">
        <v>6.0747489088034071E-3</v>
      </c>
      <c r="AR37" s="859">
        <v>7.1881117261992471E-3</v>
      </c>
      <c r="AS37" s="859">
        <v>6.4713450516991873E-3</v>
      </c>
      <c r="AT37" s="859">
        <v>6.6741904580510727E-3</v>
      </c>
      <c r="AU37" s="861">
        <v>6.6208446756221588E-3</v>
      </c>
      <c r="AV37" s="862">
        <v>6.8313153901309546E-3</v>
      </c>
      <c r="AW37" s="862">
        <v>7.7271995804424108E-3</v>
      </c>
      <c r="AX37" s="862">
        <v>7.5384094235815373E-3</v>
      </c>
      <c r="AY37" s="836">
        <v>7.4999999999999997E-3</v>
      </c>
      <c r="AZ37" s="835">
        <f>AY37</f>
        <v>7.4999999999999997E-3</v>
      </c>
      <c r="BA37" s="834">
        <f>AY37</f>
        <v>7.4999999999999997E-3</v>
      </c>
      <c r="BB37" s="834">
        <f t="shared" si="17"/>
        <v>7.4999999999999997E-3</v>
      </c>
      <c r="BC37" s="834">
        <f t="shared" si="17"/>
        <v>7.4999999999999997E-3</v>
      </c>
      <c r="BD37" s="834">
        <f t="shared" si="17"/>
        <v>7.4999999999999997E-3</v>
      </c>
      <c r="BE37" s="835">
        <f>SUMPRODUCT(BA37:BD37,BA33:BD33)/SUM(BA33:BD33)</f>
        <v>7.5000000000000006E-3</v>
      </c>
      <c r="BF37" s="834">
        <f>BD37</f>
        <v>7.4999999999999997E-3</v>
      </c>
      <c r="BG37" s="834">
        <f>BE37</f>
        <v>7.5000000000000006E-3</v>
      </c>
      <c r="BH37" s="834">
        <f>BG37</f>
        <v>7.5000000000000006E-3</v>
      </c>
      <c r="BI37" s="834">
        <f>BH37</f>
        <v>7.5000000000000006E-3</v>
      </c>
      <c r="BJ37" s="835">
        <f>SUMPRODUCT(BF37:BI37,BF33:BI33)/SUM(BF33:BI33)</f>
        <v>7.5000000000000015E-3</v>
      </c>
      <c r="BK37" s="834">
        <f>BI37</f>
        <v>7.5000000000000006E-3</v>
      </c>
      <c r="BL37" s="834">
        <f t="shared" si="18"/>
        <v>7.5000000000000006E-3</v>
      </c>
      <c r="BM37" s="834">
        <f t="shared" si="18"/>
        <v>7.5000000000000006E-3</v>
      </c>
      <c r="BN37" s="834">
        <f t="shared" si="18"/>
        <v>7.5000000000000006E-3</v>
      </c>
      <c r="BO37" s="835">
        <f>SUMPRODUCT(BK37:BN37,BK33:BN33)/SUM(BK33:BN33)</f>
        <v>7.5000000000000015E-3</v>
      </c>
      <c r="BP37" s="834">
        <f>BN37</f>
        <v>7.5000000000000006E-3</v>
      </c>
      <c r="BQ37" s="834">
        <f t="shared" si="19"/>
        <v>7.5000000000000006E-3</v>
      </c>
      <c r="BR37" s="834">
        <f t="shared" si="19"/>
        <v>7.5000000000000006E-3</v>
      </c>
      <c r="BS37" s="834">
        <f t="shared" si="19"/>
        <v>7.5000000000000006E-3</v>
      </c>
      <c r="BT37" s="835">
        <f>SUMPRODUCT(BP37:BS37,BP33:BS33)/SUM(BP33:BS33)</f>
        <v>7.5000000000000015E-3</v>
      </c>
      <c r="BU37" s="834">
        <f>BS37</f>
        <v>7.5000000000000006E-3</v>
      </c>
      <c r="BV37" s="834">
        <f t="shared" si="20"/>
        <v>7.5000000000000006E-3</v>
      </c>
      <c r="BW37" s="834">
        <f t="shared" si="20"/>
        <v>7.5000000000000006E-3</v>
      </c>
      <c r="BX37" s="834">
        <f t="shared" si="20"/>
        <v>7.5000000000000006E-3</v>
      </c>
      <c r="BY37" s="835">
        <f>SUMPRODUCT(BU37:BX37,BU33:BX33)/SUM(BU33:BX33)</f>
        <v>7.5000000000000006E-3</v>
      </c>
      <c r="BZ37" s="834">
        <f>BX37</f>
        <v>7.5000000000000006E-3</v>
      </c>
      <c r="CA37" s="834">
        <f t="shared" si="21"/>
        <v>7.5000000000000006E-3</v>
      </c>
      <c r="CB37" s="834">
        <f t="shared" si="21"/>
        <v>7.5000000000000006E-3</v>
      </c>
      <c r="CC37" s="834">
        <f t="shared" si="21"/>
        <v>7.5000000000000006E-3</v>
      </c>
      <c r="CD37" s="835">
        <f>SUMPRODUCT(BZ37:CC37,BZ33:CC33)/SUM(BZ33:CC33)</f>
        <v>7.5000000000000015E-3</v>
      </c>
      <c r="CE37" s="160"/>
    </row>
    <row r="38" spans="1:83">
      <c r="A38" s="533"/>
      <c r="B38" s="138" t="s">
        <v>407</v>
      </c>
      <c r="C38" s="553"/>
      <c r="D38" s="553"/>
      <c r="E38" s="553"/>
      <c r="F38" s="554"/>
      <c r="G38" s="182"/>
      <c r="H38" s="553"/>
      <c r="I38" s="553"/>
      <c r="J38" s="553"/>
      <c r="K38" s="554"/>
      <c r="L38" s="182"/>
      <c r="M38" s="553"/>
      <c r="N38" s="553"/>
      <c r="O38" s="553"/>
      <c r="P38" s="554"/>
      <c r="Q38" s="182"/>
      <c r="R38" s="553"/>
      <c r="S38" s="553"/>
      <c r="T38" s="553"/>
      <c r="U38" s="554"/>
      <c r="V38" s="182"/>
      <c r="W38" s="553"/>
      <c r="X38" s="553"/>
      <c r="Y38" s="553"/>
      <c r="Z38" s="554"/>
      <c r="AA38" s="182"/>
      <c r="AB38" s="553"/>
      <c r="AC38" s="553"/>
      <c r="AD38" s="553"/>
      <c r="AE38" s="554"/>
      <c r="AF38" s="182"/>
      <c r="AG38" s="553"/>
      <c r="AH38" s="553"/>
      <c r="AI38" s="553"/>
      <c r="AJ38" s="554"/>
      <c r="AK38" s="182"/>
      <c r="AL38" s="553"/>
      <c r="AM38" s="553"/>
      <c r="AN38" s="553"/>
      <c r="AO38" s="554"/>
      <c r="AP38" s="182"/>
      <c r="AQ38" s="837"/>
      <c r="AR38" s="318"/>
      <c r="AS38" s="318"/>
      <c r="AT38" s="318"/>
      <c r="AU38" s="838"/>
      <c r="AV38" s="318"/>
      <c r="AW38" s="318"/>
      <c r="AX38" s="318"/>
      <c r="AY38" s="318">
        <f>AY33*AY36</f>
        <v>23.260989624999997</v>
      </c>
      <c r="AZ38" s="838">
        <f>SUM(AV38:AY38)</f>
        <v>23.260989624999997</v>
      </c>
      <c r="BA38" s="318">
        <f t="shared" ref="BA38:BN38" si="22">BA33*BA36</f>
        <v>46.590273149999987</v>
      </c>
      <c r="BB38" s="318">
        <f t="shared" si="22"/>
        <v>45.693274299999999</v>
      </c>
      <c r="BC38" s="318">
        <f t="shared" si="22"/>
        <v>51.06558669999999</v>
      </c>
      <c r="BD38" s="318">
        <f t="shared" si="22"/>
        <v>53.500276137499995</v>
      </c>
      <c r="BE38" s="838">
        <f>SUM(BA38:BD38)</f>
        <v>196.84941028749995</v>
      </c>
      <c r="BF38" s="318">
        <f t="shared" si="22"/>
        <v>53.578814122499985</v>
      </c>
      <c r="BG38" s="318">
        <f>BG33*BG36</f>
        <v>52.547265444999987</v>
      </c>
      <c r="BH38" s="318">
        <f t="shared" si="22"/>
        <v>58.72542470499998</v>
      </c>
      <c r="BI38" s="318">
        <f t="shared" si="22"/>
        <v>61.525317558124975</v>
      </c>
      <c r="BJ38" s="838">
        <f>SUM(BF38:BI38)</f>
        <v>226.37682183062492</v>
      </c>
      <c r="BK38" s="318">
        <f t="shared" si="22"/>
        <v>61.61563624087497</v>
      </c>
      <c r="BL38" s="318">
        <f t="shared" si="22"/>
        <v>60.429355261749976</v>
      </c>
      <c r="BM38" s="318">
        <f t="shared" si="22"/>
        <v>67.534238410749978</v>
      </c>
      <c r="BN38" s="318">
        <f t="shared" si="22"/>
        <v>70.754115191843709</v>
      </c>
      <c r="BO38" s="838">
        <f>SUM(BK38:BN38)</f>
        <v>260.33334510521865</v>
      </c>
      <c r="BP38" s="318">
        <f>BP33*BP36</f>
        <v>70.857981677006208</v>
      </c>
      <c r="BQ38" s="318">
        <f>BQ33*BQ36</f>
        <v>69.493758551012462</v>
      </c>
      <c r="BR38" s="318">
        <f>BR33*BR36</f>
        <v>77.664374172362457</v>
      </c>
      <c r="BS38" s="318">
        <f>BS33*BS36</f>
        <v>81.367232470620266</v>
      </c>
      <c r="BT38" s="838">
        <f>SUM(BP38:BS38)</f>
        <v>299.38334687100138</v>
      </c>
      <c r="BU38" s="318">
        <f>BU33*BU36</f>
        <v>81.486678928557126</v>
      </c>
      <c r="BV38" s="318">
        <f>BV33*BV36</f>
        <v>79.917822333664333</v>
      </c>
      <c r="BW38" s="318">
        <f>BW33*BW36</f>
        <v>89.314030298216821</v>
      </c>
      <c r="BX38" s="318">
        <f>BX33*BX36</f>
        <v>93.572317341213306</v>
      </c>
      <c r="BY38" s="838">
        <f>SUM(BU38:BX38)</f>
        <v>344.2908489016516</v>
      </c>
      <c r="BZ38" s="318">
        <f>BZ33*BZ36</f>
        <v>93.709680767840695</v>
      </c>
      <c r="CA38" s="318">
        <f>CA33*CA36</f>
        <v>91.905495683713966</v>
      </c>
      <c r="CB38" s="318">
        <f>CB33*CB36</f>
        <v>102.71113484294935</v>
      </c>
      <c r="CC38" s="318">
        <f>CC33*CC36</f>
        <v>107.60816494239529</v>
      </c>
      <c r="CD38" s="838">
        <f>SUM(BZ38:CC38)</f>
        <v>395.93447623689929</v>
      </c>
      <c r="CE38" s="160"/>
    </row>
    <row r="39" spans="1:83">
      <c r="A39" s="533"/>
      <c r="B39" s="138" t="s">
        <v>408</v>
      </c>
      <c r="C39" s="553"/>
      <c r="D39" s="553"/>
      <c r="E39" s="553"/>
      <c r="F39" s="554"/>
      <c r="G39" s="182"/>
      <c r="H39" s="553"/>
      <c r="I39" s="553"/>
      <c r="J39" s="553"/>
      <c r="K39" s="554"/>
      <c r="L39" s="182"/>
      <c r="M39" s="553"/>
      <c r="N39" s="553"/>
      <c r="O39" s="553"/>
      <c r="P39" s="554"/>
      <c r="Q39" s="182"/>
      <c r="R39" s="553"/>
      <c r="S39" s="553"/>
      <c r="T39" s="553"/>
      <c r="U39" s="554"/>
      <c r="V39" s="182"/>
      <c r="W39" s="553"/>
      <c r="X39" s="553"/>
      <c r="Y39" s="553"/>
      <c r="Z39" s="554"/>
      <c r="AA39" s="182"/>
      <c r="AB39" s="553"/>
      <c r="AC39" s="553"/>
      <c r="AD39" s="553"/>
      <c r="AE39" s="554"/>
      <c r="AF39" s="182"/>
      <c r="AG39" s="553"/>
      <c r="AH39" s="553"/>
      <c r="AI39" s="553"/>
      <c r="AJ39" s="554"/>
      <c r="AK39" s="182"/>
      <c r="AL39" s="553"/>
      <c r="AM39" s="553"/>
      <c r="AN39" s="553"/>
      <c r="AO39" s="554"/>
      <c r="AP39" s="182"/>
      <c r="AQ39" s="837"/>
      <c r="AR39" s="318"/>
      <c r="AS39" s="318"/>
      <c r="AT39" s="318"/>
      <c r="AU39" s="838"/>
      <c r="AV39" s="318"/>
      <c r="AW39" s="318"/>
      <c r="AX39" s="318"/>
      <c r="AY39" s="318">
        <f>AY33*AY37</f>
        <v>7.5851053124999996</v>
      </c>
      <c r="AZ39" s="838">
        <f>SUM(AV39:AY39)</f>
        <v>7.5851053124999996</v>
      </c>
      <c r="BA39" s="318">
        <f>BA33*BA37</f>
        <v>15.192480374999997</v>
      </c>
      <c r="BB39" s="318">
        <f>BB33*BB37</f>
        <v>14.899980749999999</v>
      </c>
      <c r="BC39" s="318">
        <f>BC33*BC37</f>
        <v>16.651821749999996</v>
      </c>
      <c r="BD39" s="318">
        <f>BD33*BD37</f>
        <v>17.445742218749999</v>
      </c>
      <c r="BE39" s="838">
        <f>SUM(BA39:BD39)</f>
        <v>64.190025093749995</v>
      </c>
      <c r="BF39" s="318">
        <f>BF33*BF37</f>
        <v>17.471352431249993</v>
      </c>
      <c r="BG39" s="318">
        <f>BG33*BG37</f>
        <v>17.134977862499998</v>
      </c>
      <c r="BH39" s="318">
        <f>BH33*BH37</f>
        <v>19.149595012500001</v>
      </c>
      <c r="BI39" s="318">
        <f>BI33*BI37</f>
        <v>20.062603551562496</v>
      </c>
      <c r="BJ39" s="838">
        <f>SUM(BF39:BI39)</f>
        <v>73.818528857812481</v>
      </c>
      <c r="BK39" s="318">
        <f>BK33*BK37</f>
        <v>20.092055295937495</v>
      </c>
      <c r="BL39" s="318">
        <f>BL33*BL37</f>
        <v>19.705224541874994</v>
      </c>
      <c r="BM39" s="318">
        <f>BM33*BM37</f>
        <v>22.022034264374998</v>
      </c>
      <c r="BN39" s="318">
        <f>BN33*BN37</f>
        <v>23.071994084296868</v>
      </c>
      <c r="BO39" s="838">
        <f>SUM(BK39:BN39)</f>
        <v>84.891308186484366</v>
      </c>
      <c r="BP39" s="318">
        <f>BP33*BP37</f>
        <v>23.105863590328116</v>
      </c>
      <c r="BQ39" s="318">
        <f>BQ33*BQ37</f>
        <v>22.661008223156244</v>
      </c>
      <c r="BR39" s="318">
        <f>BR33*BR37</f>
        <v>25.325339404031244</v>
      </c>
      <c r="BS39" s="318">
        <f>BS33*BS37</f>
        <v>26.532793196941398</v>
      </c>
      <c r="BT39" s="838">
        <f>SUM(BP39:BS39)</f>
        <v>97.625004414456996</v>
      </c>
      <c r="BU39" s="318">
        <f>BU33*BU37</f>
        <v>26.57174312887733</v>
      </c>
      <c r="BV39" s="318">
        <f>BV33*BV37</f>
        <v>26.060159456629677</v>
      </c>
      <c r="BW39" s="318">
        <f>BW33*BW37</f>
        <v>29.124140314635927</v>
      </c>
      <c r="BX39" s="318">
        <f>BX33*BX37</f>
        <v>30.512712176482605</v>
      </c>
      <c r="BY39" s="838">
        <f>SUM(BU39:BX39)</f>
        <v>112.26875507662554</v>
      </c>
      <c r="BZ39" s="318">
        <f>BZ33*BZ37</f>
        <v>30.557504598208929</v>
      </c>
      <c r="CA39" s="318">
        <f>CA33*CA37</f>
        <v>29.969183375124128</v>
      </c>
      <c r="CB39" s="318">
        <f>CB33*CB37</f>
        <v>33.49276136183132</v>
      </c>
      <c r="CC39" s="318">
        <f>CC33*CC37</f>
        <v>35.089619002954997</v>
      </c>
      <c r="CD39" s="838">
        <f>SUM(BZ39:CC39)</f>
        <v>129.10906833811939</v>
      </c>
      <c r="CE39" s="160"/>
    </row>
    <row r="40" spans="1:83">
      <c r="A40" s="533"/>
      <c r="B40" s="560"/>
      <c r="C40" s="553"/>
      <c r="D40" s="553"/>
      <c r="E40" s="553"/>
      <c r="F40" s="554"/>
      <c r="G40" s="182"/>
      <c r="H40" s="553"/>
      <c r="I40" s="553"/>
      <c r="J40" s="553"/>
      <c r="K40" s="554"/>
      <c r="L40" s="182"/>
      <c r="M40" s="553"/>
      <c r="N40" s="553"/>
      <c r="O40" s="553"/>
      <c r="P40" s="554"/>
      <c r="Q40" s="182"/>
      <c r="R40" s="553"/>
      <c r="S40" s="553"/>
      <c r="T40" s="553"/>
      <c r="U40" s="554"/>
      <c r="V40" s="182"/>
      <c r="W40" s="553"/>
      <c r="X40" s="553"/>
      <c r="Y40" s="553"/>
      <c r="Z40" s="554"/>
      <c r="AA40" s="182"/>
      <c r="AB40" s="553"/>
      <c r="AC40" s="553"/>
      <c r="AD40" s="553"/>
      <c r="AE40" s="554"/>
      <c r="AF40" s="182"/>
      <c r="AG40" s="553"/>
      <c r="AH40" s="553"/>
      <c r="AI40" s="553"/>
      <c r="AJ40" s="554"/>
      <c r="AK40" s="182"/>
      <c r="AL40" s="553"/>
      <c r="AM40" s="553"/>
      <c r="AN40" s="553"/>
      <c r="AO40" s="554"/>
      <c r="AP40" s="182"/>
      <c r="AQ40" s="553"/>
      <c r="AR40" s="553"/>
      <c r="AS40" s="553"/>
      <c r="AT40" s="554"/>
      <c r="AU40" s="549"/>
      <c r="AV40" s="555"/>
      <c r="AW40" s="555"/>
      <c r="AX40" s="555"/>
      <c r="AY40" s="555"/>
      <c r="AZ40" s="144"/>
      <c r="BA40" s="555"/>
      <c r="BB40" s="555"/>
      <c r="BC40" s="555"/>
      <c r="BD40" s="555"/>
      <c r="BE40" s="182"/>
      <c r="BF40" s="555"/>
      <c r="BG40" s="555"/>
      <c r="BH40" s="555"/>
      <c r="BI40" s="555"/>
      <c r="BJ40" s="182"/>
      <c r="BK40" s="555"/>
      <c r="BL40" s="555"/>
      <c r="BM40" s="555"/>
      <c r="BN40" s="555"/>
      <c r="BO40" s="182"/>
      <c r="BP40" s="555"/>
      <c r="BQ40" s="555"/>
      <c r="BR40" s="555"/>
      <c r="BS40" s="555"/>
      <c r="BT40" s="182"/>
      <c r="BU40" s="555"/>
      <c r="BV40" s="555"/>
      <c r="BW40" s="555"/>
      <c r="BX40" s="555"/>
      <c r="BY40" s="182"/>
      <c r="BZ40" s="555"/>
      <c r="CA40" s="555"/>
      <c r="CB40" s="555"/>
      <c r="CC40" s="555"/>
      <c r="CD40" s="182"/>
      <c r="CE40" s="160"/>
    </row>
    <row r="41" spans="1:83">
      <c r="A41" s="533"/>
      <c r="B41" s="816" t="s">
        <v>417</v>
      </c>
      <c r="C41" s="817"/>
      <c r="D41" s="817"/>
      <c r="E41" s="817"/>
      <c r="F41" s="818"/>
      <c r="G41" s="819"/>
      <c r="H41" s="817"/>
      <c r="I41" s="817"/>
      <c r="J41" s="817"/>
      <c r="K41" s="818"/>
      <c r="L41" s="819"/>
      <c r="M41" s="817"/>
      <c r="N41" s="817"/>
      <c r="O41" s="817"/>
      <c r="P41" s="818"/>
      <c r="Q41" s="819"/>
      <c r="R41" s="817"/>
      <c r="S41" s="817"/>
      <c r="T41" s="817"/>
      <c r="U41" s="818"/>
      <c r="V41" s="819"/>
      <c r="W41" s="817"/>
      <c r="X41" s="817"/>
      <c r="Y41" s="817"/>
      <c r="Z41" s="818"/>
      <c r="AA41" s="819"/>
      <c r="AB41" s="817"/>
      <c r="AC41" s="817"/>
      <c r="AD41" s="817"/>
      <c r="AE41" s="818"/>
      <c r="AF41" s="819"/>
      <c r="AG41" s="817"/>
      <c r="AH41" s="817"/>
      <c r="AI41" s="817"/>
      <c r="AJ41" s="818"/>
      <c r="AK41" s="819"/>
      <c r="AL41" s="817"/>
      <c r="AM41" s="817"/>
      <c r="AN41" s="817"/>
      <c r="AO41" s="818"/>
      <c r="AP41" s="819"/>
      <c r="AQ41" s="817"/>
      <c r="AR41" s="817"/>
      <c r="AS41" s="817"/>
      <c r="AT41" s="818"/>
      <c r="AU41" s="863"/>
      <c r="AV41" s="864"/>
      <c r="AW41" s="864"/>
      <c r="AX41" s="864"/>
      <c r="AY41" s="864"/>
      <c r="AZ41" s="865"/>
      <c r="BA41" s="866">
        <v>10</v>
      </c>
      <c r="BB41" s="866">
        <v>30</v>
      </c>
      <c r="BC41" s="866">
        <v>100</v>
      </c>
      <c r="BD41" s="866">
        <v>150</v>
      </c>
      <c r="BE41" s="845">
        <f>SUM(BA41:BD41)</f>
        <v>290</v>
      </c>
      <c r="BF41" s="866">
        <v>50</v>
      </c>
      <c r="BG41" s="866">
        <v>100</v>
      </c>
      <c r="BH41" s="866">
        <v>150</v>
      </c>
      <c r="BI41" s="866">
        <v>250</v>
      </c>
      <c r="BJ41" s="845">
        <f>SUM(BF41:BI41)</f>
        <v>550</v>
      </c>
      <c r="BK41" s="844">
        <f>+BK9*BK43</f>
        <v>360</v>
      </c>
      <c r="BL41" s="844">
        <f>+BL9*BL43</f>
        <v>594</v>
      </c>
      <c r="BM41" s="844">
        <f>+BM9*BM43</f>
        <v>902.4</v>
      </c>
      <c r="BN41" s="844">
        <f>+BN9*BN43</f>
        <v>1170</v>
      </c>
      <c r="BO41" s="845">
        <f>SUM(BK41:BN41)</f>
        <v>3026.4</v>
      </c>
      <c r="BP41" s="844">
        <f>+BP9*BP43</f>
        <v>1458</v>
      </c>
      <c r="BQ41" s="844">
        <f>+BQ9*BQ43</f>
        <v>2049.2999999999997</v>
      </c>
      <c r="BR41" s="844">
        <f>+BR9*BR43</f>
        <v>2842.5599999999995</v>
      </c>
      <c r="BS41" s="844">
        <f>+BS9*BS43</f>
        <v>3474.8999999999996</v>
      </c>
      <c r="BT41" s="845">
        <f>SUM(BP41:BS41)</f>
        <v>9824.7599999999984</v>
      </c>
      <c r="BU41" s="844">
        <f>+BU9*BU43</f>
        <v>3790.8000000000006</v>
      </c>
      <c r="BV41" s="844">
        <f>+BV9*BV43</f>
        <v>4749.03</v>
      </c>
      <c r="BW41" s="844">
        <f>+BW9*BW43</f>
        <v>6070.8959999999997</v>
      </c>
      <c r="BX41" s="844">
        <f>+BX9*BX43</f>
        <v>6981.39</v>
      </c>
      <c r="BY41" s="845">
        <f>SUM(BU41:BX41)</f>
        <v>21592.115999999998</v>
      </c>
      <c r="BZ41" s="844">
        <f>+BZ9*BZ43</f>
        <v>7392.0600000000022</v>
      </c>
      <c r="CA41" s="844">
        <f>+CA9*CA43</f>
        <v>8884.1610000000019</v>
      </c>
      <c r="CB41" s="844">
        <f>+CB9*CB43</f>
        <v>10980.403200000002</v>
      </c>
      <c r="CC41" s="844">
        <f>+CC9*CC43</f>
        <v>12279.033000000003</v>
      </c>
      <c r="CD41" s="845">
        <f>SUM(BZ41:CC41)</f>
        <v>39535.657200000009</v>
      </c>
      <c r="CE41" s="160"/>
    </row>
    <row r="42" spans="1:83">
      <c r="A42" s="533"/>
      <c r="B42" s="138" t="s">
        <v>21</v>
      </c>
      <c r="C42" s="553"/>
      <c r="D42" s="553"/>
      <c r="E42" s="553"/>
      <c r="F42" s="554"/>
      <c r="G42" s="182"/>
      <c r="H42" s="553"/>
      <c r="I42" s="553"/>
      <c r="J42" s="553"/>
      <c r="K42" s="554"/>
      <c r="L42" s="182"/>
      <c r="M42" s="553"/>
      <c r="N42" s="553"/>
      <c r="O42" s="553"/>
      <c r="P42" s="554"/>
      <c r="Q42" s="182"/>
      <c r="R42" s="553"/>
      <c r="S42" s="553"/>
      <c r="T42" s="553"/>
      <c r="U42" s="554"/>
      <c r="V42" s="182"/>
      <c r="W42" s="553"/>
      <c r="X42" s="553"/>
      <c r="Y42" s="553"/>
      <c r="Z42" s="554"/>
      <c r="AA42" s="182"/>
      <c r="AB42" s="553"/>
      <c r="AC42" s="553"/>
      <c r="AD42" s="553"/>
      <c r="AE42" s="554"/>
      <c r="AF42" s="182"/>
      <c r="AG42" s="553"/>
      <c r="AH42" s="553"/>
      <c r="AI42" s="553"/>
      <c r="AJ42" s="554"/>
      <c r="AK42" s="182"/>
      <c r="AL42" s="553"/>
      <c r="AM42" s="553"/>
      <c r="AN42" s="553"/>
      <c r="AO42" s="554"/>
      <c r="AP42" s="182"/>
      <c r="AQ42" s="553"/>
      <c r="AR42" s="553"/>
      <c r="AS42" s="553"/>
      <c r="AT42" s="554"/>
      <c r="AU42" s="549"/>
      <c r="AV42" s="555"/>
      <c r="AW42" s="555"/>
      <c r="AX42" s="555"/>
      <c r="AY42" s="555"/>
      <c r="AZ42" s="144"/>
      <c r="BA42" s="591" t="s">
        <v>418</v>
      </c>
      <c r="BB42" s="591" t="s">
        <v>418</v>
      </c>
      <c r="BC42" s="591" t="s">
        <v>418</v>
      </c>
      <c r="BD42" s="591" t="s">
        <v>418</v>
      </c>
      <c r="BE42" s="867" t="s">
        <v>418</v>
      </c>
      <c r="BF42" s="830">
        <f>BF41/BA41-1</f>
        <v>4</v>
      </c>
      <c r="BG42" s="830">
        <f>BG41/BB41-1</f>
        <v>2.3333333333333335</v>
      </c>
      <c r="BH42" s="830">
        <f>BH41/BC41-1</f>
        <v>0.5</v>
      </c>
      <c r="BI42" s="830">
        <f>BI41/BD41-1</f>
        <v>0.66666666666666674</v>
      </c>
      <c r="BJ42" s="785">
        <f>BJ41/BE41-1</f>
        <v>0.89655172413793105</v>
      </c>
      <c r="BK42" s="579">
        <f>+BK41/BF41-1</f>
        <v>6.2</v>
      </c>
      <c r="BL42" s="579">
        <f>+BL41/BG41-1</f>
        <v>4.9400000000000004</v>
      </c>
      <c r="BM42" s="579">
        <f>+BM41/BH41-1</f>
        <v>5.016</v>
      </c>
      <c r="BN42" s="579">
        <f>+BN41/BI41-1</f>
        <v>3.6799999999999997</v>
      </c>
      <c r="BO42" s="785">
        <f>BO41/BJ41-1</f>
        <v>4.5025454545454551</v>
      </c>
      <c r="BP42" s="579">
        <f>+BP41/BK41-1</f>
        <v>3.05</v>
      </c>
      <c r="BQ42" s="579">
        <f>+BQ41/BL41-1</f>
        <v>2.4499999999999997</v>
      </c>
      <c r="BR42" s="579">
        <f>+BR41/BM41-1</f>
        <v>2.1499999999999995</v>
      </c>
      <c r="BS42" s="579">
        <f>+BS41/BN41-1</f>
        <v>1.9699999999999998</v>
      </c>
      <c r="BT42" s="785">
        <f>BT41/BO41-1</f>
        <v>2.2463521015067403</v>
      </c>
      <c r="BU42" s="579">
        <f>+BU41/BP41-1</f>
        <v>1.6000000000000005</v>
      </c>
      <c r="BV42" s="579">
        <f>+BV41/BQ41-1</f>
        <v>1.3173913043478263</v>
      </c>
      <c r="BW42" s="579">
        <f>+BW41/BR41-1</f>
        <v>1.1357142857142861</v>
      </c>
      <c r="BX42" s="579">
        <f>+BX41/BS41-1</f>
        <v>1.0090909090909093</v>
      </c>
      <c r="BY42" s="785">
        <f>BY41/BT41-1</f>
        <v>1.1977245245685393</v>
      </c>
      <c r="BZ42" s="579">
        <f>+BZ41/BU41-1</f>
        <v>0.95000000000000018</v>
      </c>
      <c r="CA42" s="579">
        <f>+CA41/BV41-1</f>
        <v>0.87073170731707372</v>
      </c>
      <c r="CB42" s="579">
        <f>+CB41/BW41-1</f>
        <v>0.80869565217391348</v>
      </c>
      <c r="CC42" s="579">
        <f>+CC41/BX41-1</f>
        <v>0.75882352941176512</v>
      </c>
      <c r="CD42" s="785">
        <f>CD41/BY41-1</f>
        <v>0.83102282333051614</v>
      </c>
      <c r="CE42" s="237"/>
    </row>
    <row r="43" spans="1:83">
      <c r="A43" s="533"/>
      <c r="B43" s="138" t="s">
        <v>419</v>
      </c>
      <c r="C43" s="553"/>
      <c r="D43" s="553"/>
      <c r="E43" s="553"/>
      <c r="F43" s="554"/>
      <c r="G43" s="182"/>
      <c r="H43" s="553"/>
      <c r="I43" s="553"/>
      <c r="J43" s="553"/>
      <c r="K43" s="554"/>
      <c r="L43" s="182"/>
      <c r="M43" s="553"/>
      <c r="N43" s="553"/>
      <c r="O43" s="553"/>
      <c r="P43" s="554"/>
      <c r="Q43" s="182"/>
      <c r="R43" s="553"/>
      <c r="S43" s="553"/>
      <c r="T43" s="553"/>
      <c r="U43" s="554"/>
      <c r="V43" s="182"/>
      <c r="W43" s="553"/>
      <c r="X43" s="553"/>
      <c r="Y43" s="553"/>
      <c r="Z43" s="554"/>
      <c r="AA43" s="182"/>
      <c r="AB43" s="553"/>
      <c r="AC43" s="553"/>
      <c r="AD43" s="553"/>
      <c r="AE43" s="554"/>
      <c r="AF43" s="182"/>
      <c r="AG43" s="553"/>
      <c r="AH43" s="553"/>
      <c r="AI43" s="553"/>
      <c r="AJ43" s="554"/>
      <c r="AK43" s="182"/>
      <c r="AL43" s="553"/>
      <c r="AM43" s="553"/>
      <c r="AN43" s="553"/>
      <c r="AO43" s="554"/>
      <c r="AP43" s="182"/>
      <c r="AQ43" s="553"/>
      <c r="AR43" s="553"/>
      <c r="AS43" s="553"/>
      <c r="AT43" s="554"/>
      <c r="AU43" s="549"/>
      <c r="AV43" s="555"/>
      <c r="AW43" s="555"/>
      <c r="AX43" s="555"/>
      <c r="AY43" s="555"/>
      <c r="AZ43" s="144"/>
      <c r="BA43" s="831">
        <f>BA41/BA$6</f>
        <v>1.2112549812861105E-4</v>
      </c>
      <c r="BB43" s="831">
        <f t="shared" ref="BB43:BJ43" si="23">BB41/BB$6</f>
        <v>3.418297004432392E-4</v>
      </c>
      <c r="BC43" s="831">
        <f t="shared" si="23"/>
        <v>1.1249226615670173E-3</v>
      </c>
      <c r="BD43" s="831">
        <f t="shared" si="23"/>
        <v>1.4894102928180637E-3</v>
      </c>
      <c r="BE43" s="785">
        <f t="shared" si="23"/>
        <v>8.0571669889533467E-4</v>
      </c>
      <c r="BF43" s="831">
        <f>BF41/BF$9</f>
        <v>7.3529411764705881E-3</v>
      </c>
      <c r="BG43" s="831">
        <f>BG41/BG$9</f>
        <v>1.2500000000000001E-2</v>
      </c>
      <c r="BH43" s="831">
        <f>BH41/BH$9</f>
        <v>1.5957446808510637E-2</v>
      </c>
      <c r="BI43" s="831">
        <f>BI41/BI$9</f>
        <v>2.403846153846154E-2</v>
      </c>
      <c r="BJ43" s="785">
        <f t="shared" si="23"/>
        <v>1.2056697166456954E-3</v>
      </c>
      <c r="BK43" s="830">
        <v>0.03</v>
      </c>
      <c r="BL43" s="830">
        <f>+BK43+1.5%</f>
        <v>4.4999999999999998E-2</v>
      </c>
      <c r="BM43" s="830">
        <f>+BL43+1.5%</f>
        <v>0.06</v>
      </c>
      <c r="BN43" s="830">
        <f>+BM43+1.5%</f>
        <v>7.4999999999999997E-2</v>
      </c>
      <c r="BO43" s="785">
        <f>BO41/BO$9</f>
        <v>5.4197707736389683E-2</v>
      </c>
      <c r="BP43" s="830">
        <f>+BN43+1.5%</f>
        <v>0.09</v>
      </c>
      <c r="BQ43" s="830">
        <f>+BP43+2.5%</f>
        <v>0.11499999999999999</v>
      </c>
      <c r="BR43" s="830">
        <f>+BQ43+2.5%</f>
        <v>0.13999999999999999</v>
      </c>
      <c r="BS43" s="830">
        <f>+BR43+2.5%</f>
        <v>0.16499999999999998</v>
      </c>
      <c r="BT43" s="785">
        <f>BT41/BT$9</f>
        <v>0.13032951289398279</v>
      </c>
      <c r="BU43" s="830">
        <f>+BS43+1.5%</f>
        <v>0.18</v>
      </c>
      <c r="BV43" s="830">
        <f>+BU43+2.5%</f>
        <v>0.20499999999999999</v>
      </c>
      <c r="BW43" s="830">
        <f>+BV43+2.5%</f>
        <v>0.22999999999999998</v>
      </c>
      <c r="BX43" s="830">
        <f>+BW43+2.5%</f>
        <v>0.255</v>
      </c>
      <c r="BY43" s="785">
        <f>BY41/BY$9</f>
        <v>0.22032951289398281</v>
      </c>
      <c r="BZ43" s="830">
        <f>+BX43+1.5%</f>
        <v>0.27</v>
      </c>
      <c r="CA43" s="830">
        <f>+BZ43+2.5%</f>
        <v>0.29500000000000004</v>
      </c>
      <c r="CB43" s="830">
        <f>+CA43+2.5%</f>
        <v>0.32000000000000006</v>
      </c>
      <c r="CC43" s="830">
        <f>+CB43+2.5%</f>
        <v>0.34500000000000008</v>
      </c>
      <c r="CD43" s="785">
        <f>CD41/CD$9</f>
        <v>0.31032951289398292</v>
      </c>
      <c r="CE43" s="160"/>
    </row>
    <row r="44" spans="1:83" ht="13.5" thickBot="1">
      <c r="A44" s="533"/>
      <c r="B44" s="138" t="s">
        <v>268</v>
      </c>
      <c r="C44" s="553"/>
      <c r="D44" s="553"/>
      <c r="E44" s="553"/>
      <c r="F44" s="554"/>
      <c r="G44" s="182"/>
      <c r="H44" s="553"/>
      <c r="I44" s="553"/>
      <c r="J44" s="553"/>
      <c r="K44" s="554"/>
      <c r="L44" s="182"/>
      <c r="M44" s="553"/>
      <c r="N44" s="553"/>
      <c r="O44" s="553"/>
      <c r="P44" s="554"/>
      <c r="Q44" s="182"/>
      <c r="R44" s="553"/>
      <c r="S44" s="553"/>
      <c r="T44" s="553"/>
      <c r="U44" s="554"/>
      <c r="V44" s="182"/>
      <c r="W44" s="553"/>
      <c r="X44" s="553"/>
      <c r="Y44" s="553"/>
      <c r="Z44" s="554"/>
      <c r="AA44" s="182"/>
      <c r="AB44" s="553"/>
      <c r="AC44" s="553"/>
      <c r="AD44" s="553"/>
      <c r="AE44" s="554"/>
      <c r="AF44" s="182"/>
      <c r="AG44" s="553"/>
      <c r="AH44" s="553"/>
      <c r="AI44" s="553"/>
      <c r="AJ44" s="554"/>
      <c r="AK44" s="182"/>
      <c r="AL44" s="553"/>
      <c r="AM44" s="553"/>
      <c r="AN44" s="553"/>
      <c r="AO44" s="554"/>
      <c r="AP44" s="182"/>
      <c r="AQ44" s="553"/>
      <c r="AR44" s="553"/>
      <c r="AS44" s="553"/>
      <c r="AT44" s="554"/>
      <c r="AU44" s="549"/>
      <c r="AV44" s="555"/>
      <c r="AW44" s="555"/>
      <c r="AX44" s="555"/>
      <c r="AY44" s="555"/>
      <c r="AZ44" s="868"/>
      <c r="BA44" s="831"/>
      <c r="BB44" s="831"/>
      <c r="BC44" s="831"/>
      <c r="BD44" s="831"/>
      <c r="BE44" s="785"/>
      <c r="BF44" s="831">
        <f>+BF41/BF6</f>
        <v>4.9682528641977765E-4</v>
      </c>
      <c r="BG44" s="831">
        <f>+BG41/BG6</f>
        <v>9.2764378478664194E-4</v>
      </c>
      <c r="BH44" s="831">
        <f>+BH41/BH6</f>
        <v>1.3018121224744844E-3</v>
      </c>
      <c r="BI44" s="831">
        <f>+BI41/BI6</f>
        <v>1.8865788778628834E-3</v>
      </c>
      <c r="BJ44" s="785"/>
      <c r="BK44" s="831">
        <f>+BK41/BK6</f>
        <v>2.7197727478770663E-3</v>
      </c>
      <c r="BL44" s="831">
        <f>+BL41/BL6</f>
        <v>4.2259131066482358E-3</v>
      </c>
      <c r="BM44" s="831">
        <f>+BM41/BM6</f>
        <v>6.136272806943871E-3</v>
      </c>
      <c r="BN44" s="831">
        <f>+BN41/BN6</f>
        <v>6.9813964490746594E-3</v>
      </c>
      <c r="BO44" s="785"/>
      <c r="BP44" s="831">
        <f>+BP41/BP6</f>
        <v>8.9740952172329466E-3</v>
      </c>
      <c r="BQ44" s="831">
        <f>+BQ41/BQ6</f>
        <v>1.187247574750522E-2</v>
      </c>
      <c r="BR44" s="831">
        <f>+BR41/BR6</f>
        <v>1.5740439203479797E-2</v>
      </c>
      <c r="BS44" s="831">
        <f>+BS41/BS6</f>
        <v>1.6884973496540501E-2</v>
      </c>
      <c r="BT44" s="785"/>
      <c r="BU44" s="831">
        <f>+BU41/BU6</f>
        <v>1.9443872970671388E-2</v>
      </c>
      <c r="BV44" s="831">
        <f>+BV41/BV6</f>
        <v>2.2927643381957546E-2</v>
      </c>
      <c r="BW44" s="831">
        <f>+BW41/BW6</f>
        <v>2.8489051584990679E-2</v>
      </c>
      <c r="BX44" s="831">
        <f>+BX41/BX6</f>
        <v>2.8748683688254634E-2</v>
      </c>
      <c r="BY44" s="785"/>
      <c r="BZ44" s="831">
        <f>+BZ41/BZ6</f>
        <v>3.240645495111899E-2</v>
      </c>
      <c r="CA44" s="831">
        <f>+CA41/CA6</f>
        <v>3.6659375597167906E-2</v>
      </c>
      <c r="CB44" s="831">
        <f>+CB41/CB6</f>
        <v>4.4041045928488023E-2</v>
      </c>
      <c r="CC44" s="831">
        <f>+CC41/CC6</f>
        <v>4.321697547907561E-2</v>
      </c>
      <c r="CD44" s="785"/>
      <c r="CE44" s="160"/>
    </row>
    <row r="45" spans="1:83">
      <c r="A45" s="533"/>
      <c r="B45" s="138" t="s">
        <v>405</v>
      </c>
      <c r="C45" s="553"/>
      <c r="D45" s="553"/>
      <c r="E45" s="553"/>
      <c r="F45" s="554"/>
      <c r="G45" s="182"/>
      <c r="H45" s="553"/>
      <c r="I45" s="553"/>
      <c r="J45" s="553"/>
      <c r="K45" s="554"/>
      <c r="L45" s="182"/>
      <c r="M45" s="553"/>
      <c r="N45" s="553"/>
      <c r="O45" s="553"/>
      <c r="P45" s="554"/>
      <c r="Q45" s="182"/>
      <c r="R45" s="553"/>
      <c r="S45" s="553"/>
      <c r="T45" s="553"/>
      <c r="U45" s="554"/>
      <c r="V45" s="182"/>
      <c r="W45" s="553"/>
      <c r="X45" s="553"/>
      <c r="Y45" s="553"/>
      <c r="Z45" s="554"/>
      <c r="AA45" s="182"/>
      <c r="AB45" s="553"/>
      <c r="AC45" s="553"/>
      <c r="AD45" s="553"/>
      <c r="AE45" s="554"/>
      <c r="AF45" s="182"/>
      <c r="AG45" s="553"/>
      <c r="AH45" s="553"/>
      <c r="AI45" s="553"/>
      <c r="AJ45" s="554"/>
      <c r="AK45" s="182"/>
      <c r="AL45" s="553"/>
      <c r="AM45" s="553"/>
      <c r="AN45" s="553"/>
      <c r="AO45" s="554"/>
      <c r="AP45" s="182"/>
      <c r="AQ45" s="553"/>
      <c r="AR45" s="553"/>
      <c r="AS45" s="553"/>
      <c r="AT45" s="554"/>
      <c r="AU45" s="549"/>
      <c r="AV45" s="555"/>
      <c r="AW45" s="555"/>
      <c r="AX45" s="555"/>
      <c r="AY45" s="555"/>
      <c r="AZ45" s="868"/>
      <c r="BA45" s="833">
        <v>2.8000000000000001E-2</v>
      </c>
      <c r="BB45" s="834">
        <f t="shared" ref="BB45:BD46" si="24">BA45</f>
        <v>2.8000000000000001E-2</v>
      </c>
      <c r="BC45" s="834">
        <f t="shared" si="24"/>
        <v>2.8000000000000001E-2</v>
      </c>
      <c r="BD45" s="834">
        <f t="shared" si="24"/>
        <v>2.8000000000000001E-2</v>
      </c>
      <c r="BE45" s="835">
        <f>SUMPRODUCT(BA45:BD45,BA41:BD41)/SUM(BA41:BD41)</f>
        <v>2.8000000000000004E-2</v>
      </c>
      <c r="BF45" s="834">
        <f>BD45</f>
        <v>2.8000000000000001E-2</v>
      </c>
      <c r="BG45" s="834">
        <f>BF45</f>
        <v>2.8000000000000001E-2</v>
      </c>
      <c r="BH45" s="834">
        <f>BG45</f>
        <v>2.8000000000000001E-2</v>
      </c>
      <c r="BI45" s="834">
        <f>BH45</f>
        <v>2.8000000000000001E-2</v>
      </c>
      <c r="BJ45" s="835">
        <f>SUMPRODUCT(BF45:BI45,BF41:BI41)/SUM(BF41:BI41)</f>
        <v>2.8000000000000001E-2</v>
      </c>
      <c r="BK45" s="834">
        <f>+BI45</f>
        <v>2.8000000000000001E-2</v>
      </c>
      <c r="BL45" s="834">
        <f t="shared" ref="BL45:BN46" si="25">BK45</f>
        <v>2.8000000000000001E-2</v>
      </c>
      <c r="BM45" s="834">
        <f t="shared" si="25"/>
        <v>2.8000000000000001E-2</v>
      </c>
      <c r="BN45" s="834">
        <f t="shared" si="25"/>
        <v>2.8000000000000001E-2</v>
      </c>
      <c r="BO45" s="835">
        <f>SUMPRODUCT(BK45:BN45,BK41:BN41)/SUM(BK41:BN41)</f>
        <v>2.8000000000000004E-2</v>
      </c>
      <c r="BP45" s="834">
        <f>+BN45</f>
        <v>2.8000000000000001E-2</v>
      </c>
      <c r="BQ45" s="834">
        <f t="shared" ref="BQ45:BS46" si="26">BP45</f>
        <v>2.8000000000000001E-2</v>
      </c>
      <c r="BR45" s="834">
        <f t="shared" si="26"/>
        <v>2.8000000000000001E-2</v>
      </c>
      <c r="BS45" s="834">
        <f t="shared" si="26"/>
        <v>2.8000000000000001E-2</v>
      </c>
      <c r="BT45" s="835">
        <f>SUMPRODUCT(BP45:BS45,BP41:BS41)/SUM(BP41:BS41)</f>
        <v>2.7999999999999997E-2</v>
      </c>
      <c r="BU45" s="834">
        <f>+BS45</f>
        <v>2.8000000000000001E-2</v>
      </c>
      <c r="BV45" s="834">
        <f t="shared" ref="BV45:BX46" si="27">BU45</f>
        <v>2.8000000000000001E-2</v>
      </c>
      <c r="BW45" s="834">
        <f t="shared" si="27"/>
        <v>2.8000000000000001E-2</v>
      </c>
      <c r="BX45" s="834">
        <f t="shared" si="27"/>
        <v>2.8000000000000001E-2</v>
      </c>
      <c r="BY45" s="835">
        <f>SUMPRODUCT(BU45:BX45,BU41:BX41)/SUM(BU41:BX41)</f>
        <v>2.8000000000000004E-2</v>
      </c>
      <c r="BZ45" s="834">
        <f>+BX45</f>
        <v>2.8000000000000001E-2</v>
      </c>
      <c r="CA45" s="834">
        <f t="shared" ref="CA45:CC46" si="28">BZ45</f>
        <v>2.8000000000000001E-2</v>
      </c>
      <c r="CB45" s="834">
        <f t="shared" si="28"/>
        <v>2.8000000000000001E-2</v>
      </c>
      <c r="CC45" s="834">
        <f t="shared" si="28"/>
        <v>2.8000000000000001E-2</v>
      </c>
      <c r="CD45" s="835">
        <f>SUMPRODUCT(BZ45:CC45,BZ41:CC41)/SUM(BZ41:CC41)</f>
        <v>2.8000000000000001E-2</v>
      </c>
      <c r="CE45" s="160"/>
    </row>
    <row r="46" spans="1:83" ht="13.5" thickBot="1">
      <c r="A46" s="533"/>
      <c r="B46" s="138" t="s">
        <v>406</v>
      </c>
      <c r="C46" s="553"/>
      <c r="D46" s="553"/>
      <c r="E46" s="553"/>
      <c r="F46" s="554"/>
      <c r="G46" s="182"/>
      <c r="H46" s="553"/>
      <c r="I46" s="553"/>
      <c r="J46" s="553"/>
      <c r="K46" s="554"/>
      <c r="L46" s="182"/>
      <c r="M46" s="553"/>
      <c r="N46" s="553"/>
      <c r="O46" s="553"/>
      <c r="P46" s="554"/>
      <c r="Q46" s="182"/>
      <c r="R46" s="553"/>
      <c r="S46" s="553"/>
      <c r="T46" s="553"/>
      <c r="U46" s="554"/>
      <c r="V46" s="182"/>
      <c r="W46" s="553"/>
      <c r="X46" s="553"/>
      <c r="Y46" s="553"/>
      <c r="Z46" s="554"/>
      <c r="AA46" s="182"/>
      <c r="AB46" s="553"/>
      <c r="AC46" s="553"/>
      <c r="AD46" s="553"/>
      <c r="AE46" s="554"/>
      <c r="AF46" s="182"/>
      <c r="AG46" s="553"/>
      <c r="AH46" s="553"/>
      <c r="AI46" s="553"/>
      <c r="AJ46" s="554"/>
      <c r="AK46" s="182"/>
      <c r="AL46" s="553"/>
      <c r="AM46" s="553"/>
      <c r="AN46" s="553"/>
      <c r="AO46" s="554"/>
      <c r="AP46" s="182"/>
      <c r="AQ46" s="553"/>
      <c r="AR46" s="553"/>
      <c r="AS46" s="553"/>
      <c r="AT46" s="554"/>
      <c r="AU46" s="549"/>
      <c r="AV46" s="555"/>
      <c r="AW46" s="555"/>
      <c r="AX46" s="555"/>
      <c r="AY46" s="555"/>
      <c r="AZ46" s="868"/>
      <c r="BA46" s="836">
        <v>8.0000000000000002E-3</v>
      </c>
      <c r="BB46" s="834">
        <f t="shared" si="24"/>
        <v>8.0000000000000002E-3</v>
      </c>
      <c r="BC46" s="834">
        <f t="shared" si="24"/>
        <v>8.0000000000000002E-3</v>
      </c>
      <c r="BD46" s="834">
        <f t="shared" si="24"/>
        <v>8.0000000000000002E-3</v>
      </c>
      <c r="BE46" s="835">
        <f>SUMPRODUCT(BA46:BD46,BA41:BD41)/SUM(BA41:BD41)</f>
        <v>8.0000000000000002E-3</v>
      </c>
      <c r="BF46" s="834">
        <f>BD46</f>
        <v>8.0000000000000002E-3</v>
      </c>
      <c r="BG46" s="834">
        <f>BE46</f>
        <v>8.0000000000000002E-3</v>
      </c>
      <c r="BH46" s="834">
        <f>BG46</f>
        <v>8.0000000000000002E-3</v>
      </c>
      <c r="BI46" s="834">
        <f>BH46</f>
        <v>8.0000000000000002E-3</v>
      </c>
      <c r="BJ46" s="835">
        <f>SUMPRODUCT(BF46:BI46,BF41:BI41)/SUM(BF41:BI41)</f>
        <v>8.0000000000000002E-3</v>
      </c>
      <c r="BK46" s="834">
        <f>BI46</f>
        <v>8.0000000000000002E-3</v>
      </c>
      <c r="BL46" s="834">
        <f t="shared" si="25"/>
        <v>8.0000000000000002E-3</v>
      </c>
      <c r="BM46" s="834">
        <f t="shared" si="25"/>
        <v>8.0000000000000002E-3</v>
      </c>
      <c r="BN46" s="834">
        <f t="shared" si="25"/>
        <v>8.0000000000000002E-3</v>
      </c>
      <c r="BO46" s="835">
        <f>SUMPRODUCT(BK46:BN46,BK41:BN41)/SUM(BK41:BN41)</f>
        <v>7.9999999999999984E-3</v>
      </c>
      <c r="BP46" s="834">
        <f>BN46</f>
        <v>8.0000000000000002E-3</v>
      </c>
      <c r="BQ46" s="834">
        <f t="shared" si="26"/>
        <v>8.0000000000000002E-3</v>
      </c>
      <c r="BR46" s="834">
        <f t="shared" si="26"/>
        <v>8.0000000000000002E-3</v>
      </c>
      <c r="BS46" s="834">
        <f t="shared" si="26"/>
        <v>8.0000000000000002E-3</v>
      </c>
      <c r="BT46" s="835">
        <f>SUMPRODUCT(BP46:BS46,BP41:BS41)/SUM(BP41:BS41)</f>
        <v>8.0000000000000002E-3</v>
      </c>
      <c r="BU46" s="834">
        <f>BS46</f>
        <v>8.0000000000000002E-3</v>
      </c>
      <c r="BV46" s="834">
        <f t="shared" si="27"/>
        <v>8.0000000000000002E-3</v>
      </c>
      <c r="BW46" s="834">
        <f t="shared" si="27"/>
        <v>8.0000000000000002E-3</v>
      </c>
      <c r="BX46" s="834">
        <f t="shared" si="27"/>
        <v>8.0000000000000002E-3</v>
      </c>
      <c r="BY46" s="835">
        <f>SUMPRODUCT(BU46:BX46,BU41:BX41)/SUM(BU41:BX41)</f>
        <v>8.0000000000000002E-3</v>
      </c>
      <c r="BZ46" s="834">
        <f>BX46</f>
        <v>8.0000000000000002E-3</v>
      </c>
      <c r="CA46" s="834">
        <f t="shared" si="28"/>
        <v>8.0000000000000002E-3</v>
      </c>
      <c r="CB46" s="834">
        <f t="shared" si="28"/>
        <v>8.0000000000000002E-3</v>
      </c>
      <c r="CC46" s="834">
        <f t="shared" si="28"/>
        <v>8.0000000000000002E-3</v>
      </c>
      <c r="CD46" s="835">
        <f>SUMPRODUCT(BZ46:CC46,BZ41:CC41)/SUM(BZ41:CC41)</f>
        <v>8.0000000000000019E-3</v>
      </c>
      <c r="CE46" s="160"/>
    </row>
    <row r="47" spans="1:83">
      <c r="A47" s="533"/>
      <c r="B47" s="138" t="s">
        <v>407</v>
      </c>
      <c r="C47" s="553"/>
      <c r="D47" s="553"/>
      <c r="E47" s="553"/>
      <c r="F47" s="554"/>
      <c r="G47" s="182"/>
      <c r="H47" s="553"/>
      <c r="I47" s="553"/>
      <c r="J47" s="553"/>
      <c r="K47" s="554"/>
      <c r="L47" s="182"/>
      <c r="M47" s="553"/>
      <c r="N47" s="553"/>
      <c r="O47" s="553"/>
      <c r="P47" s="554"/>
      <c r="Q47" s="182"/>
      <c r="R47" s="553"/>
      <c r="S47" s="553"/>
      <c r="T47" s="553"/>
      <c r="U47" s="554"/>
      <c r="V47" s="182"/>
      <c r="W47" s="553"/>
      <c r="X47" s="553"/>
      <c r="Y47" s="553"/>
      <c r="Z47" s="554"/>
      <c r="AA47" s="182"/>
      <c r="AB47" s="553"/>
      <c r="AC47" s="553"/>
      <c r="AD47" s="553"/>
      <c r="AE47" s="554"/>
      <c r="AF47" s="182"/>
      <c r="AG47" s="553"/>
      <c r="AH47" s="553"/>
      <c r="AI47" s="553"/>
      <c r="AJ47" s="554"/>
      <c r="AK47" s="182"/>
      <c r="AL47" s="553"/>
      <c r="AM47" s="553"/>
      <c r="AN47" s="553"/>
      <c r="AO47" s="554"/>
      <c r="AP47" s="182"/>
      <c r="AQ47" s="837"/>
      <c r="AR47" s="318"/>
      <c r="AS47" s="318"/>
      <c r="AT47" s="318"/>
      <c r="AU47" s="838"/>
      <c r="AV47" s="318"/>
      <c r="AW47" s="318"/>
      <c r="AX47" s="318"/>
      <c r="AY47" s="318"/>
      <c r="AZ47" s="838"/>
      <c r="BA47" s="318">
        <f t="shared" ref="BA47:BN47" si="29">BA41*BA45</f>
        <v>0.28000000000000003</v>
      </c>
      <c r="BB47" s="318">
        <f t="shared" si="29"/>
        <v>0.84</v>
      </c>
      <c r="BC47" s="318">
        <f t="shared" si="29"/>
        <v>2.8000000000000003</v>
      </c>
      <c r="BD47" s="318">
        <f t="shared" si="29"/>
        <v>4.2</v>
      </c>
      <c r="BE47" s="838">
        <f>SUM(BA47:BD47)</f>
        <v>8.120000000000001</v>
      </c>
      <c r="BF47" s="318">
        <f t="shared" si="29"/>
        <v>1.4000000000000001</v>
      </c>
      <c r="BG47" s="318">
        <f>BG41*BG45</f>
        <v>2.8000000000000003</v>
      </c>
      <c r="BH47" s="318">
        <f t="shared" si="29"/>
        <v>4.2</v>
      </c>
      <c r="BI47" s="318">
        <f t="shared" si="29"/>
        <v>7</v>
      </c>
      <c r="BJ47" s="838">
        <f>SUM(BF47:BI47)</f>
        <v>15.4</v>
      </c>
      <c r="BK47" s="318">
        <f t="shared" si="29"/>
        <v>10.08</v>
      </c>
      <c r="BL47" s="318">
        <f t="shared" si="29"/>
        <v>16.632000000000001</v>
      </c>
      <c r="BM47" s="318">
        <f t="shared" si="29"/>
        <v>25.267199999999999</v>
      </c>
      <c r="BN47" s="318">
        <f t="shared" si="29"/>
        <v>32.76</v>
      </c>
      <c r="BO47" s="838">
        <f>SUM(BK47:BN47)</f>
        <v>84.739200000000011</v>
      </c>
      <c r="BP47" s="318">
        <f>BP41*BP45</f>
        <v>40.823999999999998</v>
      </c>
      <c r="BQ47" s="318">
        <f>BQ41*BQ45</f>
        <v>57.380399999999995</v>
      </c>
      <c r="BR47" s="318">
        <f>BR41*BR45</f>
        <v>79.591679999999982</v>
      </c>
      <c r="BS47" s="318">
        <f>BS41*BS45</f>
        <v>97.297199999999989</v>
      </c>
      <c r="BT47" s="838">
        <f>SUM(BP47:BS47)</f>
        <v>275.09327999999994</v>
      </c>
      <c r="BU47" s="318">
        <f>BU41*BU45</f>
        <v>106.14240000000002</v>
      </c>
      <c r="BV47" s="318">
        <f>BV41*BV45</f>
        <v>132.97283999999999</v>
      </c>
      <c r="BW47" s="318">
        <f>BW41*BW45</f>
        <v>169.98508799999999</v>
      </c>
      <c r="BX47" s="318">
        <f>BX41*BX45</f>
        <v>195.47892000000002</v>
      </c>
      <c r="BY47" s="838">
        <f>SUM(BU47:BX47)</f>
        <v>604.57924800000001</v>
      </c>
      <c r="BZ47" s="318">
        <f>BZ41*BZ45</f>
        <v>206.97768000000008</v>
      </c>
      <c r="CA47" s="318">
        <f>CA41*CA45</f>
        <v>248.75650800000005</v>
      </c>
      <c r="CB47" s="318">
        <f>CB41*CB45</f>
        <v>307.45128960000005</v>
      </c>
      <c r="CC47" s="318">
        <f>CC41*CC45</f>
        <v>343.81292400000007</v>
      </c>
      <c r="CD47" s="838">
        <f>SUM(BZ47:CC47)</f>
        <v>1106.9984016000003</v>
      </c>
      <c r="CE47" s="160"/>
    </row>
    <row r="48" spans="1:83">
      <c r="A48" s="533"/>
      <c r="B48" s="138" t="s">
        <v>408</v>
      </c>
      <c r="C48" s="553"/>
      <c r="D48" s="553"/>
      <c r="E48" s="553"/>
      <c r="F48" s="554"/>
      <c r="G48" s="182"/>
      <c r="H48" s="553"/>
      <c r="I48" s="553"/>
      <c r="J48" s="553"/>
      <c r="K48" s="554"/>
      <c r="L48" s="182"/>
      <c r="M48" s="553"/>
      <c r="N48" s="553"/>
      <c r="O48" s="553"/>
      <c r="P48" s="554"/>
      <c r="Q48" s="182"/>
      <c r="R48" s="553"/>
      <c r="S48" s="553"/>
      <c r="T48" s="553"/>
      <c r="U48" s="554"/>
      <c r="V48" s="182"/>
      <c r="W48" s="553"/>
      <c r="X48" s="553"/>
      <c r="Y48" s="553"/>
      <c r="Z48" s="554"/>
      <c r="AA48" s="182"/>
      <c r="AB48" s="553"/>
      <c r="AC48" s="553"/>
      <c r="AD48" s="553"/>
      <c r="AE48" s="554"/>
      <c r="AF48" s="182"/>
      <c r="AG48" s="553"/>
      <c r="AH48" s="553"/>
      <c r="AI48" s="553"/>
      <c r="AJ48" s="554"/>
      <c r="AK48" s="182"/>
      <c r="AL48" s="553"/>
      <c r="AM48" s="553"/>
      <c r="AN48" s="553"/>
      <c r="AO48" s="554"/>
      <c r="AP48" s="182"/>
      <c r="AQ48" s="837"/>
      <c r="AR48" s="318"/>
      <c r="AS48" s="318"/>
      <c r="AT48" s="318"/>
      <c r="AU48" s="838"/>
      <c r="AV48" s="318"/>
      <c r="AW48" s="318"/>
      <c r="AX48" s="318"/>
      <c r="AY48" s="318"/>
      <c r="AZ48" s="838"/>
      <c r="BA48" s="318">
        <f>BA41*BA46</f>
        <v>0.08</v>
      </c>
      <c r="BB48" s="318">
        <f>BB41*BB46</f>
        <v>0.24</v>
      </c>
      <c r="BC48" s="318">
        <f>BC41*BC46</f>
        <v>0.8</v>
      </c>
      <c r="BD48" s="318">
        <f>BD41*BD46</f>
        <v>1.2</v>
      </c>
      <c r="BE48" s="838">
        <f>SUM(BA48:BD48)</f>
        <v>2.3200000000000003</v>
      </c>
      <c r="BF48" s="318">
        <f>BF41*BF46</f>
        <v>0.4</v>
      </c>
      <c r="BG48" s="318">
        <f>BG41*BG46</f>
        <v>0.8</v>
      </c>
      <c r="BH48" s="318">
        <f>BH41*BH46</f>
        <v>1.2</v>
      </c>
      <c r="BI48" s="318">
        <f>BI41*BI46</f>
        <v>2</v>
      </c>
      <c r="BJ48" s="838">
        <f>SUM(BF48:BI48)</f>
        <v>4.4000000000000004</v>
      </c>
      <c r="BK48" s="318">
        <f>BK41*BK46</f>
        <v>2.88</v>
      </c>
      <c r="BL48" s="318">
        <f>BL41*BL46</f>
        <v>4.7519999999999998</v>
      </c>
      <c r="BM48" s="318">
        <f>BM41*BM46</f>
        <v>7.2191999999999998</v>
      </c>
      <c r="BN48" s="318">
        <f>BN41*BN46</f>
        <v>9.36</v>
      </c>
      <c r="BO48" s="838">
        <f>SUM(BK48:BN48)</f>
        <v>24.211199999999998</v>
      </c>
      <c r="BP48" s="318">
        <f>BP41*BP46</f>
        <v>11.664</v>
      </c>
      <c r="BQ48" s="318">
        <f>BQ41*BQ46</f>
        <v>16.394399999999997</v>
      </c>
      <c r="BR48" s="318">
        <f>BR41*BR46</f>
        <v>22.740479999999998</v>
      </c>
      <c r="BS48" s="318">
        <f>BS41*BS46</f>
        <v>27.799199999999999</v>
      </c>
      <c r="BT48" s="838">
        <f>SUM(BP48:BS48)</f>
        <v>78.598079999999996</v>
      </c>
      <c r="BU48" s="318">
        <f>BU41*BU46</f>
        <v>30.326400000000007</v>
      </c>
      <c r="BV48" s="318">
        <f>BV41*BV46</f>
        <v>37.992239999999995</v>
      </c>
      <c r="BW48" s="318">
        <f>BW41*BW46</f>
        <v>48.567168000000002</v>
      </c>
      <c r="BX48" s="318">
        <f>BX41*BX46</f>
        <v>55.851120000000002</v>
      </c>
      <c r="BY48" s="838">
        <f>SUM(BU48:BX48)</f>
        <v>172.73692800000001</v>
      </c>
      <c r="BZ48" s="318">
        <f>BZ41*BZ46</f>
        <v>59.13648000000002</v>
      </c>
      <c r="CA48" s="318">
        <f>CA41*CA46</f>
        <v>71.073288000000019</v>
      </c>
      <c r="CB48" s="318">
        <f>CB41*CB46</f>
        <v>87.843225600000025</v>
      </c>
      <c r="CC48" s="318">
        <f>CC41*CC46</f>
        <v>98.232264000000029</v>
      </c>
      <c r="CD48" s="838">
        <f>SUM(BZ48:CC48)</f>
        <v>316.28525760000014</v>
      </c>
      <c r="CE48" s="160"/>
    </row>
    <row r="49" spans="1:83">
      <c r="A49" s="533"/>
      <c r="B49" s="560"/>
      <c r="C49" s="553"/>
      <c r="D49" s="553"/>
      <c r="E49" s="553"/>
      <c r="F49" s="554"/>
      <c r="G49" s="182"/>
      <c r="H49" s="553"/>
      <c r="I49" s="553"/>
      <c r="J49" s="553"/>
      <c r="K49" s="554"/>
      <c r="L49" s="182"/>
      <c r="M49" s="553"/>
      <c r="N49" s="553"/>
      <c r="O49" s="553"/>
      <c r="P49" s="554"/>
      <c r="Q49" s="182"/>
      <c r="R49" s="553"/>
      <c r="S49" s="553"/>
      <c r="T49" s="553"/>
      <c r="U49" s="554"/>
      <c r="V49" s="182"/>
      <c r="W49" s="553"/>
      <c r="X49" s="553"/>
      <c r="Y49" s="553"/>
      <c r="Z49" s="554"/>
      <c r="AA49" s="182"/>
      <c r="AB49" s="553"/>
      <c r="AC49" s="553"/>
      <c r="AD49" s="553"/>
      <c r="AE49" s="554"/>
      <c r="AF49" s="182"/>
      <c r="AG49" s="553"/>
      <c r="AH49" s="553"/>
      <c r="AI49" s="553"/>
      <c r="AJ49" s="554"/>
      <c r="AK49" s="182"/>
      <c r="AL49" s="553"/>
      <c r="AM49" s="553"/>
      <c r="AN49" s="553"/>
      <c r="AO49" s="554"/>
      <c r="AP49" s="182"/>
      <c r="AQ49" s="553"/>
      <c r="AR49" s="553"/>
      <c r="AS49" s="553"/>
      <c r="AT49" s="554"/>
      <c r="AU49" s="549"/>
      <c r="AV49" s="555"/>
      <c r="AW49" s="555"/>
      <c r="AX49" s="555"/>
      <c r="AY49" s="555"/>
      <c r="AZ49" s="144"/>
      <c r="BA49" s="555"/>
      <c r="BB49" s="555"/>
      <c r="BC49" s="555"/>
      <c r="BD49" s="555"/>
      <c r="BE49" s="182"/>
      <c r="BF49" s="555"/>
      <c r="BG49" s="555"/>
      <c r="BH49" s="555"/>
      <c r="BI49" s="555"/>
      <c r="BJ49" s="182"/>
      <c r="BK49" s="555"/>
      <c r="BL49" s="555"/>
      <c r="BM49" s="555"/>
      <c r="BN49" s="555"/>
      <c r="BO49" s="182"/>
      <c r="BP49" s="555"/>
      <c r="BQ49" s="555"/>
      <c r="BR49" s="555"/>
      <c r="BS49" s="555"/>
      <c r="BT49" s="182"/>
      <c r="BU49" s="555"/>
      <c r="BV49" s="555"/>
      <c r="BW49" s="555"/>
      <c r="BX49" s="555"/>
      <c r="BY49" s="182"/>
      <c r="BZ49" s="555"/>
      <c r="CA49" s="555"/>
      <c r="CB49" s="555"/>
      <c r="CC49" s="555"/>
      <c r="CD49" s="182"/>
      <c r="CE49" s="160"/>
    </row>
    <row r="50" spans="1:83">
      <c r="A50" s="533"/>
      <c r="B50" s="816" t="s">
        <v>420</v>
      </c>
      <c r="C50" s="817"/>
      <c r="D50" s="817"/>
      <c r="E50" s="817"/>
      <c r="F50" s="818"/>
      <c r="G50" s="819"/>
      <c r="H50" s="817"/>
      <c r="I50" s="817"/>
      <c r="J50" s="817"/>
      <c r="K50" s="818"/>
      <c r="L50" s="819"/>
      <c r="M50" s="817"/>
      <c r="N50" s="817"/>
      <c r="O50" s="817"/>
      <c r="P50" s="818"/>
      <c r="Q50" s="819"/>
      <c r="R50" s="817"/>
      <c r="S50" s="817"/>
      <c r="T50" s="817"/>
      <c r="U50" s="818"/>
      <c r="V50" s="819"/>
      <c r="W50" s="817"/>
      <c r="X50" s="817"/>
      <c r="Y50" s="817"/>
      <c r="Z50" s="818"/>
      <c r="AA50" s="819"/>
      <c r="AB50" s="817"/>
      <c r="AC50" s="817"/>
      <c r="AD50" s="817"/>
      <c r="AE50" s="818"/>
      <c r="AF50" s="819"/>
      <c r="AG50" s="817"/>
      <c r="AH50" s="817"/>
      <c r="AI50" s="817"/>
      <c r="AJ50" s="818"/>
      <c r="AK50" s="869">
        <f>AK6-AK9-AK41-AK25</f>
        <v>150066</v>
      </c>
      <c r="AL50" s="844"/>
      <c r="AM50" s="844"/>
      <c r="AN50" s="844"/>
      <c r="AO50" s="844"/>
      <c r="AP50" s="869">
        <f>AP6-AP9-AP41-AP25</f>
        <v>185606</v>
      </c>
      <c r="AQ50" s="844">
        <f>AQ6-AQ9-AQ41-AQ25</f>
        <v>52862</v>
      </c>
      <c r="AR50" s="844">
        <f>AR6-AR9-AR41-AR25</f>
        <v>55268</v>
      </c>
      <c r="AS50" s="844">
        <f>AS6-AS9-AS41-AS25</f>
        <v>55984</v>
      </c>
      <c r="AT50" s="844">
        <f>AT6-AT9-AT41-AT25</f>
        <v>62920.62</v>
      </c>
      <c r="AU50" s="869">
        <f>AU6-AU9-AU41-AU25-AU33</f>
        <v>220175.223318</v>
      </c>
      <c r="AV50" s="870">
        <f>AV6-AV9-AV41-AV25</f>
        <v>58721</v>
      </c>
      <c r="AW50" s="870">
        <f>AW6-AW9-AW41-AW25</f>
        <v>62358.039999999994</v>
      </c>
      <c r="AX50" s="870">
        <f>AX6-AX9-AX41-AX25</f>
        <v>65207</v>
      </c>
      <c r="AY50" s="870">
        <f t="shared" ref="AY50:CD50" si="30">AY6-AY9-AY41-AY25-AY33</f>
        <v>75108.212625</v>
      </c>
      <c r="AZ50" s="869">
        <f t="shared" si="30"/>
        <v>264510.25262499996</v>
      </c>
      <c r="BA50" s="870">
        <f t="shared" si="30"/>
        <v>71323.335949999993</v>
      </c>
      <c r="BB50" s="870">
        <f t="shared" si="30"/>
        <v>75196.335900000005</v>
      </c>
      <c r="BC50" s="870">
        <f t="shared" si="30"/>
        <v>74474.757100000003</v>
      </c>
      <c r="BD50" s="870">
        <f t="shared" si="30"/>
        <v>84984.901037500007</v>
      </c>
      <c r="BE50" s="869">
        <f t="shared" si="30"/>
        <v>305979.32998749998</v>
      </c>
      <c r="BF50" s="870">
        <f>BF6-BF9-BF41-BF25-BF33</f>
        <v>81559.486342500008</v>
      </c>
      <c r="BG50" s="870">
        <f>BG6-BG9-BG41-BG25-BG33</f>
        <v>86442.836284999998</v>
      </c>
      <c r="BH50" s="870">
        <f t="shared" si="30"/>
        <v>91960.720665000001</v>
      </c>
      <c r="BI50" s="870">
        <f t="shared" si="30"/>
        <v>108097.48619312501</v>
      </c>
      <c r="BJ50" s="869">
        <f t="shared" si="30"/>
        <v>368060.52948562498</v>
      </c>
      <c r="BK50" s="870">
        <f t="shared" si="30"/>
        <v>103465.05929387501</v>
      </c>
      <c r="BL50" s="870">
        <f t="shared" si="30"/>
        <v>109327.09959944336</v>
      </c>
      <c r="BM50" s="870">
        <f t="shared" si="30"/>
        <v>113673.28329917596</v>
      </c>
      <c r="BN50" s="870">
        <f t="shared" si="30"/>
        <v>133321.73219459452</v>
      </c>
      <c r="BO50" s="869">
        <f t="shared" si="30"/>
        <v>459787.1743870888</v>
      </c>
      <c r="BP50" s="870">
        <f t="shared" si="30"/>
        <v>124403.85026747821</v>
      </c>
      <c r="BQ50" s="870">
        <f t="shared" si="30"/>
        <v>131202.46139335196</v>
      </c>
      <c r="BR50" s="870">
        <f t="shared" si="30"/>
        <v>135931.35224773758</v>
      </c>
      <c r="BS50" s="870">
        <f t="shared" si="30"/>
        <v>159700.45037343877</v>
      </c>
      <c r="BT50" s="869">
        <f t="shared" si="30"/>
        <v>551238.1142820064</v>
      </c>
      <c r="BU50" s="870">
        <f t="shared" si="30"/>
        <v>145777.45941157601</v>
      </c>
      <c r="BV50" s="870">
        <f t="shared" si="30"/>
        <v>153522.15706017672</v>
      </c>
      <c r="BW50" s="870">
        <f t="shared" si="30"/>
        <v>154984.44180994641</v>
      </c>
      <c r="BX50" s="870">
        <f t="shared" si="30"/>
        <v>182783.9483634455</v>
      </c>
      <c r="BY50" s="869">
        <f t="shared" si="30"/>
        <v>637068.00664514466</v>
      </c>
      <c r="BZ50" s="870">
        <f t="shared" si="30"/>
        <v>164312.16149322092</v>
      </c>
      <c r="CA50" s="870">
        <f t="shared" si="30"/>
        <v>172684.46224395777</v>
      </c>
      <c r="CB50" s="870">
        <f t="shared" si="30"/>
        <v>173447.77041180967</v>
      </c>
      <c r="CC50" s="870">
        <f t="shared" si="30"/>
        <v>205619.72886770181</v>
      </c>
      <c r="CD50" s="869">
        <f t="shared" si="30"/>
        <v>716064.12301669025</v>
      </c>
      <c r="CE50" s="160"/>
    </row>
    <row r="51" spans="1:83">
      <c r="A51" s="533"/>
      <c r="B51" s="138" t="s">
        <v>21</v>
      </c>
      <c r="C51" s="553"/>
      <c r="D51" s="553"/>
      <c r="E51" s="553"/>
      <c r="F51" s="554"/>
      <c r="G51" s="182"/>
      <c r="H51" s="553"/>
      <c r="I51" s="553"/>
      <c r="J51" s="553"/>
      <c r="K51" s="554"/>
      <c r="L51" s="182"/>
      <c r="M51" s="553"/>
      <c r="N51" s="553"/>
      <c r="O51" s="553"/>
      <c r="P51" s="554"/>
      <c r="Q51" s="182"/>
      <c r="R51" s="553"/>
      <c r="S51" s="553"/>
      <c r="T51" s="553"/>
      <c r="U51" s="554"/>
      <c r="V51" s="182"/>
      <c r="W51" s="553"/>
      <c r="X51" s="553"/>
      <c r="Y51" s="553"/>
      <c r="Z51" s="554"/>
      <c r="AA51" s="182"/>
      <c r="AB51" s="553"/>
      <c r="AC51" s="553"/>
      <c r="AD51" s="553"/>
      <c r="AE51" s="554"/>
      <c r="AF51" s="182"/>
      <c r="AG51" s="553"/>
      <c r="AH51" s="553"/>
      <c r="AI51" s="553"/>
      <c r="AJ51" s="554"/>
      <c r="AK51" s="182"/>
      <c r="AL51" s="553"/>
      <c r="AM51" s="553"/>
      <c r="AN51" s="553"/>
      <c r="AO51" s="554"/>
      <c r="AP51" s="785">
        <f>AP50/AK50-1</f>
        <v>0.23682912851678606</v>
      </c>
      <c r="AQ51" s="831"/>
      <c r="AR51" s="831"/>
      <c r="AS51" s="831"/>
      <c r="AT51" s="831"/>
      <c r="AU51" s="785">
        <f>AU50/AP50-1</f>
        <v>0.18625057012165547</v>
      </c>
      <c r="AV51" s="831">
        <f>AV50/AQ50-1</f>
        <v>0.11083576103817494</v>
      </c>
      <c r="AW51" s="831">
        <f>AW50/AR50-1</f>
        <v>0.12828472171962058</v>
      </c>
      <c r="AX51" s="831">
        <f>AX50/AS50-1</f>
        <v>0.16474349814232636</v>
      </c>
      <c r="AY51" s="831">
        <f t="shared" ref="AY51:CD51" si="31">AY50/AT50-1</f>
        <v>0.19369791055777896</v>
      </c>
      <c r="AZ51" s="406">
        <f t="shared" si="31"/>
        <v>0.20136248138586743</v>
      </c>
      <c r="BA51" s="831">
        <f t="shared" si="31"/>
        <v>0.21461378297372313</v>
      </c>
      <c r="BB51" s="831">
        <f t="shared" si="31"/>
        <v>0.20588036282089717</v>
      </c>
      <c r="BC51" s="831">
        <f t="shared" si="31"/>
        <v>0.14212825463523848</v>
      </c>
      <c r="BD51" s="831">
        <f t="shared" si="31"/>
        <v>0.13149944682896786</v>
      </c>
      <c r="BE51" s="785">
        <f t="shared" si="31"/>
        <v>0.15677682415316929</v>
      </c>
      <c r="BF51" s="831">
        <f t="shared" si="31"/>
        <v>0.14351754942696315</v>
      </c>
      <c r="BG51" s="831">
        <f t="shared" si="31"/>
        <v>0.14956181375587474</v>
      </c>
      <c r="BH51" s="831">
        <f t="shared" si="31"/>
        <v>0.23479047459692892</v>
      </c>
      <c r="BI51" s="831">
        <f t="shared" si="31"/>
        <v>0.2719610763025595</v>
      </c>
      <c r="BJ51" s="785">
        <f t="shared" si="31"/>
        <v>0.20289344218336969</v>
      </c>
      <c r="BK51" s="831">
        <f t="shared" si="31"/>
        <v>0.26858399842521052</v>
      </c>
      <c r="BL51" s="831">
        <f t="shared" si="31"/>
        <v>0.26473290671530592</v>
      </c>
      <c r="BM51" s="831">
        <f t="shared" si="31"/>
        <v>0.23610692127209165</v>
      </c>
      <c r="BN51" s="831">
        <f t="shared" si="31"/>
        <v>0.23334720250944896</v>
      </c>
      <c r="BO51" s="785">
        <f t="shared" si="31"/>
        <v>0.24921619557971719</v>
      </c>
      <c r="BP51" s="831">
        <f t="shared" si="31"/>
        <v>0.20237547937927625</v>
      </c>
      <c r="BQ51" s="831">
        <f t="shared" si="31"/>
        <v>0.20009093695942126</v>
      </c>
      <c r="BR51" s="831">
        <f t="shared" si="31"/>
        <v>0.19580739029047622</v>
      </c>
      <c r="BS51" s="831">
        <f t="shared" si="31"/>
        <v>0.19785760164248578</v>
      </c>
      <c r="BT51" s="785">
        <f t="shared" si="31"/>
        <v>0.19889841428661992</v>
      </c>
      <c r="BU51" s="831">
        <f t="shared" si="31"/>
        <v>0.17180826074227484</v>
      </c>
      <c r="BV51" s="831">
        <f t="shared" si="31"/>
        <v>0.170116440116997</v>
      </c>
      <c r="BW51" s="831">
        <f t="shared" si="31"/>
        <v>0.14016699787907783</v>
      </c>
      <c r="BX51" s="831">
        <f t="shared" si="31"/>
        <v>0.14454247271080933</v>
      </c>
      <c r="BY51" s="785">
        <f t="shared" si="31"/>
        <v>0.15570384220425804</v>
      </c>
      <c r="BZ51" s="831">
        <f t="shared" si="31"/>
        <v>0.12714381329225644</v>
      </c>
      <c r="CA51" s="831">
        <f t="shared" si="31"/>
        <v>0.12481784747376845</v>
      </c>
      <c r="CB51" s="831">
        <f t="shared" si="31"/>
        <v>0.1191302067887845</v>
      </c>
      <c r="CC51" s="831">
        <f t="shared" si="31"/>
        <v>0.12493318318548363</v>
      </c>
      <c r="CD51" s="785">
        <f t="shared" si="31"/>
        <v>0.12399950326739217</v>
      </c>
      <c r="CE51" s="160"/>
    </row>
    <row r="52" spans="1:83">
      <c r="A52" s="533"/>
      <c r="B52" s="138" t="s">
        <v>268</v>
      </c>
      <c r="C52" s="553"/>
      <c r="D52" s="553"/>
      <c r="E52" s="553"/>
      <c r="F52" s="554"/>
      <c r="G52" s="182"/>
      <c r="H52" s="553"/>
      <c r="I52" s="553"/>
      <c r="J52" s="553"/>
      <c r="K52" s="554"/>
      <c r="L52" s="182"/>
      <c r="M52" s="553"/>
      <c r="N52" s="553"/>
      <c r="O52" s="553"/>
      <c r="P52" s="554"/>
      <c r="Q52" s="182"/>
      <c r="R52" s="553"/>
      <c r="S52" s="553"/>
      <c r="T52" s="553"/>
      <c r="U52" s="554"/>
      <c r="V52" s="182"/>
      <c r="W52" s="553"/>
      <c r="X52" s="553"/>
      <c r="Y52" s="553"/>
      <c r="Z52" s="554"/>
      <c r="AA52" s="182"/>
      <c r="AB52" s="553"/>
      <c r="AC52" s="553"/>
      <c r="AD52" s="553"/>
      <c r="AE52" s="554"/>
      <c r="AF52" s="182"/>
      <c r="AG52" s="553"/>
      <c r="AH52" s="553"/>
      <c r="AI52" s="553"/>
      <c r="AJ52" s="554"/>
      <c r="AK52" s="785">
        <f>AK50/AK$6</f>
        <v>1</v>
      </c>
      <c r="AL52" s="553"/>
      <c r="AM52" s="553"/>
      <c r="AN52" s="553"/>
      <c r="AO52" s="554"/>
      <c r="AP52" s="785">
        <f>AP50/AP$6</f>
        <v>1</v>
      </c>
      <c r="AQ52" s="581">
        <f t="shared" ref="AQ52:CD52" si="32">AQ50/AQ$6</f>
        <v>0.98483493553916091</v>
      </c>
      <c r="AR52" s="581">
        <f t="shared" si="32"/>
        <v>0.97412577552171464</v>
      </c>
      <c r="AS52" s="581">
        <f t="shared" si="32"/>
        <v>0.96218891791557815</v>
      </c>
      <c r="AT52" s="581">
        <f t="shared" si="32"/>
        <v>0.95277972107391096</v>
      </c>
      <c r="AU52" s="785">
        <f t="shared" si="32"/>
        <v>0.93837331735674556</v>
      </c>
      <c r="AV52" s="831">
        <f t="shared" si="32"/>
        <v>0.93176877548753589</v>
      </c>
      <c r="AW52" s="831">
        <f t="shared" si="32"/>
        <v>0.92406923327702195</v>
      </c>
      <c r="AX52" s="831">
        <f t="shared" si="32"/>
        <v>0.91432617748923817</v>
      </c>
      <c r="AY52" s="831">
        <f t="shared" si="32"/>
        <v>0.90380752117879237</v>
      </c>
      <c r="AZ52" s="406">
        <f t="shared" si="32"/>
        <v>0.91831721031599989</v>
      </c>
      <c r="BA52" s="831">
        <f t="shared" si="32"/>
        <v>0.86390745951380221</v>
      </c>
      <c r="BB52" s="831">
        <f t="shared" si="32"/>
        <v>0.85681136583753981</v>
      </c>
      <c r="BC52" s="831">
        <f t="shared" si="32"/>
        <v>0.83778341976489124</v>
      </c>
      <c r="BD52" s="831">
        <f t="shared" si="32"/>
        <v>0.84384924226251357</v>
      </c>
      <c r="BE52" s="785">
        <f t="shared" si="32"/>
        <v>0.85011260581977499</v>
      </c>
      <c r="BF52" s="831">
        <f t="shared" si="32"/>
        <v>0.81041630324725011</v>
      </c>
      <c r="BG52" s="831">
        <f>BG50/BG$6</f>
        <v>0.80188159819109461</v>
      </c>
      <c r="BH52" s="831">
        <f t="shared" si="32"/>
        <v>0.79810387302124564</v>
      </c>
      <c r="BI52" s="831">
        <f t="shared" si="32"/>
        <v>0.81573773680809725</v>
      </c>
      <c r="BJ52" s="785">
        <f t="shared" si="32"/>
        <v>0.80683533507890559</v>
      </c>
      <c r="BK52" s="831">
        <f t="shared" si="32"/>
        <v>0.78167069062490557</v>
      </c>
      <c r="BL52" s="831">
        <f t="shared" si="32"/>
        <v>0.77778926449347607</v>
      </c>
      <c r="BM52" s="831">
        <f t="shared" si="32"/>
        <v>0.77297238163204829</v>
      </c>
      <c r="BN52" s="831">
        <f t="shared" si="32"/>
        <v>0.79553151087848273</v>
      </c>
      <c r="BO52" s="785">
        <f t="shared" si="32"/>
        <v>0.78251851506546688</v>
      </c>
      <c r="BP52" s="831">
        <f t="shared" si="32"/>
        <v>0.76571467605674881</v>
      </c>
      <c r="BQ52" s="831">
        <f t="shared" si="32"/>
        <v>0.76011225340631494</v>
      </c>
      <c r="BR52" s="831">
        <f t="shared" si="32"/>
        <v>0.75270853945116745</v>
      </c>
      <c r="BS52" s="831">
        <f t="shared" si="32"/>
        <v>0.77600445248527894</v>
      </c>
      <c r="BT52" s="785">
        <f t="shared" si="32"/>
        <v>0.76405390999611744</v>
      </c>
      <c r="BU52" s="831">
        <f t="shared" si="32"/>
        <v>0.74772565231241106</v>
      </c>
      <c r="BV52" s="831">
        <f t="shared" si="32"/>
        <v>0.74118320337092158</v>
      </c>
      <c r="BW52" s="831">
        <f t="shared" si="32"/>
        <v>0.72729952178303658</v>
      </c>
      <c r="BX52" s="831">
        <f t="shared" si="32"/>
        <v>0.75268648718821929</v>
      </c>
      <c r="BY52" s="785">
        <f t="shared" si="32"/>
        <v>0.74247738990921286</v>
      </c>
      <c r="BZ52" s="831">
        <f t="shared" si="32"/>
        <v>0.72033704533662479</v>
      </c>
      <c r="CA52" s="831">
        <f t="shared" si="32"/>
        <v>0.712560765298626</v>
      </c>
      <c r="CB52" s="831">
        <f t="shared" si="32"/>
        <v>0.69567766171831957</v>
      </c>
      <c r="CC52" s="831">
        <f t="shared" si="32"/>
        <v>0.72369402219943879</v>
      </c>
      <c r="CD52" s="785">
        <f t="shared" si="32"/>
        <v>0.71328565593608972</v>
      </c>
      <c r="CE52" s="160"/>
    </row>
    <row r="53" spans="1:83">
      <c r="A53" s="533"/>
      <c r="B53" s="871" t="s">
        <v>421</v>
      </c>
      <c r="C53" s="872"/>
      <c r="D53" s="872"/>
      <c r="E53" s="872"/>
      <c r="F53" s="873"/>
      <c r="G53" s="874"/>
      <c r="H53" s="872"/>
      <c r="I53" s="872"/>
      <c r="J53" s="872"/>
      <c r="K53" s="873"/>
      <c r="L53" s="874"/>
      <c r="M53" s="872"/>
      <c r="N53" s="872"/>
      <c r="O53" s="872"/>
      <c r="P53" s="873"/>
      <c r="Q53" s="874"/>
      <c r="R53" s="872"/>
      <c r="S53" s="872"/>
      <c r="T53" s="872"/>
      <c r="U53" s="873"/>
      <c r="V53" s="874"/>
      <c r="W53" s="872"/>
      <c r="X53" s="872"/>
      <c r="Y53" s="872"/>
      <c r="Z53" s="873"/>
      <c r="AA53" s="874"/>
      <c r="AB53" s="872"/>
      <c r="AC53" s="872"/>
      <c r="AD53" s="872"/>
      <c r="AE53" s="873"/>
      <c r="AF53" s="874"/>
      <c r="AG53" s="872"/>
      <c r="AH53" s="872"/>
      <c r="AI53" s="872"/>
      <c r="AJ53" s="873"/>
      <c r="AK53" s="875">
        <f>'Segment Detail'!AK25</f>
        <v>3.3505257686617891E-2</v>
      </c>
      <c r="AL53" s="876"/>
      <c r="AM53" s="872"/>
      <c r="AN53" s="872"/>
      <c r="AO53" s="873"/>
      <c r="AP53" s="877">
        <f>'Segment Detail'!AP25</f>
        <v>3.2283439112959708E-2</v>
      </c>
      <c r="AQ53" s="876">
        <f>AQ55/AQ50</f>
        <v>3.1345768226703492E-2</v>
      </c>
      <c r="AR53" s="876">
        <f t="shared" ref="AR53:CD53" si="33">AR55/AR50</f>
        <v>3.0433523919808931E-2</v>
      </c>
      <c r="AS53" s="876">
        <f t="shared" si="33"/>
        <v>3.0508716776221776E-2</v>
      </c>
      <c r="AT53" s="876">
        <f t="shared" si="33"/>
        <v>3.0213519192913225E-2</v>
      </c>
      <c r="AU53" s="877">
        <f t="shared" si="33"/>
        <v>3.155692659371076E-2</v>
      </c>
      <c r="AV53" s="878">
        <f t="shared" si="33"/>
        <v>3.1151547146676659E-2</v>
      </c>
      <c r="AW53" s="878">
        <f t="shared" si="33"/>
        <v>2.9998136567473899E-2</v>
      </c>
      <c r="AX53" s="878">
        <f t="shared" si="33"/>
        <v>2.9061297100004602E-2</v>
      </c>
      <c r="AY53" s="878">
        <f t="shared" si="33"/>
        <v>2.8493741703855383E-2</v>
      </c>
      <c r="AZ53" s="879">
        <f t="shared" si="33"/>
        <v>2.9431709860456307E-2</v>
      </c>
      <c r="BA53" s="878">
        <f t="shared" si="33"/>
        <v>2.880024748547954E-2</v>
      </c>
      <c r="BB53" s="878">
        <f t="shared" si="33"/>
        <v>2.8249271726815611E-2</v>
      </c>
      <c r="BC53" s="878">
        <f t="shared" si="33"/>
        <v>2.8094544981067143E-2</v>
      </c>
      <c r="BD53" s="878">
        <f t="shared" si="33"/>
        <v>2.8011737318045002E-2</v>
      </c>
      <c r="BE53" s="877">
        <f t="shared" si="33"/>
        <v>2.8274068676684555E-2</v>
      </c>
      <c r="BF53" s="878">
        <f>BF55/BF50</f>
        <v>2.8342762927295834E-2</v>
      </c>
      <c r="BG53" s="878">
        <f>BG55/BG50</f>
        <v>2.8161590238998484E-2</v>
      </c>
      <c r="BH53" s="878">
        <f t="shared" si="33"/>
        <v>2.723896199574221E-2</v>
      </c>
      <c r="BI53" s="878">
        <f t="shared" si="33"/>
        <v>2.6708018697899124E-2</v>
      </c>
      <c r="BJ53" s="877">
        <f t="shared" si="33"/>
        <v>2.7544309606730936E-2</v>
      </c>
      <c r="BK53" s="878">
        <f t="shared" si="33"/>
        <v>2.675025155978401E-2</v>
      </c>
      <c r="BL53" s="878">
        <f t="shared" si="33"/>
        <v>2.6604765119437129E-2</v>
      </c>
      <c r="BM53" s="878">
        <f t="shared" si="33"/>
        <v>2.6575853507078237E-2</v>
      </c>
      <c r="BN53" s="878">
        <f t="shared" si="33"/>
        <v>2.6003162344417453E-2</v>
      </c>
      <c r="BO53" s="877">
        <f t="shared" si="33"/>
        <v>2.6455912688145861E-2</v>
      </c>
      <c r="BP53" s="878">
        <f t="shared" si="33"/>
        <v>2.6075888288638046E-2</v>
      </c>
      <c r="BQ53" s="878">
        <f t="shared" si="33"/>
        <v>2.5961148042524949E-2</v>
      </c>
      <c r="BR53" s="878">
        <f t="shared" si="33"/>
        <v>2.6044592558309154E-2</v>
      </c>
      <c r="BS53" s="878">
        <f t="shared" si="33"/>
        <v>2.5472214720364848E-2</v>
      </c>
      <c r="BT53" s="877">
        <f t="shared" si="33"/>
        <v>2.5865969541389242E-2</v>
      </c>
      <c r="BU53" s="878">
        <f t="shared" si="33"/>
        <v>2.5575798880428085E-2</v>
      </c>
      <c r="BV53" s="878">
        <f t="shared" si="33"/>
        <v>2.5580640878949078E-2</v>
      </c>
      <c r="BW53" s="878">
        <f t="shared" si="33"/>
        <v>2.5713589807666169E-2</v>
      </c>
      <c r="BX53" s="878">
        <f t="shared" si="33"/>
        <v>2.521245619423014E-2</v>
      </c>
      <c r="BY53" s="877">
        <f t="shared" si="33"/>
        <v>2.5506238949105038E-2</v>
      </c>
      <c r="BZ53" s="878">
        <f t="shared" si="33"/>
        <v>2.542541262920036E-2</v>
      </c>
      <c r="CA53" s="878">
        <f t="shared" si="33"/>
        <v>2.55001175207312E-2</v>
      </c>
      <c r="CB53" s="878">
        <f t="shared" si="33"/>
        <v>2.5907792248387199E-2</v>
      </c>
      <c r="CC53" s="878">
        <f t="shared" si="33"/>
        <v>2.5392678395515626E-2</v>
      </c>
      <c r="CD53" s="877">
        <f t="shared" si="33"/>
        <v>2.5550872397841786E-2</v>
      </c>
      <c r="CE53" s="880" t="s">
        <v>422</v>
      </c>
    </row>
    <row r="54" spans="1:83">
      <c r="A54" s="533"/>
      <c r="B54" s="138" t="s">
        <v>423</v>
      </c>
      <c r="C54" s="553"/>
      <c r="D54" s="553"/>
      <c r="E54" s="553"/>
      <c r="F54" s="554"/>
      <c r="G54" s="182"/>
      <c r="H54" s="553"/>
      <c r="I54" s="553"/>
      <c r="J54" s="553"/>
      <c r="K54" s="554"/>
      <c r="L54" s="182"/>
      <c r="M54" s="553"/>
      <c r="N54" s="553"/>
      <c r="O54" s="553"/>
      <c r="P54" s="554"/>
      <c r="Q54" s="182"/>
      <c r="R54" s="553"/>
      <c r="S54" s="553"/>
      <c r="T54" s="553"/>
      <c r="U54" s="554"/>
      <c r="V54" s="182"/>
      <c r="W54" s="553"/>
      <c r="X54" s="553"/>
      <c r="Y54" s="553"/>
      <c r="Z54" s="554"/>
      <c r="AA54" s="182"/>
      <c r="AB54" s="553"/>
      <c r="AC54" s="553"/>
      <c r="AD54" s="553"/>
      <c r="AE54" s="554"/>
      <c r="AF54" s="182"/>
      <c r="AG54" s="553"/>
      <c r="AH54" s="553"/>
      <c r="AI54" s="553"/>
      <c r="AJ54" s="554"/>
      <c r="AK54" s="858">
        <f>'Quarterly Model'!AK20</f>
        <v>1.0115549158370317E-2</v>
      </c>
      <c r="AL54" s="553"/>
      <c r="AM54" s="553"/>
      <c r="AN54" s="553"/>
      <c r="AO54" s="554"/>
      <c r="AP54" s="184">
        <f>'Quarterly Model'!AP20</f>
        <v>9.8865338405008454E-3</v>
      </c>
      <c r="AQ54" s="186">
        <f>AQ56/AQ50</f>
        <v>9.5353562105103852E-3</v>
      </c>
      <c r="AR54" s="186">
        <f t="shared" ref="AR54:CD54" si="34">AR56/AR50</f>
        <v>9.1480784540783101E-3</v>
      </c>
      <c r="AS54" s="186">
        <f t="shared" si="34"/>
        <v>9.0722349242640752E-3</v>
      </c>
      <c r="AT54" s="186">
        <f t="shared" si="34"/>
        <v>8.7643630975028537E-3</v>
      </c>
      <c r="AU54" s="184">
        <f t="shared" si="34"/>
        <v>9.3971207514649165E-3</v>
      </c>
      <c r="AV54" s="589">
        <f t="shared" si="34"/>
        <v>8.8060489433081871E-3</v>
      </c>
      <c r="AW54" s="589">
        <f t="shared" si="34"/>
        <v>9.0786708498214515E-3</v>
      </c>
      <c r="AX54" s="589">
        <f t="shared" si="34"/>
        <v>8.7823393193982233E-3</v>
      </c>
      <c r="AY54" s="589">
        <f t="shared" si="34"/>
        <v>8.7070048910979532E-3</v>
      </c>
      <c r="AZ54" s="835">
        <f t="shared" si="34"/>
        <v>8.7326130906624257E-3</v>
      </c>
      <c r="BA54" s="589">
        <f t="shared" si="34"/>
        <v>8.680574336273738E-3</v>
      </c>
      <c r="BB54" s="589">
        <f t="shared" si="34"/>
        <v>8.8230365390715767E-3</v>
      </c>
      <c r="BC54" s="589">
        <f t="shared" si="34"/>
        <v>8.9728144712539117E-3</v>
      </c>
      <c r="BD54" s="589">
        <f t="shared" si="34"/>
        <v>9.1881528159536742E-3</v>
      </c>
      <c r="BE54" s="184">
        <f t="shared" si="34"/>
        <v>8.9276944786363371E-3</v>
      </c>
      <c r="BF54" s="589">
        <f t="shared" si="34"/>
        <v>9.4474436037152148E-3</v>
      </c>
      <c r="BG54" s="589">
        <f>BG56/BG50</f>
        <v>9.5387895350743119E-3</v>
      </c>
      <c r="BH54" s="589">
        <f t="shared" si="34"/>
        <v>9.2710278782317749E-3</v>
      </c>
      <c r="BI54" s="589">
        <f t="shared" si="34"/>
        <v>9.3718404759061714E-3</v>
      </c>
      <c r="BJ54" s="184">
        <f t="shared" si="34"/>
        <v>9.4026150426362136E-3</v>
      </c>
      <c r="BK54" s="589">
        <f t="shared" si="34"/>
        <v>9.3417811897130078E-3</v>
      </c>
      <c r="BL54" s="589">
        <f t="shared" si="34"/>
        <v>9.4479069384947531E-3</v>
      </c>
      <c r="BM54" s="589">
        <f t="shared" si="34"/>
        <v>9.6312543834907536E-3</v>
      </c>
      <c r="BN54" s="589">
        <f t="shared" si="34"/>
        <v>9.7161596147312991E-3</v>
      </c>
      <c r="BO54" s="184">
        <f t="shared" si="34"/>
        <v>9.5471383072022725E-3</v>
      </c>
      <c r="BP54" s="589">
        <f t="shared" si="34"/>
        <v>9.5903933069412979E-3</v>
      </c>
      <c r="BQ54" s="589">
        <f t="shared" si="34"/>
        <v>9.6488902926538597E-3</v>
      </c>
      <c r="BR54" s="589">
        <f t="shared" si="34"/>
        <v>9.8511930827246946E-3</v>
      </c>
      <c r="BS54" s="589">
        <f t="shared" si="34"/>
        <v>9.9271798687860773E-3</v>
      </c>
      <c r="BT54" s="184">
        <f t="shared" si="34"/>
        <v>9.766198966588556E-3</v>
      </c>
      <c r="BU54" s="589">
        <f t="shared" si="34"/>
        <v>9.8241171451184765E-3</v>
      </c>
      <c r="BV54" s="589">
        <f t="shared" si="34"/>
        <v>9.8969577907374595E-3</v>
      </c>
      <c r="BW54" s="589">
        <f t="shared" si="34"/>
        <v>1.0128860604943864E-2</v>
      </c>
      <c r="BX54" s="589">
        <f t="shared" si="34"/>
        <v>1.0195429556260177E-2</v>
      </c>
      <c r="BY54" s="184">
        <f t="shared" si="34"/>
        <v>1.0022342601931475E-2</v>
      </c>
      <c r="BZ54" s="589">
        <f t="shared" si="34"/>
        <v>1.0105199367637919E-2</v>
      </c>
      <c r="CA54" s="589">
        <f t="shared" si="34"/>
        <v>1.0189958980018175E-2</v>
      </c>
      <c r="CB54" s="589">
        <f t="shared" si="34"/>
        <v>1.0459173789879503E-2</v>
      </c>
      <c r="CC54" s="589">
        <f t="shared" si="34"/>
        <v>1.050398828334342E-2</v>
      </c>
      <c r="CD54" s="184">
        <f t="shared" si="34"/>
        <v>1.0325894143493388E-2</v>
      </c>
      <c r="CE54" s="880" t="s">
        <v>422</v>
      </c>
    </row>
    <row r="55" spans="1:83">
      <c r="A55" s="533"/>
      <c r="B55" s="138" t="s">
        <v>407</v>
      </c>
      <c r="C55" s="553"/>
      <c r="D55" s="553"/>
      <c r="E55" s="553"/>
      <c r="F55" s="554"/>
      <c r="G55" s="182"/>
      <c r="H55" s="553"/>
      <c r="I55" s="553"/>
      <c r="J55" s="553"/>
      <c r="K55" s="554"/>
      <c r="L55" s="182"/>
      <c r="M55" s="553"/>
      <c r="N55" s="553"/>
      <c r="O55" s="553"/>
      <c r="P55" s="554"/>
      <c r="Q55" s="182"/>
      <c r="R55" s="553"/>
      <c r="S55" s="553"/>
      <c r="T55" s="553"/>
      <c r="U55" s="554"/>
      <c r="V55" s="182"/>
      <c r="W55" s="553"/>
      <c r="X55" s="553"/>
      <c r="Y55" s="553"/>
      <c r="Z55" s="554"/>
      <c r="AA55" s="182"/>
      <c r="AB55" s="553"/>
      <c r="AC55" s="553"/>
      <c r="AD55" s="553"/>
      <c r="AE55" s="554"/>
      <c r="AF55" s="182"/>
      <c r="AG55" s="553"/>
      <c r="AH55" s="553"/>
      <c r="AI55" s="553"/>
      <c r="AJ55" s="554"/>
      <c r="AK55" s="881">
        <f>'Segment Detail'!AK45</f>
        <v>5028</v>
      </c>
      <c r="AL55" s="553"/>
      <c r="AM55" s="553"/>
      <c r="AN55" s="553"/>
      <c r="AO55" s="554"/>
      <c r="AP55" s="881">
        <f>'Segment Detail'!AP45</f>
        <v>5992</v>
      </c>
      <c r="AQ55" s="882">
        <f>'Segment Detail'!AQ45-AQ14-AQ30-AQ38-AQ47</f>
        <v>1657</v>
      </c>
      <c r="AR55" s="883">
        <f>'Segment Detail'!AR45-AR14-AR30-AR38-AR47</f>
        <v>1682</v>
      </c>
      <c r="AS55" s="883">
        <f>'Segment Detail'!AS45-AS14-AS30-AS38-AS47</f>
        <v>1708</v>
      </c>
      <c r="AT55" s="884">
        <f>'Segment Detail'!AT45-AT14-AT30-AT38-AT47</f>
        <v>1901.0533599999999</v>
      </c>
      <c r="AU55" s="838">
        <f>'Segment Detail'!AU45-AU14-AU30-AU38-AU47</f>
        <v>6948.0533599999999</v>
      </c>
      <c r="AV55" s="882">
        <f>'Segment Detail'!AV45-AV14-AV30-AV38-AV47</f>
        <v>1829.25</v>
      </c>
      <c r="AW55" s="883">
        <f>'Segment Detail'!AW45-AW14-AW30-AW38-AW47</f>
        <v>1870.625</v>
      </c>
      <c r="AX55" s="883">
        <f>'Segment Detail'!AX45-AX14-AX30-AX38-AX47</f>
        <v>1895</v>
      </c>
      <c r="AY55" s="884">
        <f>'Segment Detail'!AY45-AY14-AY30-AY38-AY47</f>
        <v>2140.1140103749999</v>
      </c>
      <c r="AZ55" s="838">
        <f>'Segment Detail'!AZ45-AZ14-AZ30-AZ38-AZ47</f>
        <v>7784.9890103750004</v>
      </c>
      <c r="BA55" s="883">
        <f>'Segment Detail'!BA45-BA14-BA30-BA38-BA47</f>
        <v>2054.1297268499998</v>
      </c>
      <c r="BB55" s="883">
        <f>'Segment Detail'!BB45-BB14-BB30-BB38-BB47</f>
        <v>2124.2417256999997</v>
      </c>
      <c r="BC55" s="883">
        <f>'Segment Detail'!BC45-BC14-BC30-BC38-BC47</f>
        <v>2092.3344132999996</v>
      </c>
      <c r="BD55" s="883">
        <f>'Segment Detail'!BD45-BD14-BD30-BD38-BD47</f>
        <v>2380.5747238625004</v>
      </c>
      <c r="BE55" s="838">
        <f>'Segment Detail'!BE45-BE14-BE30-BE38-BE47</f>
        <v>8651.2805897124999</v>
      </c>
      <c r="BF55" s="883">
        <f>'Segment Detail'!BF45-BF14-BF30-BF38-BF47</f>
        <v>2311.6211858775</v>
      </c>
      <c r="BG55" s="883">
        <f>'Segment Detail'!BG45-BG14-BG30-BG38-BG47</f>
        <v>2434.367734555</v>
      </c>
      <c r="BH55" s="883">
        <f>'Segment Detail'!BH45-BH14-BH30-BH38-BH47</f>
        <v>2504.9145752950003</v>
      </c>
      <c r="BI55" s="883">
        <f>'Segment Detail'!BI45-BI14-BI30-BI38-BI47</f>
        <v>2887.0696824418751</v>
      </c>
      <c r="BJ55" s="838">
        <f>'Segment Detail'!BJ45-BJ14-BJ30-BJ38-BJ47</f>
        <v>10137.973178169375</v>
      </c>
      <c r="BK55" s="883">
        <f>'Segment Detail'!BK45-BK14-BK30-BK38-BK47</f>
        <v>2767.7163637591248</v>
      </c>
      <c r="BL55" s="883">
        <f>'Segment Detail'!BL45-BL14-BL30-BL38-BL47</f>
        <v>2908.6218060324995</v>
      </c>
      <c r="BM55" s="883">
        <f>'Segment Detail'!BM45-BM14-BM30-BM38-BM47</f>
        <v>3020.9645246275036</v>
      </c>
      <c r="BN55" s="883">
        <f>'Segment Detail'!BN45-BN14-BN30-BN38-BN47</f>
        <v>3466.7866462949883</v>
      </c>
      <c r="BO55" s="838">
        <f>'Segment Detail'!BO45-BO14-BO30-BO38-BO47</f>
        <v>12164.089340714116</v>
      </c>
      <c r="BP55" s="883">
        <f>'Segment Detail'!BP45-BP14-BP30-BP38-BP47</f>
        <v>3243.9409022512159</v>
      </c>
      <c r="BQ55" s="883">
        <f>'Segment Detail'!BQ45-BQ14-BQ30-BQ38-BQ47</f>
        <v>3406.1665237764742</v>
      </c>
      <c r="BR55" s="883">
        <f>'Segment Detail'!BR45-BR14-BR30-BR38-BR47</f>
        <v>3540.2766851923266</v>
      </c>
      <c r="BS55" s="883">
        <f>'Segment Detail'!BS45-BS14-BS30-BS38-BS47</f>
        <v>4067.9241628512027</v>
      </c>
      <c r="BT55" s="838">
        <f>'Segment Detail'!BT45-BT14-BT30-BT38-BT47</f>
        <v>14258.30827407122</v>
      </c>
      <c r="BU55" s="883">
        <f>'Segment Detail'!BU45-BU14-BU30-BU38-BU47</f>
        <v>3728.3749832102362</v>
      </c>
      <c r="BV55" s="883">
        <f>'Segment Detail'!BV45-BV14-BV30-BV38-BV47</f>
        <v>3927.1951667179974</v>
      </c>
      <c r="BW55" s="883">
        <f>'Segment Detail'!BW45-BW14-BW30-BW38-BW47</f>
        <v>3985.2063632710683</v>
      </c>
      <c r="BX55" s="883">
        <f>'Segment Detail'!BX45-BX14-BX30-BX38-BX47</f>
        <v>4608.4322911217932</v>
      </c>
      <c r="BY55" s="838">
        <f>'Segment Detail'!BY45-BY14-BY30-BY38-BY47</f>
        <v>16249.208804321095</v>
      </c>
      <c r="BZ55" s="883">
        <f>'Segment Detail'!BZ45-BZ14-BZ30-BZ38-BZ47</f>
        <v>4177.7045059609482</v>
      </c>
      <c r="CA55" s="883">
        <f>'Segment Detail'!CA45-CA14-CA30-CA38-CA47</f>
        <v>4403.474081225193</v>
      </c>
      <c r="CB55" s="883">
        <f>'Segment Detail'!CB45-CB14-CB30-CB38-CB47</f>
        <v>4493.6488017751253</v>
      </c>
      <c r="CC55" s="883">
        <f>'Segment Detail'!CC45-CC14-CC30-CC38-CC47</f>
        <v>5221.2356469106726</v>
      </c>
      <c r="CD55" s="838">
        <f>'Segment Detail'!CD45-CD14-CD30-CD38-CD47</f>
        <v>18296.063035871935</v>
      </c>
      <c r="CE55" s="160"/>
    </row>
    <row r="56" spans="1:83">
      <c r="A56" s="533"/>
      <c r="B56" s="138" t="s">
        <v>408</v>
      </c>
      <c r="C56" s="553"/>
      <c r="D56" s="553"/>
      <c r="E56" s="553"/>
      <c r="F56" s="554"/>
      <c r="G56" s="182"/>
      <c r="H56" s="553"/>
      <c r="I56" s="553"/>
      <c r="J56" s="553"/>
      <c r="K56" s="554"/>
      <c r="L56" s="182"/>
      <c r="M56" s="553"/>
      <c r="N56" s="553"/>
      <c r="O56" s="553"/>
      <c r="P56" s="554"/>
      <c r="Q56" s="182"/>
      <c r="R56" s="553"/>
      <c r="S56" s="553"/>
      <c r="T56" s="553"/>
      <c r="U56" s="554"/>
      <c r="V56" s="182"/>
      <c r="W56" s="553"/>
      <c r="X56" s="553"/>
      <c r="Y56" s="553"/>
      <c r="Z56" s="554"/>
      <c r="AA56" s="182"/>
      <c r="AB56" s="553"/>
      <c r="AC56" s="553"/>
      <c r="AD56" s="553"/>
      <c r="AE56" s="554"/>
      <c r="AF56" s="182"/>
      <c r="AG56" s="553"/>
      <c r="AH56" s="553"/>
      <c r="AI56" s="553"/>
      <c r="AJ56" s="554"/>
      <c r="AK56" s="881">
        <f>'Quarterly Model'!AK18</f>
        <v>1518</v>
      </c>
      <c r="AL56" s="553"/>
      <c r="AM56" s="553"/>
      <c r="AN56" s="553"/>
      <c r="AO56" s="554"/>
      <c r="AP56" s="881">
        <f>'Quarterly Model'!AP18</f>
        <v>1835</v>
      </c>
      <c r="AQ56" s="882">
        <f>'Quarterly Model'!AQ18-AQ15-AQ31-AQ39-AQ48</f>
        <v>504.05799999999999</v>
      </c>
      <c r="AR56" s="883">
        <f>'Quarterly Model'!AR18-AR15-AR31-AR39-AR48</f>
        <v>505.596</v>
      </c>
      <c r="AS56" s="883">
        <f>'Quarterly Model'!AS18-AS15-AS31-AS39-AS48</f>
        <v>507.9</v>
      </c>
      <c r="AT56" s="884">
        <f>'Quarterly Model'!AT18-AT15-AT31-AT39-AT48</f>
        <v>551.45916</v>
      </c>
      <c r="AU56" s="838">
        <f>'Quarterly Model'!AU18-AU15-AU31-AU39-AU48</f>
        <v>2069.01316</v>
      </c>
      <c r="AV56" s="882">
        <f>'Quarterly Model'!AV18-AV15-AV31-AV39-AV48</f>
        <v>517.1</v>
      </c>
      <c r="AW56" s="883">
        <f>'Quarterly Model'!AW18-AW15-AW31-AW39-AW48</f>
        <v>566.12811999999997</v>
      </c>
      <c r="AX56" s="883">
        <f>'Quarterly Model'!AX18-AX15-AX31-AX39-AX48</f>
        <v>572.66999999999996</v>
      </c>
      <c r="AY56" s="884">
        <f>'Quarterly Model'!AY18-AY15-AY31-AY39-AY48</f>
        <v>653.96757468750002</v>
      </c>
      <c r="AZ56" s="838">
        <f>'Quarterly Model'!AZ18-AZ15-AZ31-AZ39-AZ48</f>
        <v>2309.8656946874999</v>
      </c>
      <c r="BA56" s="883">
        <f>'Quarterly Model'!BA18-BA15-BA31-BA39-BA48</f>
        <v>619.12751962499999</v>
      </c>
      <c r="BB56" s="883">
        <f>'Quarterly Model'!BB18-BB15-BB31-BB39-BB48</f>
        <v>663.46001924999985</v>
      </c>
      <c r="BC56" s="883">
        <f>'Quarterly Model'!BC18-BC15-BC31-BC39-BC48</f>
        <v>668.24817825000002</v>
      </c>
      <c r="BD56" s="883">
        <f>'Quarterly Model'!BD18-BD15-BD31-BD39-BD48</f>
        <v>780.85425778125</v>
      </c>
      <c r="BE56" s="838">
        <f>'Quarterly Model'!BE18-BE15-BE31-BE39-BE48</f>
        <v>2731.6899749062495</v>
      </c>
      <c r="BF56" s="883">
        <f>'Quarterly Model'!BF18-BF15-BF31-BF39-BF48</f>
        <v>770.5286475687501</v>
      </c>
      <c r="BG56" s="883">
        <f>'Quarterly Model'!BG18-BG15-BG31-BG39-BG48</f>
        <v>824.56002213750003</v>
      </c>
      <c r="BH56" s="883">
        <f>'Quarterly Model'!BH18-BH15-BH31-BH39-BH48</f>
        <v>852.57040498749996</v>
      </c>
      <c r="BI56" s="883">
        <f>'Quarterly Model'!BI18-BI15-BI31-BI39-BI48</f>
        <v>1013.0723964484375</v>
      </c>
      <c r="BJ56" s="838">
        <f>'Quarterly Model'!BJ18-BJ15-BJ31-BJ39-BJ48</f>
        <v>3460.7314711421873</v>
      </c>
      <c r="BK56" s="883">
        <f>'Quarterly Model'!BK18-BK15-BK31-BK39-BK48</f>
        <v>966.5479447040625</v>
      </c>
      <c r="BL56" s="883">
        <f>'Quarterly Model'!BL18-BL15-BL31-BL39-BL48</f>
        <v>1032.9122628710879</v>
      </c>
      <c r="BM56" s="883">
        <f>'Quarterly Model'!BM18-BM15-BM31-BM39-BM48</f>
        <v>1094.8163080609747</v>
      </c>
      <c r="BN56" s="883">
        <f>'Quarterly Model'!BN18-BN15-BN31-BN39-BN48</f>
        <v>1295.375230115141</v>
      </c>
      <c r="BO56" s="838">
        <f>'Quarterly Model'!BO18-BO15-BO31-BO39-BO48</f>
        <v>4389.6517457512673</v>
      </c>
      <c r="BP56" s="883">
        <f>'Quarterly Model'!BP18-BP15-BP31-BP39-BP48</f>
        <v>1193.0818529629503</v>
      </c>
      <c r="BQ56" s="883">
        <f>'Quarterly Model'!BQ18-BQ15-BQ31-BQ39-BQ48</f>
        <v>1265.9581561106065</v>
      </c>
      <c r="BR56" s="883">
        <f>'Quarterly Model'!BR18-BR15-BR31-BR39-BR48</f>
        <v>1339.0859969883263</v>
      </c>
      <c r="BS56" s="883">
        <f>'Quarterly Model'!BS18-BS15-BS31-BS39-BS48</f>
        <v>1585.3750959832714</v>
      </c>
      <c r="BT56" s="838">
        <f>'Quarterly Model'!BT18-BT15-BT31-BT39-BT48</f>
        <v>5383.5011020451548</v>
      </c>
      <c r="BU56" s="883">
        <f>'Quarterly Model'!BU18-BU15-BU31-BU39-BU48</f>
        <v>1432.1348383770767</v>
      </c>
      <c r="BV56" s="883">
        <f>'Quarterly Model'!BV18-BV15-BV31-BV39-BV48</f>
        <v>1519.4023083675359</v>
      </c>
      <c r="BW56" s="883">
        <f>'Quarterly Model'!BW18-BW15-BW31-BW39-BW48</f>
        <v>1569.8158070279808</v>
      </c>
      <c r="BX56" s="883">
        <f>'Quarterly Model'!BX18-BX15-BX31-BX39-BX48</f>
        <v>1863.5608695546061</v>
      </c>
      <c r="BY56" s="838">
        <f>'Quarterly Model'!BY18-BY15-BY31-BY39-BY48</f>
        <v>6384.9138233271979</v>
      </c>
      <c r="BZ56" s="883">
        <f>'Quarterly Model'!BZ18-BZ15-BZ31-BZ39-BZ48</f>
        <v>1660.4071504165156</v>
      </c>
      <c r="CA56" s="883">
        <f>'Quarterly Model'!CA18-CA15-CA31-CA39-CA48</f>
        <v>1759.6475867524268</v>
      </c>
      <c r="CB56" s="883">
        <f>'Quarterly Model'!CB18-CB15-CB31-CB39-CB48</f>
        <v>1814.1203742042371</v>
      </c>
      <c r="CC56" s="883">
        <f>'Quarterly Model'!CC18-CC15-CC31-CC39-CC48</f>
        <v>2159.8272228505907</v>
      </c>
      <c r="CD56" s="838">
        <f>'Quarterly Model'!CD18-CD15-CD31-CD39-CD48</f>
        <v>7394.002334223771</v>
      </c>
      <c r="CE56" s="160"/>
    </row>
    <row r="57" spans="1:83">
      <c r="A57" s="533"/>
      <c r="B57" s="138"/>
      <c r="C57" s="553"/>
      <c r="D57" s="553"/>
      <c r="E57" s="553"/>
      <c r="F57" s="554"/>
      <c r="G57" s="182"/>
      <c r="H57" s="553"/>
      <c r="I57" s="553"/>
      <c r="J57" s="553"/>
      <c r="K57" s="554"/>
      <c r="L57" s="182"/>
      <c r="M57" s="553"/>
      <c r="N57" s="553"/>
      <c r="O57" s="553"/>
      <c r="P57" s="554"/>
      <c r="Q57" s="182"/>
      <c r="R57" s="553"/>
      <c r="S57" s="553"/>
      <c r="T57" s="553"/>
      <c r="U57" s="554"/>
      <c r="V57" s="182"/>
      <c r="W57" s="553"/>
      <c r="X57" s="553"/>
      <c r="Y57" s="553"/>
      <c r="Z57" s="554"/>
      <c r="AA57" s="182"/>
      <c r="AB57" s="553"/>
      <c r="AC57" s="553"/>
      <c r="AD57" s="553"/>
      <c r="AE57" s="554"/>
      <c r="AF57" s="182"/>
      <c r="AG57" s="553"/>
      <c r="AH57" s="553"/>
      <c r="AI57" s="553"/>
      <c r="AJ57" s="554"/>
      <c r="AK57" s="182"/>
      <c r="AL57" s="553"/>
      <c r="AM57" s="553"/>
      <c r="AN57" s="553"/>
      <c r="AO57" s="554"/>
      <c r="AP57" s="182"/>
      <c r="AQ57" s="553"/>
      <c r="AR57" s="553"/>
      <c r="AS57" s="553"/>
      <c r="AT57" s="554"/>
      <c r="AU57" s="549"/>
      <c r="AV57" s="555"/>
      <c r="AW57" s="555"/>
      <c r="AX57" s="555"/>
      <c r="AY57" s="555"/>
      <c r="AZ57" s="144"/>
      <c r="BA57" s="555"/>
      <c r="BB57" s="555"/>
      <c r="BC57" s="555"/>
      <c r="BD57" s="555"/>
      <c r="BE57" s="182"/>
      <c r="BF57" s="555"/>
      <c r="BG57" s="555"/>
      <c r="BH57" s="555"/>
      <c r="BI57" s="555"/>
      <c r="BJ57" s="182"/>
      <c r="BK57" s="555"/>
      <c r="BL57" s="555"/>
      <c r="BM57" s="555"/>
      <c r="BN57" s="555"/>
      <c r="BO57" s="182"/>
      <c r="BP57" s="555"/>
      <c r="BQ57" s="555"/>
      <c r="BR57" s="555"/>
      <c r="BS57" s="555"/>
      <c r="BT57" s="182"/>
      <c r="BU57" s="555"/>
      <c r="BV57" s="555"/>
      <c r="BW57" s="555"/>
      <c r="BX57" s="555"/>
      <c r="BY57" s="182"/>
      <c r="BZ57" s="555"/>
      <c r="CA57" s="555"/>
      <c r="CB57" s="555"/>
      <c r="CC57" s="555"/>
      <c r="CD57" s="182"/>
      <c r="CE57" s="160"/>
    </row>
    <row r="58" spans="1:83" ht="13.5" thickBot="1">
      <c r="A58" s="533"/>
      <c r="B58" s="885" t="s">
        <v>424</v>
      </c>
      <c r="C58" s="886"/>
      <c r="D58" s="886"/>
      <c r="E58" s="886"/>
      <c r="F58" s="887"/>
      <c r="G58" s="888"/>
      <c r="H58" s="886"/>
      <c r="I58" s="886"/>
      <c r="J58" s="886"/>
      <c r="K58" s="887"/>
      <c r="L58" s="888"/>
      <c r="M58" s="886"/>
      <c r="N58" s="886"/>
      <c r="O58" s="886"/>
      <c r="P58" s="887"/>
      <c r="Q58" s="888"/>
      <c r="R58" s="886"/>
      <c r="S58" s="886"/>
      <c r="T58" s="886"/>
      <c r="U58" s="887"/>
      <c r="V58" s="888"/>
      <c r="W58" s="886"/>
      <c r="X58" s="886"/>
      <c r="Y58" s="886"/>
      <c r="Z58" s="887"/>
      <c r="AA58" s="888"/>
      <c r="AB58" s="886"/>
      <c r="AC58" s="886"/>
      <c r="AD58" s="886"/>
      <c r="AE58" s="887"/>
      <c r="AF58" s="888"/>
      <c r="AG58" s="886"/>
      <c r="AH58" s="886"/>
      <c r="AI58" s="886"/>
      <c r="AJ58" s="887"/>
      <c r="AK58" s="888"/>
      <c r="AL58" s="886"/>
      <c r="AM58" s="886"/>
      <c r="AN58" s="886"/>
      <c r="AO58" s="887"/>
      <c r="AP58" s="889">
        <f>SUM(AP55,AP47,AP38,AP30,AP14)/AP$6</f>
        <v>3.2283439112959708E-2</v>
      </c>
      <c r="AQ58" s="890">
        <f>SUM(AQ55,AQ47,AQ38,AQ30,AQ14)/AQ$6</f>
        <v>3.1131231835457188E-2</v>
      </c>
      <c r="AR58" s="890">
        <f t="shared" ref="AR58:CD58" si="35">SUM(AR55,AR47,AR38,AR30,AR14)/AR$6</f>
        <v>3.0139593908629442E-2</v>
      </c>
      <c r="AS58" s="890">
        <f t="shared" si="35"/>
        <v>3.0076997112608278E-2</v>
      </c>
      <c r="AT58" s="890">
        <f t="shared" si="35"/>
        <v>2.9724859552688564E-2</v>
      </c>
      <c r="AU58" s="891">
        <f t="shared" si="35"/>
        <v>3.0234193534638906E-2</v>
      </c>
      <c r="AV58" s="892">
        <f t="shared" si="35"/>
        <v>3.0323225591469511E-2</v>
      </c>
      <c r="AW58" s="892">
        <f t="shared" si="35"/>
        <v>2.9133694911235589E-2</v>
      </c>
      <c r="AX58" s="892">
        <f t="shared" si="35"/>
        <v>2.8099892031352974E-2</v>
      </c>
      <c r="AY58" s="892">
        <f t="shared" si="35"/>
        <v>2.7508363216288415E-2</v>
      </c>
      <c r="AZ58" s="893">
        <f t="shared" si="35"/>
        <v>2.8527485956714043E-2</v>
      </c>
      <c r="BA58" s="892">
        <f t="shared" si="35"/>
        <v>2.7374362577066099E-2</v>
      </c>
      <c r="BB58" s="892">
        <f t="shared" si="35"/>
        <v>2.6742476898009411E-2</v>
      </c>
      <c r="BC58" s="892">
        <f t="shared" si="35"/>
        <v>2.6289442600821195E-2</v>
      </c>
      <c r="BD58" s="892">
        <f t="shared" si="35"/>
        <v>2.6223550555550038E-2</v>
      </c>
      <c r="BE58" s="889">
        <f t="shared" si="35"/>
        <v>2.6630326065213043E-2</v>
      </c>
      <c r="BF58" s="892">
        <f t="shared" si="35"/>
        <v>2.6073391031309928E-2</v>
      </c>
      <c r="BG58" s="892">
        <f>SUM(BG55,BG47,BG38,BG30,BG14)/BG$6</f>
        <v>2.5742115027829315E-2</v>
      </c>
      <c r="BH58" s="892">
        <f t="shared" si="35"/>
        <v>2.4803860306880511E-2</v>
      </c>
      <c r="BI58" s="892">
        <f t="shared" si="35"/>
        <v>2.4480247519148776E-2</v>
      </c>
      <c r="BJ58" s="889">
        <f>SUM(BJ55,BJ47,BJ38,BJ30,BJ14)/BJ$6</f>
        <v>2.5211649838440257E-2</v>
      </c>
      <c r="BK58" s="892">
        <f t="shared" si="35"/>
        <v>2.415309298600828E-2</v>
      </c>
      <c r="BL58" s="892">
        <f t="shared" si="35"/>
        <v>2.3960040415725709E-2</v>
      </c>
      <c r="BM58" s="892">
        <f t="shared" si="35"/>
        <v>2.3718709651999206E-2</v>
      </c>
      <c r="BN58" s="892">
        <f t="shared" si="35"/>
        <v>2.3523983673254492E-2</v>
      </c>
      <c r="BO58" s="889">
        <f t="shared" si="35"/>
        <v>2.3818756201001153E-2</v>
      </c>
      <c r="BP58" s="892">
        <f t="shared" si="35"/>
        <v>2.3383998617451881E-2</v>
      </c>
      <c r="BQ58" s="892">
        <f t="shared" si="35"/>
        <v>2.321457853408912E-2</v>
      </c>
      <c r="BR58" s="892">
        <f t="shared" si="35"/>
        <v>2.304555845072636E-2</v>
      </c>
      <c r="BS58" s="892">
        <f t="shared" si="35"/>
        <v>2.2876938367363601E-2</v>
      </c>
      <c r="BT58" s="889">
        <f t="shared" si="35"/>
        <v>2.3114111021037914E-2</v>
      </c>
      <c r="BU58" s="892">
        <f t="shared" si="35"/>
        <v>2.279464328400084E-2</v>
      </c>
      <c r="BV58" s="892">
        <f t="shared" si="35"/>
        <v>2.2712448200638079E-2</v>
      </c>
      <c r="BW58" s="892">
        <f t="shared" si="35"/>
        <v>2.2512228117275317E-2</v>
      </c>
      <c r="BX58" s="892">
        <f t="shared" si="35"/>
        <v>2.2429783033912555E-2</v>
      </c>
      <c r="BY58" s="889">
        <f t="shared" si="35"/>
        <v>2.2601398263732121E-2</v>
      </c>
      <c r="BZ58" s="892">
        <f t="shared" si="35"/>
        <v>2.2389212950549797E-2</v>
      </c>
      <c r="CA58" s="892">
        <f t="shared" si="35"/>
        <v>2.2348642867187036E-2</v>
      </c>
      <c r="CB58" s="892">
        <f t="shared" si="35"/>
        <v>2.2308072783824275E-2</v>
      </c>
      <c r="CC58" s="892">
        <f t="shared" si="35"/>
        <v>2.2267502700461517E-2</v>
      </c>
      <c r="CD58" s="889">
        <f t="shared" si="35"/>
        <v>2.232482089781786E-2</v>
      </c>
      <c r="CE58" s="160"/>
    </row>
    <row r="59" spans="1:83">
      <c r="A59" s="533"/>
      <c r="B59" s="560"/>
      <c r="C59" s="553"/>
      <c r="D59" s="553"/>
      <c r="E59" s="553"/>
      <c r="F59" s="554"/>
      <c r="G59" s="182"/>
      <c r="H59" s="553"/>
      <c r="I59" s="553"/>
      <c r="J59" s="553"/>
      <c r="K59" s="554"/>
      <c r="L59" s="182"/>
      <c r="M59" s="553"/>
      <c r="N59" s="553"/>
      <c r="O59" s="553"/>
      <c r="P59" s="554"/>
      <c r="Q59" s="182"/>
      <c r="R59" s="553"/>
      <c r="S59" s="553"/>
      <c r="T59" s="553"/>
      <c r="U59" s="554"/>
      <c r="V59" s="182"/>
      <c r="W59" s="553"/>
      <c r="X59" s="553"/>
      <c r="Y59" s="553"/>
      <c r="Z59" s="554"/>
      <c r="AA59" s="182"/>
      <c r="AB59" s="553"/>
      <c r="AC59" s="553"/>
      <c r="AD59" s="553"/>
      <c r="AE59" s="554"/>
      <c r="AF59" s="182"/>
      <c r="AG59" s="553"/>
      <c r="AH59" s="553"/>
      <c r="AI59" s="553"/>
      <c r="AJ59" s="554"/>
      <c r="AK59" s="182"/>
      <c r="AL59" s="553"/>
      <c r="AM59" s="553"/>
      <c r="AN59" s="553"/>
      <c r="AO59" s="554"/>
      <c r="AP59" s="182"/>
      <c r="AQ59" s="553"/>
      <c r="AR59" s="553"/>
      <c r="AS59" s="553"/>
      <c r="AT59" s="554"/>
      <c r="AU59" s="549"/>
      <c r="AV59" s="555"/>
      <c r="AW59" s="555"/>
      <c r="AX59" s="555"/>
      <c r="AY59" s="555"/>
      <c r="AZ59" s="144"/>
      <c r="BA59" s="555"/>
      <c r="BB59" s="555"/>
      <c r="BC59" s="555"/>
      <c r="BD59" s="555"/>
      <c r="BE59" s="182"/>
      <c r="BF59" s="555"/>
      <c r="BG59" s="555"/>
      <c r="BH59" s="555"/>
      <c r="BI59" s="555"/>
      <c r="BJ59" s="182"/>
      <c r="BK59" s="555"/>
      <c r="BL59" s="555"/>
      <c r="BM59" s="555"/>
      <c r="BN59" s="555"/>
      <c r="BO59" s="182"/>
      <c r="BP59" s="555"/>
      <c r="BQ59" s="555"/>
      <c r="BR59" s="555"/>
      <c r="BS59" s="555"/>
      <c r="BT59" s="182"/>
      <c r="BU59" s="555"/>
      <c r="BV59" s="555"/>
      <c r="BW59" s="555"/>
      <c r="BX59" s="555"/>
      <c r="BY59" s="182"/>
      <c r="BZ59" s="555"/>
      <c r="CA59" s="555"/>
      <c r="CB59" s="555"/>
      <c r="CC59" s="555"/>
      <c r="CD59" s="182"/>
      <c r="CE59" s="160"/>
    </row>
    <row r="60" spans="1:83" ht="13.5" thickBot="1">
      <c r="A60" s="533"/>
      <c r="B60" s="885" t="s">
        <v>425</v>
      </c>
      <c r="C60" s="886"/>
      <c r="D60" s="886"/>
      <c r="E60" s="886"/>
      <c r="F60" s="887"/>
      <c r="G60" s="888"/>
      <c r="H60" s="886"/>
      <c r="I60" s="886"/>
      <c r="J60" s="886"/>
      <c r="K60" s="887"/>
      <c r="L60" s="888"/>
      <c r="M60" s="886"/>
      <c r="N60" s="886"/>
      <c r="O60" s="886"/>
      <c r="P60" s="887"/>
      <c r="Q60" s="888"/>
      <c r="R60" s="886"/>
      <c r="S60" s="886"/>
      <c r="T60" s="886"/>
      <c r="U60" s="887"/>
      <c r="V60" s="888"/>
      <c r="W60" s="886"/>
      <c r="X60" s="886"/>
      <c r="Y60" s="886"/>
      <c r="Z60" s="887"/>
      <c r="AA60" s="888"/>
      <c r="AB60" s="886"/>
      <c r="AC60" s="886"/>
      <c r="AD60" s="886"/>
      <c r="AE60" s="887"/>
      <c r="AF60" s="888"/>
      <c r="AG60" s="886"/>
      <c r="AH60" s="886"/>
      <c r="AI60" s="886"/>
      <c r="AJ60" s="887"/>
      <c r="AK60" s="888"/>
      <c r="AL60" s="886"/>
      <c r="AM60" s="886"/>
      <c r="AN60" s="886"/>
      <c r="AO60" s="887"/>
      <c r="AP60" s="889">
        <f>SUM(AP56,AP48,AP39,AP31,AP15)/AP$6</f>
        <v>9.8865338405008454E-3</v>
      </c>
      <c r="AQ60" s="890">
        <f t="shared" ref="AQ60:CD60" si="36">SUM(AQ56,AQ48,AQ39,AQ31,AQ15)/AQ$6</f>
        <v>9.5759743647067588E-3</v>
      </c>
      <c r="AR60" s="890">
        <f t="shared" si="36"/>
        <v>9.2533840947546537E-3</v>
      </c>
      <c r="AS60" s="890">
        <f t="shared" si="36"/>
        <v>9.2293413996975115E-3</v>
      </c>
      <c r="AT60" s="890">
        <f t="shared" si="36"/>
        <v>8.9946849588879302E-3</v>
      </c>
      <c r="AU60" s="891">
        <f t="shared" si="36"/>
        <v>9.2484071003899673E-3</v>
      </c>
      <c r="AV60" s="892">
        <f t="shared" si="36"/>
        <v>9.1239428127132226E-3</v>
      </c>
      <c r="AW60" s="892">
        <f t="shared" si="36"/>
        <v>9.395097952046471E-3</v>
      </c>
      <c r="AX60" s="892">
        <f t="shared" si="36"/>
        <v>9.1282583395263395E-3</v>
      </c>
      <c r="AY60" s="892">
        <f t="shared" si="36"/>
        <v>9.025053548651055E-3</v>
      </c>
      <c r="AZ60" s="893">
        <f t="shared" si="36"/>
        <v>9.0613044112235197E-3</v>
      </c>
      <c r="BA60" s="892">
        <f t="shared" si="36"/>
        <v>9.1086374592715506E-3</v>
      </c>
      <c r="BB60" s="892">
        <f t="shared" si="36"/>
        <v>9.2294019119674581E-3</v>
      </c>
      <c r="BC60" s="892">
        <f t="shared" si="36"/>
        <v>9.3368580910062442E-3</v>
      </c>
      <c r="BD60" s="892">
        <f t="shared" si="36"/>
        <v>9.4726494623228845E-3</v>
      </c>
      <c r="BE60" s="889">
        <f t="shared" si="36"/>
        <v>9.2963037051854817E-3</v>
      </c>
      <c r="BF60" s="892">
        <f t="shared" si="36"/>
        <v>9.8073311539264105E-3</v>
      </c>
      <c r="BG60" s="892">
        <f>SUM(BG56,BG48,BG39,BG31,BG15)/BG$6</f>
        <v>9.870129870129871E-3</v>
      </c>
      <c r="BH60" s="892">
        <f t="shared" si="36"/>
        <v>9.5639797264458794E-3</v>
      </c>
      <c r="BI60" s="892">
        <f t="shared" si="36"/>
        <v>9.5536354374976418E-3</v>
      </c>
      <c r="BJ60" s="889">
        <f t="shared" si="36"/>
        <v>9.6870081415587773E-3</v>
      </c>
      <c r="BK60" s="892">
        <f t="shared" si="36"/>
        <v>9.63252848206461E-3</v>
      </c>
      <c r="BL60" s="892">
        <f t="shared" si="36"/>
        <v>9.7011116859009958E-3</v>
      </c>
      <c r="BM60" s="892">
        <f t="shared" si="36"/>
        <v>9.7261116859009965E-3</v>
      </c>
      <c r="BN60" s="892">
        <f t="shared" si="36"/>
        <v>9.7511116859009973E-3</v>
      </c>
      <c r="BO60" s="889">
        <f t="shared" si="36"/>
        <v>9.7061799265027796E-3</v>
      </c>
      <c r="BP60" s="892">
        <f t="shared" si="36"/>
        <v>9.776111685900998E-3</v>
      </c>
      <c r="BQ60" s="892">
        <f t="shared" si="36"/>
        <v>9.8011116859009987E-3</v>
      </c>
      <c r="BR60" s="892">
        <f t="shared" si="36"/>
        <v>9.8261116859009994E-3</v>
      </c>
      <c r="BS60" s="892">
        <f t="shared" si="36"/>
        <v>9.8511116859010001E-3</v>
      </c>
      <c r="BT60" s="889">
        <f t="shared" si="36"/>
        <v>9.8160021781789949E-3</v>
      </c>
      <c r="BU60" s="892">
        <f t="shared" si="36"/>
        <v>9.8811116859010006E-3</v>
      </c>
      <c r="BV60" s="892">
        <f t="shared" si="36"/>
        <v>9.9111116859010012E-3</v>
      </c>
      <c r="BW60" s="892">
        <f t="shared" si="36"/>
        <v>9.9411116859010017E-3</v>
      </c>
      <c r="BX60" s="892">
        <f t="shared" si="36"/>
        <v>9.9711116859010004E-3</v>
      </c>
      <c r="BY60" s="889">
        <f t="shared" si="36"/>
        <v>9.9287271064729798E-3</v>
      </c>
      <c r="BZ60" s="892">
        <f t="shared" si="36"/>
        <v>1.0001111685901003E-2</v>
      </c>
      <c r="CA60" s="892">
        <f t="shared" si="36"/>
        <v>1.0031111685901003E-2</v>
      </c>
      <c r="CB60" s="892">
        <f t="shared" si="36"/>
        <v>1.0061111685901004E-2</v>
      </c>
      <c r="CC60" s="892">
        <f t="shared" si="36"/>
        <v>1.0091111685901004E-2</v>
      </c>
      <c r="CD60" s="889">
        <f t="shared" si="36"/>
        <v>1.004872710647298E-2</v>
      </c>
      <c r="CE60" s="160"/>
    </row>
  </sheetData>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3"/>
    <pageSetUpPr fitToPage="1"/>
  </sheetPr>
  <dimension ref="B2:F41"/>
  <sheetViews>
    <sheetView showGridLines="0" workbookViewId="0"/>
  </sheetViews>
  <sheetFormatPr defaultRowHeight="12.75"/>
  <cols>
    <col min="1" max="1" width="3" customWidth="1"/>
    <col min="2" max="2" width="25.5703125" customWidth="1"/>
    <col min="3" max="4" width="15" customWidth="1"/>
  </cols>
  <sheetData>
    <row r="2" spans="2:4" ht="15.75">
      <c r="B2" s="894" t="s">
        <v>518</v>
      </c>
      <c r="C2" s="150"/>
      <c r="D2" s="150"/>
    </row>
    <row r="3" spans="2:4" ht="15.75">
      <c r="B3" s="894"/>
      <c r="C3" s="150"/>
      <c r="D3" s="150"/>
    </row>
    <row r="4" spans="2:4">
      <c r="B4" s="370" t="s">
        <v>8</v>
      </c>
      <c r="C4" s="92"/>
      <c r="D4" s="92"/>
    </row>
    <row r="5" spans="2:4">
      <c r="B5" s="147"/>
      <c r="C5" s="147"/>
      <c r="D5" s="147"/>
    </row>
    <row r="6" spans="2:4">
      <c r="B6" s="147"/>
      <c r="C6" s="147"/>
      <c r="D6" s="147"/>
    </row>
    <row r="7" spans="2:4">
      <c r="B7" s="147"/>
      <c r="C7" s="147"/>
      <c r="D7" s="147"/>
    </row>
    <row r="8" spans="2:4">
      <c r="B8" s="1070"/>
      <c r="C8" s="109" t="s">
        <v>519</v>
      </c>
      <c r="D8" s="110" t="s">
        <v>520</v>
      </c>
    </row>
    <row r="9" spans="2:4">
      <c r="B9" s="1071"/>
      <c r="C9" s="1072" t="s">
        <v>521</v>
      </c>
      <c r="D9" s="1073" t="s">
        <v>501</v>
      </c>
    </row>
    <row r="10" spans="2:4">
      <c r="B10" s="1074" t="s">
        <v>522</v>
      </c>
      <c r="C10" s="1075">
        <f>DCF!I90</f>
        <v>79.567132809739363</v>
      </c>
      <c r="D10" s="1076">
        <v>0.25</v>
      </c>
    </row>
    <row r="11" spans="2:4">
      <c r="B11" s="1074" t="s">
        <v>523</v>
      </c>
      <c r="C11" s="1077">
        <f>C20</f>
        <v>81.895034591812362</v>
      </c>
      <c r="D11" s="1078">
        <f>1-D10</f>
        <v>0.75</v>
      </c>
    </row>
    <row r="12" spans="2:4">
      <c r="B12" s="1070"/>
      <c r="C12" s="1079">
        <f>+C11</f>
        <v>81.895034591812362</v>
      </c>
      <c r="D12" s="1080"/>
    </row>
    <row r="13" spans="2:4">
      <c r="B13" s="147"/>
      <c r="C13" s="147"/>
      <c r="D13" s="147"/>
    </row>
    <row r="14" spans="2:4">
      <c r="B14" s="1081" t="s">
        <v>524</v>
      </c>
      <c r="C14" s="1082" t="s">
        <v>525</v>
      </c>
      <c r="D14" s="1083" t="s">
        <v>526</v>
      </c>
    </row>
    <row r="15" spans="2:4">
      <c r="B15" s="1084" t="s">
        <v>527</v>
      </c>
      <c r="C15" s="1085">
        <f>'Quarterly Model'!BT105</f>
        <v>2.7298344863937456</v>
      </c>
      <c r="D15" s="1086">
        <f>C15</f>
        <v>2.7298344863937456</v>
      </c>
    </row>
    <row r="16" spans="2:4">
      <c r="B16" s="1074" t="s">
        <v>528</v>
      </c>
      <c r="C16" s="1087">
        <f>CHOOSE(_Switch,C17,C18,C19)</f>
        <v>30</v>
      </c>
      <c r="D16" s="1087">
        <f>D20/D15</f>
        <v>29.999999999999996</v>
      </c>
    </row>
    <row r="17" spans="2:4">
      <c r="B17" s="1088" t="s">
        <v>121</v>
      </c>
      <c r="C17" s="1089">
        <v>31</v>
      </c>
      <c r="D17" s="1090"/>
    </row>
    <row r="18" spans="2:4">
      <c r="B18" s="1088" t="s">
        <v>122</v>
      </c>
      <c r="C18" s="1089">
        <v>30</v>
      </c>
      <c r="D18" s="1090"/>
    </row>
    <row r="19" spans="2:4">
      <c r="B19" s="1091" t="s">
        <v>123</v>
      </c>
      <c r="C19" s="1092">
        <v>21</v>
      </c>
      <c r="D19" s="1090"/>
    </row>
    <row r="20" spans="2:4">
      <c r="B20" s="1070" t="s">
        <v>594</v>
      </c>
      <c r="C20" s="1093">
        <f>C15*C16</f>
        <v>81.895034591812362</v>
      </c>
      <c r="D20" s="1093">
        <f>C12</f>
        <v>81.895034591812362</v>
      </c>
    </row>
    <row r="21" spans="2:4">
      <c r="B21" s="147"/>
      <c r="C21" s="147"/>
      <c r="D21" s="147"/>
    </row>
    <row r="22" spans="2:4">
      <c r="B22" s="1259" t="s">
        <v>591</v>
      </c>
      <c r="C22" s="1260">
        <f>('Quarterly Model'!BM220+'Quarterly Model'!BM221+'Quarterly Model'!BM230)*0.85</f>
        <v>12452.553916953248</v>
      </c>
      <c r="D22" s="147"/>
    </row>
    <row r="23" spans="2:4">
      <c r="B23" s="1259" t="s">
        <v>592</v>
      </c>
      <c r="C23" s="1260">
        <f>C22-4000</f>
        <v>8452.5539169532476</v>
      </c>
      <c r="D23" s="147"/>
    </row>
    <row r="24" spans="2:4" ht="13.5" thickBot="1">
      <c r="B24" s="150" t="s">
        <v>593</v>
      </c>
      <c r="C24" s="1261">
        <f>C23/'Quarterly Model'!BM143</f>
        <v>6.9741331274496661</v>
      </c>
      <c r="D24" s="147"/>
    </row>
    <row r="25" spans="2:4" ht="13.5" thickBot="1">
      <c r="B25" s="1264" t="s">
        <v>595</v>
      </c>
      <c r="C25" s="1265">
        <f>C20+C24</f>
        <v>88.869167719262023</v>
      </c>
      <c r="D25" s="147"/>
    </row>
    <row r="26" spans="2:4">
      <c r="B26" s="147"/>
      <c r="C26" s="147"/>
      <c r="D26" s="147"/>
    </row>
    <row r="27" spans="2:4">
      <c r="B27" s="1094" t="s">
        <v>529</v>
      </c>
      <c r="C27" s="1095">
        <v>77</v>
      </c>
      <c r="D27" s="1096"/>
    </row>
    <row r="28" spans="2:4">
      <c r="B28" s="1097" t="s">
        <v>530</v>
      </c>
      <c r="C28" s="1098">
        <f>C25</f>
        <v>88.869167719262023</v>
      </c>
      <c r="D28" s="147"/>
    </row>
    <row r="29" spans="2:4">
      <c r="B29" s="1099" t="s">
        <v>531</v>
      </c>
      <c r="C29" s="1100">
        <f>C28/C27-1</f>
        <v>0.15414503531509127</v>
      </c>
      <c r="D29" s="147"/>
    </row>
    <row r="30" spans="2:4">
      <c r="B30" s="147"/>
      <c r="C30" s="1101"/>
      <c r="D30" s="147"/>
    </row>
    <row r="31" spans="2:4">
      <c r="B31" s="1102" t="s">
        <v>532</v>
      </c>
      <c r="C31" s="1103">
        <f>C27/C15</f>
        <v>28.206838320707508</v>
      </c>
      <c r="D31" s="147"/>
    </row>
    <row r="32" spans="2:4">
      <c r="B32" s="147"/>
      <c r="C32" s="147"/>
      <c r="D32" s="147"/>
    </row>
    <row r="35" spans="6:6" ht="6" customHeight="1"/>
    <row r="36" spans="6:6">
      <c r="F36" s="1104" t="s">
        <v>296</v>
      </c>
    </row>
    <row r="41" spans="6:6" ht="5.25" customHeight="1"/>
  </sheetData>
  <pageMargins left="0" right="0" top="0" bottom="0" header="0" footer="0"/>
  <pageSetup orientation="landscape" r:id="rId1"/>
  <drawing r:id="rId2"/>
  <legacyDrawing r:id="rId3"/>
  <controls>
    <mc:AlternateContent xmlns:mc="http://schemas.openxmlformats.org/markup-compatibility/2006">
      <mc:Choice Requires="x14">
        <control shapeId="6145" r:id="rId4" name="ComboBox1">
          <controlPr defaultSize="0" autoLine="0" autoPict="0" linkedCell="DCF!$A$5" listFillRange="DCF!$A$2:$A$4" r:id="rId5">
            <anchor>
              <from>
                <xdr:col>1</xdr:col>
                <xdr:colOff>657225</xdr:colOff>
                <xdr:row>3</xdr:row>
                <xdr:rowOff>57150</xdr:rowOff>
              </from>
              <to>
                <xdr:col>3</xdr:col>
                <xdr:colOff>219075</xdr:colOff>
                <xdr:row>5</xdr:row>
                <xdr:rowOff>95250</xdr:rowOff>
              </to>
            </anchor>
          </controlPr>
        </control>
      </mc:Choice>
      <mc:Fallback>
        <control shapeId="6145" r:id="rId4" name="ComboBox1"/>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3"/>
    <pageSetUpPr fitToPage="1"/>
  </sheetPr>
  <dimension ref="B1:AZ157"/>
  <sheetViews>
    <sheetView showGridLines="0" zoomScale="85" zoomScaleNormal="85" workbookViewId="0"/>
  </sheetViews>
  <sheetFormatPr defaultRowHeight="12.75" outlineLevelCol="1"/>
  <cols>
    <col min="1" max="1" width="2" customWidth="1"/>
    <col min="2" max="2" width="38.5703125" customWidth="1"/>
    <col min="3" max="6" width="9.140625" hidden="1" customWidth="1" outlineLevel="1"/>
    <col min="7" max="7" width="10.85546875" customWidth="1" collapsed="1"/>
    <col min="8" max="11" width="0" hidden="1" customWidth="1" outlineLevel="1"/>
    <col min="12" max="12" width="10.85546875" customWidth="1" collapsed="1"/>
    <col min="13" max="16" width="0" hidden="1" customWidth="1" outlineLevel="1"/>
    <col min="17" max="17" width="10.85546875" customWidth="1" collapsed="1"/>
    <col min="18" max="21" width="9.85546875" hidden="1" customWidth="1" outlineLevel="1"/>
    <col min="22" max="22" width="10.85546875" customWidth="1" collapsed="1"/>
    <col min="23" max="26" width="9.85546875" hidden="1" customWidth="1" outlineLevel="1"/>
    <col min="27" max="27" width="10.85546875" customWidth="1" collapsed="1"/>
    <col min="28" max="31" width="9.140625" hidden="1" customWidth="1" outlineLevel="1"/>
    <col min="32" max="32" width="10.85546875" customWidth="1" collapsed="1"/>
    <col min="33" max="36" width="9.140625" customWidth="1" outlineLevel="1"/>
    <col min="37" max="37" width="11.140625" customWidth="1"/>
    <col min="38" max="41" width="9.140625" hidden="1" customWidth="1" outlineLevel="1"/>
    <col min="42" max="42" width="11.140625" customWidth="1" collapsed="1"/>
    <col min="43" max="46" width="9.140625" hidden="1" customWidth="1" outlineLevel="1"/>
    <col min="47" max="47" width="11.140625" customWidth="1" collapsed="1"/>
    <col min="48" max="51" width="9.140625" hidden="1" customWidth="1" outlineLevel="1"/>
    <col min="52" max="52" width="11.140625" customWidth="1" collapsed="1"/>
  </cols>
  <sheetData>
    <row r="1" spans="2:52" ht="18">
      <c r="B1" s="349" t="s">
        <v>533</v>
      </c>
      <c r="C1" s="94"/>
      <c r="D1" s="94"/>
      <c r="E1" s="94"/>
      <c r="F1" s="95"/>
      <c r="G1" s="96"/>
      <c r="H1" s="97"/>
      <c r="I1" s="97"/>
      <c r="J1" s="97"/>
      <c r="K1" s="95"/>
      <c r="L1" s="95"/>
      <c r="M1" s="99"/>
      <c r="N1" s="99"/>
      <c r="O1" s="99"/>
      <c r="P1" s="99"/>
      <c r="Q1" s="99"/>
      <c r="R1" s="99"/>
      <c r="S1" s="99"/>
      <c r="T1" s="99"/>
      <c r="U1" s="99"/>
      <c r="V1" s="1105"/>
      <c r="W1" s="99"/>
      <c r="X1" s="99"/>
      <c r="Y1" s="99"/>
      <c r="Z1" s="99"/>
      <c r="AA1" s="99"/>
      <c r="AB1" s="99"/>
      <c r="AC1" s="99"/>
      <c r="AD1" s="99"/>
      <c r="AE1" s="99"/>
      <c r="AF1" s="99"/>
    </row>
    <row r="2" spans="2:52">
      <c r="B2" s="93" t="s">
        <v>115</v>
      </c>
    </row>
    <row r="3" spans="2:52">
      <c r="B3" s="1106"/>
    </row>
    <row r="4" spans="2:52">
      <c r="B4" s="1337" t="s">
        <v>534</v>
      </c>
      <c r="C4" s="1107"/>
      <c r="D4" s="1107"/>
      <c r="E4" s="1107"/>
      <c r="F4" s="1107"/>
      <c r="G4" s="1108"/>
      <c r="H4" s="1107"/>
      <c r="I4" s="1107"/>
      <c r="J4" s="1107"/>
      <c r="K4" s="1107"/>
      <c r="L4" s="1108"/>
      <c r="M4" s="1107"/>
      <c r="N4" s="1107"/>
      <c r="O4" s="1107"/>
      <c r="P4" s="1107"/>
      <c r="Q4" s="1108"/>
      <c r="R4" s="1107"/>
      <c r="S4" s="1107"/>
      <c r="T4" s="1107"/>
      <c r="U4" s="1107"/>
      <c r="V4" s="1108"/>
      <c r="W4" s="1107"/>
      <c r="X4" s="1107"/>
      <c r="Y4" s="1107"/>
      <c r="Z4" s="1107"/>
      <c r="AA4" s="1108"/>
      <c r="AB4" s="1107"/>
      <c r="AC4" s="1107"/>
      <c r="AD4" s="1107"/>
      <c r="AE4" s="1107"/>
      <c r="AF4" s="1108"/>
      <c r="AG4" s="1294"/>
      <c r="AH4" s="1107"/>
      <c r="AI4" s="1107"/>
      <c r="AJ4" s="1295"/>
      <c r="AK4" s="1110"/>
      <c r="AL4" s="1109"/>
      <c r="AM4" s="1109"/>
      <c r="AN4" s="1109"/>
      <c r="AO4" s="1109"/>
      <c r="AP4" s="1110"/>
      <c r="AQ4" s="1109"/>
      <c r="AR4" s="1109"/>
      <c r="AS4" s="1109"/>
      <c r="AT4" s="1109"/>
      <c r="AU4" s="1110"/>
      <c r="AV4" s="1109"/>
      <c r="AW4" s="1109"/>
      <c r="AX4" s="1109"/>
      <c r="AY4" s="1109"/>
      <c r="AZ4" s="1110"/>
    </row>
    <row r="5" spans="2:52">
      <c r="B5" s="1338"/>
      <c r="C5" s="1111" t="str">
        <f>'Quarterly Model'!AG3</f>
        <v>1Q12A</v>
      </c>
      <c r="D5" s="1111" t="str">
        <f>'Quarterly Model'!AH3</f>
        <v>2Q12A</v>
      </c>
      <c r="E5" s="1111" t="str">
        <f>'Quarterly Model'!AI3</f>
        <v>3Q12A</v>
      </c>
      <c r="F5" s="1111" t="str">
        <f>'Quarterly Model'!AJ3</f>
        <v>4Q12A</v>
      </c>
      <c r="G5" s="1112" t="str">
        <f>'Quarterly Model'!AK3</f>
        <v>2012A</v>
      </c>
      <c r="H5" s="1111" t="str">
        <f>'Quarterly Model'!AL3</f>
        <v>1Q13A</v>
      </c>
      <c r="I5" s="1111" t="str">
        <f>'Quarterly Model'!AM3</f>
        <v>2Q13A</v>
      </c>
      <c r="J5" s="1111" t="str">
        <f>'Quarterly Model'!AN3</f>
        <v>3Q13A</v>
      </c>
      <c r="K5" s="1111" t="str">
        <f>'Quarterly Model'!AO3</f>
        <v>4Q13A</v>
      </c>
      <c r="L5" s="1112" t="str">
        <f>'Quarterly Model'!AP3</f>
        <v>2013A</v>
      </c>
      <c r="M5" s="1111" t="str">
        <f>'Quarterly Model'!AQ3</f>
        <v>1Q14A</v>
      </c>
      <c r="N5" s="1111" t="str">
        <f>'Quarterly Model'!AR3</f>
        <v>2Q14A</v>
      </c>
      <c r="O5" s="1111" t="str">
        <f>'Quarterly Model'!AS3</f>
        <v>3Q14A</v>
      </c>
      <c r="P5" s="1111" t="str">
        <f>'Quarterly Model'!AT3</f>
        <v>4Q14A</v>
      </c>
      <c r="Q5" s="1112" t="str">
        <f>'Quarterly Model'!AU3</f>
        <v>2014A</v>
      </c>
      <c r="R5" s="1111" t="str">
        <f>'Quarterly Model'!AV3</f>
        <v>1Q15A</v>
      </c>
      <c r="S5" s="1111" t="str">
        <f>'Quarterly Model'!AW3</f>
        <v>2Q15A</v>
      </c>
      <c r="T5" s="1111" t="str">
        <f>'Quarterly Model'!AX3</f>
        <v>3Q15A</v>
      </c>
      <c r="U5" s="1111" t="str">
        <f>'Quarterly Model'!AY3</f>
        <v>4Q15A</v>
      </c>
      <c r="V5" s="1112" t="str">
        <f>'Quarterly Model'!AZ3</f>
        <v>2015A</v>
      </c>
      <c r="W5" s="1111" t="str">
        <f>'Quarterly Model'!BA3</f>
        <v>1Q16A</v>
      </c>
      <c r="X5" s="1111" t="str">
        <f>'Quarterly Model'!BB3</f>
        <v>2Q16A</v>
      </c>
      <c r="Y5" s="1111" t="str">
        <f>'Quarterly Model'!BC3</f>
        <v>3Q16A</v>
      </c>
      <c r="Z5" s="1111" t="str">
        <f>'Quarterly Model'!BD3</f>
        <v>4Q16A</v>
      </c>
      <c r="AA5" s="1112" t="str">
        <f>'Quarterly Model'!BE3</f>
        <v>2016A</v>
      </c>
      <c r="AB5" s="1111" t="str">
        <f>'Quarterly Model'!BF3</f>
        <v>1Q17A</v>
      </c>
      <c r="AC5" s="1111" t="str">
        <f>'Quarterly Model'!BG3</f>
        <v>2Q17A</v>
      </c>
      <c r="AD5" s="1111" t="str">
        <f>'Quarterly Model'!BH3</f>
        <v>3Q17A</v>
      </c>
      <c r="AE5" s="1111" t="str">
        <f>'Quarterly Model'!BI3</f>
        <v>4Q17A</v>
      </c>
      <c r="AF5" s="1112" t="str">
        <f>'Quarterly Model'!BJ3</f>
        <v>2017A</v>
      </c>
      <c r="AG5" s="1296" t="str">
        <f>'Quarterly Model'!BK3</f>
        <v>1Q18A</v>
      </c>
      <c r="AH5" s="1111" t="str">
        <f>'Quarterly Model'!BL3</f>
        <v>2Q18E</v>
      </c>
      <c r="AI5" s="1111" t="str">
        <f>'Quarterly Model'!BM3</f>
        <v>3Q18E</v>
      </c>
      <c r="AJ5" s="1297" t="str">
        <f>'Quarterly Model'!BN3</f>
        <v>4Q18E</v>
      </c>
      <c r="AK5" s="1113" t="str">
        <f>'Quarterly Model'!BO3</f>
        <v>2018E</v>
      </c>
      <c r="AL5" s="1112" t="str">
        <f>'Quarterly Model'!BP3</f>
        <v>1Q19E</v>
      </c>
      <c r="AM5" s="1112" t="str">
        <f>'Quarterly Model'!BQ3</f>
        <v>2Q19E</v>
      </c>
      <c r="AN5" s="1112" t="str">
        <f>'Quarterly Model'!BR3</f>
        <v>3Q19E</v>
      </c>
      <c r="AO5" s="1112" t="str">
        <f>'Quarterly Model'!BS3</f>
        <v>4Q19E</v>
      </c>
      <c r="AP5" s="1113" t="str">
        <f>'Quarterly Model'!BT3</f>
        <v>2019E</v>
      </c>
      <c r="AQ5" s="1112" t="str">
        <f>'Quarterly Model'!BU3</f>
        <v>1Q20E</v>
      </c>
      <c r="AR5" s="1112" t="str">
        <f>'Quarterly Model'!BV3</f>
        <v>2Q20E</v>
      </c>
      <c r="AS5" s="1112" t="str">
        <f>'Quarterly Model'!BW3</f>
        <v>3Q20E</v>
      </c>
      <c r="AT5" s="1112" t="str">
        <f>'Quarterly Model'!BX3</f>
        <v>4Q20E</v>
      </c>
      <c r="AU5" s="1113" t="str">
        <f>'Quarterly Model'!BY3</f>
        <v>2020E</v>
      </c>
      <c r="AV5" s="1112" t="str">
        <f>'Quarterly Model'!BZ3</f>
        <v>1Q21E</v>
      </c>
      <c r="AW5" s="1112" t="str">
        <f>'Quarterly Model'!CA3</f>
        <v>2Q21E</v>
      </c>
      <c r="AX5" s="1112" t="str">
        <f>'Quarterly Model'!CB3</f>
        <v>3Q21E</v>
      </c>
      <c r="AY5" s="1112" t="str">
        <f>'Quarterly Model'!CC3</f>
        <v>4Q21E</v>
      </c>
      <c r="AZ5" s="1113" t="str">
        <f>'Quarterly Model'!CD3</f>
        <v>2021E</v>
      </c>
    </row>
    <row r="6" spans="2:52" ht="6" customHeight="1">
      <c r="B6" s="123"/>
      <c r="C6" s="124"/>
      <c r="D6" s="124"/>
      <c r="E6" s="124"/>
      <c r="F6" s="124"/>
      <c r="G6" s="1114"/>
      <c r="H6" s="127"/>
      <c r="I6" s="127"/>
      <c r="J6" s="127"/>
      <c r="K6" s="127"/>
      <c r="L6" s="1114"/>
      <c r="M6" s="127"/>
      <c r="N6" s="127"/>
      <c r="O6" s="127"/>
      <c r="P6" s="127"/>
      <c r="Q6" s="1114"/>
      <c r="R6" s="127"/>
      <c r="S6" s="127"/>
      <c r="T6" s="127"/>
      <c r="U6" s="127"/>
      <c r="V6" s="1115"/>
      <c r="W6" s="127"/>
      <c r="X6" s="127"/>
      <c r="Y6" s="127"/>
      <c r="Z6" s="127"/>
      <c r="AA6" s="1115"/>
      <c r="AB6" s="127"/>
      <c r="AC6" s="127"/>
      <c r="AD6" s="127"/>
      <c r="AE6" s="127"/>
      <c r="AF6" s="1115"/>
      <c r="AG6" s="127"/>
      <c r="AH6" s="127"/>
      <c r="AI6" s="127"/>
      <c r="AJ6" s="127"/>
      <c r="AK6" s="1115"/>
      <c r="AL6" s="127"/>
      <c r="AM6" s="127"/>
      <c r="AN6" s="127"/>
      <c r="AO6" s="127"/>
      <c r="AP6" s="1115"/>
      <c r="AQ6" s="127"/>
      <c r="AR6" s="127"/>
      <c r="AS6" s="127"/>
      <c r="AT6" s="127"/>
      <c r="AU6" s="1115"/>
      <c r="AV6" s="127"/>
      <c r="AW6" s="127"/>
      <c r="AX6" s="127"/>
      <c r="AY6" s="127"/>
      <c r="AZ6" s="1115"/>
    </row>
    <row r="7" spans="2:52">
      <c r="B7" s="1116" t="s">
        <v>264</v>
      </c>
      <c r="C7" s="1117"/>
      <c r="D7" s="1117"/>
      <c r="E7" s="1117"/>
      <c r="F7" s="1117"/>
      <c r="G7" s="1118">
        <f>'Segment Detail'!AK6</f>
        <v>150066</v>
      </c>
      <c r="H7" s="313">
        <f>'Segment Detail'!AL6</f>
        <v>0</v>
      </c>
      <c r="I7" s="313">
        <f>'Segment Detail'!AM6</f>
        <v>0</v>
      </c>
      <c r="J7" s="313">
        <f>'Segment Detail'!AN6</f>
        <v>0</v>
      </c>
      <c r="K7" s="313">
        <f>'Segment Detail'!AO6</f>
        <v>0</v>
      </c>
      <c r="L7" s="1118">
        <f>'Segment Detail'!AP6</f>
        <v>185606</v>
      </c>
      <c r="M7" s="313">
        <f>'Segment Detail'!AQ6</f>
        <v>53676</v>
      </c>
      <c r="N7" s="313">
        <f>'Segment Detail'!AR6</f>
        <v>56736</v>
      </c>
      <c r="O7" s="313">
        <f>'Segment Detail'!AS6</f>
        <v>58184</v>
      </c>
      <c r="P7" s="313">
        <f>'Segment Detail'!AT6</f>
        <v>66039</v>
      </c>
      <c r="Q7" s="1118">
        <f>'Segment Detail'!AU6</f>
        <v>234635</v>
      </c>
      <c r="R7" s="313">
        <f>'Segment Detail'!AV6</f>
        <v>63021</v>
      </c>
      <c r="S7" s="313">
        <f>'Segment Detail'!AW6</f>
        <v>67482</v>
      </c>
      <c r="T7" s="313">
        <f>'Segment Detail'!AX6</f>
        <v>71317</v>
      </c>
      <c r="U7" s="313">
        <f>'Segment Detail'!AY6</f>
        <v>83102</v>
      </c>
      <c r="V7" s="1116">
        <f>'Segment Detail'!AZ6</f>
        <v>288038</v>
      </c>
      <c r="W7" s="313">
        <f>'Segment Detail'!BA6</f>
        <v>82559</v>
      </c>
      <c r="X7" s="313">
        <f>'Segment Detail'!BB6</f>
        <v>87763</v>
      </c>
      <c r="Y7" s="313">
        <f>'Segment Detail'!BC6</f>
        <v>88895</v>
      </c>
      <c r="Z7" s="313">
        <f>'Segment Detail'!BD6</f>
        <v>100711</v>
      </c>
      <c r="AA7" s="1116">
        <f>'Segment Detail'!BE6</f>
        <v>359928</v>
      </c>
      <c r="AB7" s="313">
        <f>'Segment Detail'!BF6</f>
        <v>100639</v>
      </c>
      <c r="AC7" s="313">
        <f>'Segment Detail'!BG6</f>
        <v>107800</v>
      </c>
      <c r="AD7" s="313">
        <f>'Segment Detail'!BH6</f>
        <v>115224</v>
      </c>
      <c r="AE7" s="313">
        <f>'Segment Detail'!BI6</f>
        <v>132515</v>
      </c>
      <c r="AF7" s="1116">
        <f>'Segment Detail'!BJ6</f>
        <v>456178</v>
      </c>
      <c r="AG7" s="313">
        <f>'Segment Detail'!BK6</f>
        <v>132364</v>
      </c>
      <c r="AH7" s="313">
        <f>'Segment Detail'!BL6</f>
        <v>140561.33787169337</v>
      </c>
      <c r="AI7" s="313">
        <f>'Segment Detail'!BM6</f>
        <v>147059.95453442595</v>
      </c>
      <c r="AJ7" s="313">
        <f>'Segment Detail'!BN6</f>
        <v>167588.24807250078</v>
      </c>
      <c r="AK7" s="1116">
        <f>'Segment Detail'!BO6</f>
        <v>587573.5404786201</v>
      </c>
      <c r="AL7" s="313">
        <f>'Segment Detail'!BP6</f>
        <v>162467.63207952195</v>
      </c>
      <c r="AM7" s="313">
        <f>'Segment Detail'!BQ6</f>
        <v>172609.32290643945</v>
      </c>
      <c r="AN7" s="313">
        <f>'Segment Detail'!BR6</f>
        <v>180589.62416827507</v>
      </c>
      <c r="AO7" s="313">
        <f>'Segment Detail'!BS6</f>
        <v>205798.36863303094</v>
      </c>
      <c r="AP7" s="1116">
        <f>'Segment Detail'!BT6</f>
        <v>721464.94778726739</v>
      </c>
      <c r="AQ7" s="313">
        <f>'Segment Detail'!BU6</f>
        <v>194961.15849542632</v>
      </c>
      <c r="AR7" s="313">
        <f>'Segment Detail'!BV6</f>
        <v>207131.18748772735</v>
      </c>
      <c r="AS7" s="313">
        <f>'Segment Detail'!BW6</f>
        <v>213095.75651856457</v>
      </c>
      <c r="AT7" s="313">
        <f>'Segment Detail'!BX6</f>
        <v>242842.07498697651</v>
      </c>
      <c r="AU7" s="1116">
        <f>'Segment Detail'!BY6</f>
        <v>858030.17748869467</v>
      </c>
      <c r="AV7" s="313">
        <f>'Segment Detail'!BZ6</f>
        <v>228104.55543964877</v>
      </c>
      <c r="AW7" s="313">
        <f>'Segment Detail'!CA6</f>
        <v>242343.48936064099</v>
      </c>
      <c r="AX7" s="313">
        <f>'Segment Detail'!CB6</f>
        <v>249322.03512672053</v>
      </c>
      <c r="AY7" s="313">
        <f>'Segment Detail'!CC6</f>
        <v>284125.22773476248</v>
      </c>
      <c r="AZ7" s="1116">
        <f>'Segment Detail'!CD6</f>
        <v>1003895.3076617728</v>
      </c>
    </row>
    <row r="8" spans="2:52">
      <c r="B8" s="138" t="s">
        <v>21</v>
      </c>
      <c r="C8" s="139"/>
      <c r="D8" s="139"/>
      <c r="E8" s="139"/>
      <c r="F8" s="139"/>
      <c r="G8" s="1119"/>
      <c r="H8" s="139">
        <f>'Segment Detail'!AL7</f>
        <v>0</v>
      </c>
      <c r="I8" s="139">
        <f>'Segment Detail'!AM7</f>
        <v>0</v>
      </c>
      <c r="J8" s="139">
        <f>'Segment Detail'!AN7</f>
        <v>0</v>
      </c>
      <c r="K8" s="139">
        <f>'Segment Detail'!AO7</f>
        <v>0</v>
      </c>
      <c r="L8" s="1119">
        <f>'Segment Detail'!AP7</f>
        <v>0.23682912851678606</v>
      </c>
      <c r="M8" s="139">
        <f>'Segment Detail'!AQ7</f>
        <v>0</v>
      </c>
      <c r="N8" s="139">
        <f>'Segment Detail'!AR7</f>
        <v>0</v>
      </c>
      <c r="O8" s="139">
        <f>'Segment Detail'!AS7</f>
        <v>0</v>
      </c>
      <c r="P8" s="139">
        <f>'Segment Detail'!AT7</f>
        <v>0</v>
      </c>
      <c r="Q8" s="1119">
        <f>'Segment Detail'!AU7</f>
        <v>0.26415633115308768</v>
      </c>
      <c r="R8" s="139">
        <f>'Segment Detail'!AV7</f>
        <v>0.1741001564945226</v>
      </c>
      <c r="S8" s="139">
        <f>'Segment Detail'!AW7</f>
        <v>0.18940355329949243</v>
      </c>
      <c r="T8" s="139">
        <f>'Segment Detail'!AX7</f>
        <v>0.22571497318850553</v>
      </c>
      <c r="U8" s="139">
        <f>'Segment Detail'!AY7</f>
        <v>0.25837762534260067</v>
      </c>
      <c r="V8" s="1119">
        <f>'Segment Detail'!AZ7</f>
        <v>0.22760031538346803</v>
      </c>
      <c r="W8" s="139">
        <f>'Segment Detail'!BA7</f>
        <v>0.31002364291267992</v>
      </c>
      <c r="X8" s="139">
        <f>'Segment Detail'!BB7</f>
        <v>0.30053940310008587</v>
      </c>
      <c r="Y8" s="139">
        <f>'Segment Detail'!BC7</f>
        <v>0.2464769970694225</v>
      </c>
      <c r="Z8" s="139">
        <f>'Segment Detail'!BD7</f>
        <v>0.21189622391759522</v>
      </c>
      <c r="AA8" s="1119">
        <f>'Segment Detail'!BE7</f>
        <v>0.24958512418500334</v>
      </c>
      <c r="AB8" s="139">
        <f>'Segment Detail'!BF7</f>
        <v>0.21899490061652882</v>
      </c>
      <c r="AC8" s="139">
        <f>'Segment Detail'!BG7</f>
        <v>0.22830805692603939</v>
      </c>
      <c r="AD8" s="139">
        <f>'Segment Detail'!BH7</f>
        <v>0.29618088756397998</v>
      </c>
      <c r="AE8" s="139">
        <f>'Segment Detail'!BI7</f>
        <v>0.31579469968523788</v>
      </c>
      <c r="AF8" s="1119">
        <f>'Segment Detail'!BJ7</f>
        <v>0.26741459402991707</v>
      </c>
      <c r="AG8" s="139">
        <f>'Segment Detail'!BK7</f>
        <v>0.31523564423334882</v>
      </c>
      <c r="AH8" s="139">
        <f>'Segment Detail'!BL7</f>
        <v>0.30390851457971574</v>
      </c>
      <c r="AI8" s="139">
        <f>'Segment Detail'!BM7</f>
        <v>0.27629621028974805</v>
      </c>
      <c r="AJ8" s="139">
        <f>'Segment Detail'!BN7</f>
        <v>0.26467379596650015</v>
      </c>
      <c r="AK8" s="1119">
        <f>'Segment Detail'!BO7</f>
        <v>0.28803568010430158</v>
      </c>
      <c r="AL8" s="139">
        <f>'Segment Detail'!BP7</f>
        <v>0.22743066150556004</v>
      </c>
      <c r="AM8" s="139">
        <f>'Segment Detail'!BQ7</f>
        <v>0.22799999999999998</v>
      </c>
      <c r="AN8" s="139">
        <f>'Segment Detail'!BR7</f>
        <v>0.22799999999999998</v>
      </c>
      <c r="AO8" s="139">
        <f>'Segment Detail'!BS7</f>
        <v>0.22799999999999998</v>
      </c>
      <c r="AP8" s="1119">
        <f>'Segment Detail'!BT7</f>
        <v>0.22787174384943087</v>
      </c>
      <c r="AQ8" s="139">
        <f>'Segment Detail'!BU7</f>
        <v>0.2</v>
      </c>
      <c r="AR8" s="139">
        <f>'Segment Detail'!BV7</f>
        <v>0.2</v>
      </c>
      <c r="AS8" s="139">
        <f>'Segment Detail'!BW7</f>
        <v>0.18000000000000002</v>
      </c>
      <c r="AT8" s="139">
        <f>'Segment Detail'!BX7</f>
        <v>0.18000000000000002</v>
      </c>
      <c r="AU8" s="1119">
        <f>'Segment Detail'!BY7</f>
        <v>0.18928879375259022</v>
      </c>
      <c r="AV8" s="139">
        <f>'Segment Detail'!BZ7</f>
        <v>0.17</v>
      </c>
      <c r="AW8" s="139">
        <f>'Segment Detail'!CA7</f>
        <v>0.17</v>
      </c>
      <c r="AX8" s="139">
        <f>'Segment Detail'!CB7</f>
        <v>0.17</v>
      </c>
      <c r="AY8" s="139">
        <f>'Segment Detail'!CC7</f>
        <v>0.17</v>
      </c>
      <c r="AZ8" s="1119">
        <f>'Segment Detail'!CD7</f>
        <v>0.17000000000000015</v>
      </c>
    </row>
    <row r="9" spans="2:52">
      <c r="B9" s="131" t="s">
        <v>535</v>
      </c>
      <c r="C9" s="132"/>
      <c r="D9" s="132"/>
      <c r="E9" s="132"/>
      <c r="F9" s="132"/>
      <c r="G9" s="1120">
        <f>'Segment Detail'!AK25</f>
        <v>3.3505257686617891E-2</v>
      </c>
      <c r="H9" s="1121">
        <f>'Segment Detail'!AL25</f>
        <v>0</v>
      </c>
      <c r="I9" s="1121">
        <f>'Segment Detail'!AM25</f>
        <v>0</v>
      </c>
      <c r="J9" s="1121">
        <f>'Segment Detail'!AN25</f>
        <v>0</v>
      </c>
      <c r="K9" s="1121">
        <f>'Segment Detail'!AO25</f>
        <v>0</v>
      </c>
      <c r="L9" s="1120">
        <f>'Segment Detail'!AP25</f>
        <v>3.2283439112959708E-2</v>
      </c>
      <c r="M9" s="1121">
        <f>'Segment Detail'!AQ25</f>
        <v>3.1131231835457188E-2</v>
      </c>
      <c r="N9" s="1121">
        <f>'Segment Detail'!AR25</f>
        <v>3.0139593908629442E-2</v>
      </c>
      <c r="O9" s="1121">
        <f>'Segment Detail'!AS25</f>
        <v>3.0076997112608278E-2</v>
      </c>
      <c r="P9" s="1121">
        <f>'Segment Detail'!AT25</f>
        <v>2.9724859552688564E-2</v>
      </c>
      <c r="Q9" s="1120">
        <f>'Segment Detail'!AU25</f>
        <v>3.0234193534638906E-2</v>
      </c>
      <c r="R9" s="1121">
        <f>'Segment Detail'!AV25</f>
        <v>3.0323225591469511E-2</v>
      </c>
      <c r="S9" s="1121">
        <f>'Segment Detail'!AW25</f>
        <v>2.9133694911235589E-2</v>
      </c>
      <c r="T9" s="1121">
        <f>'Segment Detail'!AX25</f>
        <v>2.8099892031352974E-2</v>
      </c>
      <c r="U9" s="1121">
        <f>'Segment Detail'!AY25</f>
        <v>2.7508363216288415E-2</v>
      </c>
      <c r="V9" s="1122">
        <f>'Segment Detail'!AZ25</f>
        <v>2.8527485956714043E-2</v>
      </c>
      <c r="W9" s="1121">
        <f>'Segment Detail'!BA25</f>
        <v>2.7374362577066099E-2</v>
      </c>
      <c r="X9" s="1121">
        <f>'Segment Detail'!BB25</f>
        <v>2.6742476898009411E-2</v>
      </c>
      <c r="Y9" s="1121">
        <f>'Segment Detail'!BC25</f>
        <v>2.6289442600821195E-2</v>
      </c>
      <c r="Z9" s="1121">
        <f>'Segment Detail'!BD25</f>
        <v>2.6223550555550038E-2</v>
      </c>
      <c r="AA9" s="1122">
        <f>'Segment Detail'!BE25</f>
        <v>2.6630326065213043E-2</v>
      </c>
      <c r="AB9" s="1121">
        <f>'Segment Detail'!BF25</f>
        <v>2.6073391031309928E-2</v>
      </c>
      <c r="AC9" s="1121">
        <f>'Segment Detail'!BG25</f>
        <v>2.5742115027829315E-2</v>
      </c>
      <c r="AD9" s="1121">
        <f>'Segment Detail'!BH25</f>
        <v>2.4803860306880511E-2</v>
      </c>
      <c r="AE9" s="1121">
        <f>'Segment Detail'!BI25</f>
        <v>2.4480247519148776E-2</v>
      </c>
      <c r="AF9" s="1122">
        <f>'Segment Detail'!BJ25</f>
        <v>2.5211649838440257E-2</v>
      </c>
      <c r="AG9" s="1121">
        <f>'Segment Detail'!BK25</f>
        <v>2.415309298600828E-2</v>
      </c>
      <c r="AH9" s="1121">
        <f>'Segment Detail'!BL25</f>
        <v>2.3960040415725709E-2</v>
      </c>
      <c r="AI9" s="1121">
        <f>'Segment Detail'!BM25</f>
        <v>2.3718709651999206E-2</v>
      </c>
      <c r="AJ9" s="1121">
        <f>'Segment Detail'!BN25</f>
        <v>2.3523983673254492E-2</v>
      </c>
      <c r="AK9" s="1122">
        <f>'Segment Detail'!BO25</f>
        <v>2.3818756201001153E-2</v>
      </c>
      <c r="AL9" s="1121">
        <f>'Segment Detail'!BP25</f>
        <v>2.3383998617451881E-2</v>
      </c>
      <c r="AM9" s="1121">
        <f>'Segment Detail'!BQ25</f>
        <v>2.321457853408912E-2</v>
      </c>
      <c r="AN9" s="1121">
        <f>'Segment Detail'!BR25</f>
        <v>2.304555845072636E-2</v>
      </c>
      <c r="AO9" s="1121">
        <f>'Segment Detail'!BS25</f>
        <v>2.2876938367363601E-2</v>
      </c>
      <c r="AP9" s="1122">
        <f>'Segment Detail'!BT25</f>
        <v>2.3114111021037914E-2</v>
      </c>
      <c r="AQ9" s="1121">
        <f>'Segment Detail'!BU25</f>
        <v>2.279464328400084E-2</v>
      </c>
      <c r="AR9" s="1121">
        <f>'Segment Detail'!BV25</f>
        <v>2.2712448200638079E-2</v>
      </c>
      <c r="AS9" s="1121">
        <f>'Segment Detail'!BW25</f>
        <v>2.2512228117275317E-2</v>
      </c>
      <c r="AT9" s="1121">
        <f>'Segment Detail'!BX25</f>
        <v>2.2429783033912555E-2</v>
      </c>
      <c r="AU9" s="1122">
        <f>'Segment Detail'!BY25</f>
        <v>2.2601398263732121E-2</v>
      </c>
      <c r="AV9" s="1121">
        <f>'Segment Detail'!BZ25</f>
        <v>2.2389212950549797E-2</v>
      </c>
      <c r="AW9" s="1121">
        <f>'Segment Detail'!CA25</f>
        <v>2.2348642867187036E-2</v>
      </c>
      <c r="AX9" s="1121">
        <f>'Segment Detail'!CB25</f>
        <v>2.2308072783824275E-2</v>
      </c>
      <c r="AY9" s="1121">
        <f>'Segment Detail'!CC25</f>
        <v>2.2267502700461517E-2</v>
      </c>
      <c r="AZ9" s="1122">
        <f>'Segment Detail'!CD25</f>
        <v>2.232482089781786E-2</v>
      </c>
    </row>
    <row r="10" spans="2:52">
      <c r="B10" s="131" t="s">
        <v>284</v>
      </c>
      <c r="C10" s="132"/>
      <c r="D10" s="132"/>
      <c r="E10" s="132"/>
      <c r="F10" s="132"/>
      <c r="G10" s="1120">
        <f>'Segment Detail'!AK62</f>
        <v>3.7730065437874001E-2</v>
      </c>
      <c r="H10" s="1121" t="e">
        <f>'Segment Detail'!AL62</f>
        <v>#DIV/0!</v>
      </c>
      <c r="I10" s="1121" t="e">
        <f>'Segment Detail'!AM62</f>
        <v>#DIV/0!</v>
      </c>
      <c r="J10" s="1121" t="e">
        <f>'Segment Detail'!AN62</f>
        <v>#DIV/0!</v>
      </c>
      <c r="K10" s="1121" t="e">
        <f>'Segment Detail'!AO62</f>
        <v>#DIV/0!</v>
      </c>
      <c r="L10" s="1120">
        <f>'Segment Detail'!AP62</f>
        <v>3.6243440406021357E-2</v>
      </c>
      <c r="M10" s="1121">
        <f>'Segment Detail'!AQ62</f>
        <v>3.4857291899545423E-2</v>
      </c>
      <c r="N10" s="1121">
        <f>'Segment Detail'!AR62</f>
        <v>3.4916102650874227E-2</v>
      </c>
      <c r="O10" s="1121">
        <f>'Segment Detail'!AS62</f>
        <v>3.3875292176543378E-2</v>
      </c>
      <c r="P10" s="1121">
        <f>'Segment Detail'!AT62</f>
        <v>3.3147079755901816E-2</v>
      </c>
      <c r="Q10" s="1120">
        <f>'Segment Detail'!AU62</f>
        <v>3.4146653312591896E-2</v>
      </c>
      <c r="R10" s="1121">
        <f>'Segment Detail'!AV62</f>
        <v>3.3861728630139157E-2</v>
      </c>
      <c r="S10" s="1121">
        <f>'Segment Detail'!AW62</f>
        <v>3.3979431552117599E-2</v>
      </c>
      <c r="T10" s="1121">
        <f>'Segment Detail'!AX62</f>
        <v>3.1661455193011487E-2</v>
      </c>
      <c r="U10" s="1121">
        <f>'Segment Detail'!AY62</f>
        <v>3.0757382493802797E-2</v>
      </c>
      <c r="V10" s="1122">
        <f>'Segment Detail'!AZ62</f>
        <v>3.2106874787354446E-2</v>
      </c>
      <c r="W10" s="1121">
        <f>'Segment Detail'!BA62</f>
        <v>3.0814326723918654E-2</v>
      </c>
      <c r="X10" s="1121">
        <f>'Segment Detail'!BB62</f>
        <v>3.0194956872486127E-2</v>
      </c>
      <c r="Y10" s="1121">
        <f>'Segment Detail'!BC62</f>
        <v>3.0001687383992351E-2</v>
      </c>
      <c r="Z10" s="1121">
        <f>'Segment Detail'!BD62</f>
        <v>2.9599547219270984E-2</v>
      </c>
      <c r="AA10" s="1122">
        <f>'Segment Detail'!BE62</f>
        <v>3.012269120490765E-2</v>
      </c>
      <c r="AB10" s="1121">
        <f>'Segment Detail'!BF62</f>
        <v>2.9561104541976767E-2</v>
      </c>
      <c r="AC10" s="1121">
        <f>'Segment Detail'!BG62</f>
        <v>2.9090909090909091E-2</v>
      </c>
      <c r="AD10" s="1121">
        <f>'Segment Detail'!BH62</f>
        <v>2.81104630979657E-2</v>
      </c>
      <c r="AE10" s="1121">
        <f>'Segment Detail'!BI62</f>
        <v>2.8253405274874542E-2</v>
      </c>
      <c r="AF10" s="1122">
        <f>'Segment Detail'!BJ62</f>
        <v>2.8703707763197698E-2</v>
      </c>
      <c r="AG10" s="1121">
        <f>'Segment Detail'!BK62</f>
        <v>2.7839896044241638E-2</v>
      </c>
      <c r="AH10" s="1121">
        <f>'Segment Detail'!BL62</f>
        <v>2.7182726768753666E-2</v>
      </c>
      <c r="AI10" s="1121">
        <f>'Segment Detail'!BM62</f>
        <v>2.489985048425503E-2</v>
      </c>
      <c r="AJ10" s="1121">
        <f>'Segment Detail'!BN62</f>
        <v>2.5309626025443632E-2</v>
      </c>
      <c r="AK10" s="1122">
        <f>'Segment Detail'!BO62</f>
        <v>2.6225155057471854E-2</v>
      </c>
      <c r="AL10" s="1121">
        <f>'Segment Detail'!BP62</f>
        <v>2.512834606914174E-2</v>
      </c>
      <c r="AM10" s="1121">
        <f>'Segment Detail'!BQ62</f>
        <v>2.4589113204400586E-2</v>
      </c>
      <c r="AN10" s="1121">
        <f>'Segment Detail'!BR62</f>
        <v>2.4180530911688796E-2</v>
      </c>
      <c r="AO10" s="1121">
        <f>'Segment Detail'!BS62</f>
        <v>2.4592783624353166E-2</v>
      </c>
      <c r="AP10" s="1122">
        <f>'Segment Detail'!BT62</f>
        <v>2.4609318663410713E-2</v>
      </c>
      <c r="AQ10" s="1121">
        <f>'Segment Detail'!BU62</f>
        <v>2.4480845820634371E-2</v>
      </c>
      <c r="AR10" s="1121">
        <f>'Segment Detail'!BV62</f>
        <v>2.4041165048605831E-2</v>
      </c>
      <c r="AS10" s="1121">
        <f>'Segment Detail'!BW62</f>
        <v>2.3627963756865513E-2</v>
      </c>
      <c r="AT10" s="1121">
        <f>'Segment Detail'!BX62</f>
        <v>2.4116546167902299E-2</v>
      </c>
      <c r="AU10" s="1122">
        <f>'Segment Detail'!BY62</f>
        <v>2.4059783202918943E-2</v>
      </c>
      <c r="AV10" s="1121">
        <f>'Segment Detail'!BZ62</f>
        <v>2.4046591512198141E-2</v>
      </c>
      <c r="AW10" s="1121">
        <f>'Segment Detail'!CA62</f>
        <v>2.3654646606642519E-2</v>
      </c>
      <c r="AX10" s="1121">
        <f>'Segment Detail'!CB62</f>
        <v>2.3404736019318906E-2</v>
      </c>
      <c r="AY10" s="1121">
        <f>'Segment Detail'!CC62</f>
        <v>2.3925432276605284E-2</v>
      </c>
      <c r="AZ10" s="1122">
        <f>'Segment Detail'!CD62</f>
        <v>2.375827617992457E-2</v>
      </c>
    </row>
    <row r="11" spans="2:52">
      <c r="B11" s="131"/>
      <c r="C11" s="132"/>
      <c r="D11" s="132"/>
      <c r="E11" s="132"/>
      <c r="F11" s="132"/>
      <c r="G11" s="1123"/>
      <c r="H11" s="135"/>
      <c r="I11" s="135"/>
      <c r="J11" s="135"/>
      <c r="K11" s="135"/>
      <c r="L11" s="1123"/>
      <c r="M11" s="135"/>
      <c r="N11" s="135"/>
      <c r="O11" s="135"/>
      <c r="P11" s="135"/>
      <c r="Q11" s="1123"/>
      <c r="R11" s="135"/>
      <c r="S11" s="135"/>
      <c r="T11" s="135"/>
      <c r="U11" s="135"/>
      <c r="V11" s="1124"/>
      <c r="W11" s="135"/>
      <c r="X11" s="135"/>
      <c r="Y11" s="135"/>
      <c r="Z11" s="135"/>
      <c r="AA11" s="1124"/>
      <c r="AB11" s="135"/>
      <c r="AC11" s="135"/>
      <c r="AD11" s="135"/>
      <c r="AE11" s="135"/>
      <c r="AF11" s="1124"/>
      <c r="AG11" s="135"/>
      <c r="AH11" s="135"/>
      <c r="AI11" s="135"/>
      <c r="AJ11" s="135"/>
      <c r="AK11" s="1124"/>
      <c r="AL11" s="135"/>
      <c r="AM11" s="135"/>
      <c r="AN11" s="135"/>
      <c r="AO11" s="135"/>
      <c r="AP11" s="1124"/>
      <c r="AQ11" s="135"/>
      <c r="AR11" s="135"/>
      <c r="AS11" s="135"/>
      <c r="AT11" s="135"/>
      <c r="AU11" s="1124"/>
      <c r="AV11" s="135"/>
      <c r="AW11" s="135"/>
      <c r="AX11" s="135"/>
      <c r="AY11" s="135"/>
      <c r="AZ11" s="1124"/>
    </row>
    <row r="12" spans="2:52">
      <c r="B12" s="1125" t="str">
        <f>'Quarterly Model'!B8</f>
        <v>Transaction Revenue</v>
      </c>
      <c r="C12" s="1126">
        <f>'Quarterly Model'!AG8</f>
        <v>0</v>
      </c>
      <c r="D12" s="1126">
        <f>'Quarterly Model'!AH8</f>
        <v>0</v>
      </c>
      <c r="E12" s="1126">
        <f>'Quarterly Model'!AI8</f>
        <v>0</v>
      </c>
      <c r="F12" s="1126">
        <f>'Quarterly Model'!AJ8</f>
        <v>0</v>
      </c>
      <c r="G12" s="1127">
        <f>'Quarterly Model'!AK8</f>
        <v>5028</v>
      </c>
      <c r="H12" s="1128">
        <f>'Quarterly Model'!AL8</f>
        <v>0</v>
      </c>
      <c r="I12" s="1128">
        <f>'Quarterly Model'!AM8</f>
        <v>0</v>
      </c>
      <c r="J12" s="1128">
        <f>'Quarterly Model'!AN8</f>
        <v>0</v>
      </c>
      <c r="K12" s="1128">
        <f>'Quarterly Model'!AO8</f>
        <v>0</v>
      </c>
      <c r="L12" s="1127">
        <f>'Quarterly Model'!AP8</f>
        <v>5992</v>
      </c>
      <c r="M12" s="1128">
        <f>'Quarterly Model'!AQ8</f>
        <v>1671</v>
      </c>
      <c r="N12" s="1128">
        <f>'Quarterly Model'!AR8</f>
        <v>1710</v>
      </c>
      <c r="O12" s="1128">
        <f>'Quarterly Model'!AS8</f>
        <v>1750</v>
      </c>
      <c r="P12" s="1128">
        <f>'Quarterly Model'!AT8</f>
        <v>1963</v>
      </c>
      <c r="Q12" s="1127">
        <f>'Quarterly Model'!AU8</f>
        <v>7094</v>
      </c>
      <c r="R12" s="1128">
        <f>'Quarterly Model'!AV8</f>
        <v>1911</v>
      </c>
      <c r="S12" s="1128">
        <f>'Quarterly Model'!AW8</f>
        <v>1966</v>
      </c>
      <c r="T12" s="1128">
        <f>'Quarterly Model'!AX8</f>
        <v>2004</v>
      </c>
      <c r="U12" s="1128">
        <f>'Quarterly Model'!AY8</f>
        <v>2286</v>
      </c>
      <c r="V12" s="1125">
        <f>'Quarterly Model'!AZ8</f>
        <v>8217</v>
      </c>
      <c r="W12" s="1128">
        <f>'Quarterly Model'!BA8</f>
        <v>2260</v>
      </c>
      <c r="X12" s="1128">
        <f>'Quarterly Model'!BB8</f>
        <v>2347</v>
      </c>
      <c r="Y12" s="1128">
        <f>'Quarterly Model'!BC8</f>
        <v>2337</v>
      </c>
      <c r="Z12" s="1128">
        <f>'Quarterly Model'!BD8</f>
        <v>2641</v>
      </c>
      <c r="AA12" s="1125">
        <f>'Quarterly Model'!BE8</f>
        <v>9585</v>
      </c>
      <c r="AB12" s="1128">
        <f>'Quarterly Model'!BF8</f>
        <v>2624</v>
      </c>
      <c r="AC12" s="1128">
        <f>'Quarterly Model'!BG8</f>
        <v>2775</v>
      </c>
      <c r="AD12" s="1128">
        <f>'Quarterly Model'!BH8</f>
        <v>2858</v>
      </c>
      <c r="AE12" s="1128">
        <f>'Quarterly Model'!BI8</f>
        <v>3244</v>
      </c>
      <c r="AF12" s="1125">
        <f>'Quarterly Model'!BJ8</f>
        <v>11501</v>
      </c>
      <c r="AG12" s="1128">
        <f>'Quarterly Model'!BK8</f>
        <v>3197</v>
      </c>
      <c r="AH12" s="1128">
        <f>'Quarterly Model'!BL8</f>
        <v>3367.8553362942498</v>
      </c>
      <c r="AI12" s="1128">
        <f>'Quarterly Model'!BM8</f>
        <v>3488.0723630382531</v>
      </c>
      <c r="AJ12" s="1128">
        <f>'Quarterly Model'!BN8</f>
        <v>3942.3432114868319</v>
      </c>
      <c r="AK12" s="1125">
        <f>'Quarterly Model'!BO8</f>
        <v>13995.270910819334</v>
      </c>
      <c r="AL12" s="1128">
        <f>'Quarterly Model'!BP8</f>
        <v>3799.1428839282221</v>
      </c>
      <c r="AM12" s="1128">
        <f>'Quarterly Model'!BQ8</f>
        <v>4007.0526823274868</v>
      </c>
      <c r="AN12" s="1128">
        <f>'Quarterly Model'!BR8</f>
        <v>4161.7887393646888</v>
      </c>
      <c r="AO12" s="1128">
        <f>'Quarterly Model'!BS8</f>
        <v>4708.0365953218234</v>
      </c>
      <c r="AP12" s="1125">
        <f>'Quarterly Model'!BT8</f>
        <v>16676.020900942221</v>
      </c>
      <c r="AQ12" s="1128">
        <f>'Quarterly Model'!BU8</f>
        <v>4444.0700621387932</v>
      </c>
      <c r="AR12" s="1128">
        <f>'Quarterly Model'!BV8</f>
        <v>4704.4563665516616</v>
      </c>
      <c r="AS12" s="1128">
        <f>'Quarterly Model'!BW8</f>
        <v>4797.2602815692844</v>
      </c>
      <c r="AT12" s="1128">
        <f>'Quarterly Model'!BX8</f>
        <v>5446.8950534630067</v>
      </c>
      <c r="AU12" s="1125">
        <f>'Quarterly Model'!BY8</f>
        <v>19392.681763722747</v>
      </c>
      <c r="AV12" s="1128">
        <f>'Quarterly Model'!BZ8</f>
        <v>5107.0814667287887</v>
      </c>
      <c r="AW12" s="1128">
        <f>'Quarterly Model'!CA8</f>
        <v>5416.0480949089069</v>
      </c>
      <c r="AX12" s="1128">
        <f>'Quarterly Model'!CB8</f>
        <v>5561.8941062180738</v>
      </c>
      <c r="AY12" s="1128">
        <f>'Quarterly Model'!CC8</f>
        <v>6326.7592758530673</v>
      </c>
      <c r="AZ12" s="1125">
        <f>'Quarterly Model'!CD8</f>
        <v>22411.782943708837</v>
      </c>
    </row>
    <row r="13" spans="2:52">
      <c r="B13" s="138" t="str">
        <f>'Quarterly Model'!B9</f>
        <v>YoY % change</v>
      </c>
      <c r="C13" s="139">
        <f>'Quarterly Model'!AG9</f>
        <v>0</v>
      </c>
      <c r="D13" s="139">
        <f>'Quarterly Model'!AH9</f>
        <v>0</v>
      </c>
      <c r="E13" s="139">
        <f>'Quarterly Model'!AI9</f>
        <v>0</v>
      </c>
      <c r="F13" s="139">
        <f>'Quarterly Model'!AJ9</f>
        <v>0</v>
      </c>
      <c r="G13" s="1119">
        <f>'Quarterly Model'!AK9</f>
        <v>0</v>
      </c>
      <c r="H13" s="139">
        <f>'Quarterly Model'!AL9</f>
        <v>0</v>
      </c>
      <c r="I13" s="139">
        <f>'Quarterly Model'!AM9</f>
        <v>0</v>
      </c>
      <c r="J13" s="139">
        <f>'Quarterly Model'!AN9</f>
        <v>0</v>
      </c>
      <c r="K13" s="139">
        <f>'Quarterly Model'!AO9</f>
        <v>0</v>
      </c>
      <c r="L13" s="1119">
        <f>'Quarterly Model'!AP9</f>
        <v>0.19172633253778848</v>
      </c>
      <c r="M13" s="139" t="str">
        <f>'Quarterly Model'!AQ9</f>
        <v>NM</v>
      </c>
      <c r="N13" s="139">
        <f>'Quarterly Model'!AR9</f>
        <v>0</v>
      </c>
      <c r="O13" s="139">
        <f>'Quarterly Model'!AS9</f>
        <v>0</v>
      </c>
      <c r="P13" s="139">
        <f>'Quarterly Model'!AT9</f>
        <v>0</v>
      </c>
      <c r="Q13" s="1119">
        <f>'Quarterly Model'!AU9</f>
        <v>0.18391188251001345</v>
      </c>
      <c r="R13" s="139">
        <f>'Quarterly Model'!AV9</f>
        <v>0.14362657091561948</v>
      </c>
      <c r="S13" s="139">
        <f>'Quarterly Model'!AW9</f>
        <v>0.14970760233918123</v>
      </c>
      <c r="T13" s="139">
        <f>'Quarterly Model'!AX9</f>
        <v>0.14514285714285724</v>
      </c>
      <c r="U13" s="139">
        <f>'Quarterly Model'!AY9</f>
        <v>0.16454406520631681</v>
      </c>
      <c r="V13" s="1119">
        <f>'Quarterly Model'!AZ9</f>
        <v>0.15830279109106282</v>
      </c>
      <c r="W13" s="139">
        <f>'Quarterly Model'!BA9</f>
        <v>0.18262689691261125</v>
      </c>
      <c r="X13" s="139">
        <f>'Quarterly Model'!BB9</f>
        <v>0.19379450661241093</v>
      </c>
      <c r="Y13" s="139">
        <f>'Quarterly Model'!BC9</f>
        <v>0.16616766467065869</v>
      </c>
      <c r="Z13" s="139">
        <f>'Quarterly Model'!BD9</f>
        <v>0.1552930883639545</v>
      </c>
      <c r="AA13" s="1119">
        <f>'Quarterly Model'!BE9</f>
        <v>0.16648411829134724</v>
      </c>
      <c r="AB13" s="139">
        <f>'Quarterly Model'!BF9</f>
        <v>0.16106194690265485</v>
      </c>
      <c r="AC13" s="139">
        <f>'Quarterly Model'!BG9</f>
        <v>0.18236046016190888</v>
      </c>
      <c r="AD13" s="139">
        <f>'Quarterly Model'!BH9</f>
        <v>0.22293538724860928</v>
      </c>
      <c r="AE13" s="139">
        <f>'Quarterly Model'!BI9</f>
        <v>0.22832260507383562</v>
      </c>
      <c r="AF13" s="1119">
        <f>'Quarterly Model'!BJ9</f>
        <v>0.19989567031820554</v>
      </c>
      <c r="AG13" s="139">
        <f>'Quarterly Model'!BK9</f>
        <v>0.21836890243902429</v>
      </c>
      <c r="AH13" s="139">
        <f>'Quarterly Model'!BL9</f>
        <v>0.21364156262855838</v>
      </c>
      <c r="AI13" s="139">
        <f>'Quarterly Model'!BM9</f>
        <v>0.22045918930659658</v>
      </c>
      <c r="AJ13" s="139">
        <f>'Quarterly Model'!BN9</f>
        <v>0.21527226001443656</v>
      </c>
      <c r="AK13" s="1119">
        <f>'Quarterly Model'!BO9</f>
        <v>0.21687426404828569</v>
      </c>
      <c r="AL13" s="139">
        <f>'Quarterly Model'!BP9</f>
        <v>0.1883462258142703</v>
      </c>
      <c r="AM13" s="139">
        <f>'Quarterly Model'!BQ9</f>
        <v>0.18979358737438079</v>
      </c>
      <c r="AN13" s="139">
        <f>'Quarterly Model'!BR9</f>
        <v>0.19314862371135022</v>
      </c>
      <c r="AO13" s="139">
        <f>'Quarterly Model'!BS9</f>
        <v>0.19422291331814678</v>
      </c>
      <c r="AP13" s="1119">
        <f>'Quarterly Model'!BT9</f>
        <v>0.19154684515970888</v>
      </c>
      <c r="AQ13" s="139">
        <f>'Quarterly Model'!BU9</f>
        <v>0.16975596809976579</v>
      </c>
      <c r="AR13" s="139">
        <f>'Quarterly Model'!BV9</f>
        <v>0.17404405170412929</v>
      </c>
      <c r="AS13" s="139">
        <f>'Quarterly Model'!BW9</f>
        <v>0.1526919269577347</v>
      </c>
      <c r="AT13" s="139">
        <f>'Quarterly Model'!BX9</f>
        <v>0.15693558093311255</v>
      </c>
      <c r="AU13" s="1119">
        <f>'Quarterly Model'!BY9</f>
        <v>0.16290821886814921</v>
      </c>
      <c r="AV13" s="139">
        <f>'Quarterly Model'!BZ9</f>
        <v>0.14919013321561114</v>
      </c>
      <c r="AW13" s="139">
        <f>'Quarterly Model'!CA9</f>
        <v>0.1512590771202833</v>
      </c>
      <c r="AX13" s="139">
        <f>'Quarterly Model'!CB9</f>
        <v>0.15938968906616457</v>
      </c>
      <c r="AY13" s="139">
        <f>'Quarterly Model'!CC9</f>
        <v>0.16153500549467426</v>
      </c>
      <c r="AZ13" s="1119">
        <f>'Quarterly Model'!CD9</f>
        <v>0.1556825000673101</v>
      </c>
    </row>
    <row r="14" spans="2:52">
      <c r="B14" s="1125" t="str">
        <f>'Quarterly Model'!B11</f>
        <v>Other Value-added Services</v>
      </c>
      <c r="C14" s="1126">
        <f>'Quarterly Model'!AG11</f>
        <v>0</v>
      </c>
      <c r="D14" s="1126">
        <f>'Quarterly Model'!AH11</f>
        <v>0</v>
      </c>
      <c r="E14" s="1126">
        <f>'Quarterly Model'!AI11</f>
        <v>0</v>
      </c>
      <c r="F14" s="1126">
        <f>'Quarterly Model'!AJ11</f>
        <v>0</v>
      </c>
      <c r="G14" s="1127">
        <f>'Quarterly Model'!AK11</f>
        <v>634</v>
      </c>
      <c r="H14" s="1128">
        <f>'Quarterly Model'!AL11</f>
        <v>0</v>
      </c>
      <c r="I14" s="1128">
        <f>'Quarterly Model'!AM11</f>
        <v>0</v>
      </c>
      <c r="J14" s="1128">
        <f>'Quarterly Model'!AN11</f>
        <v>0</v>
      </c>
      <c r="K14" s="1128">
        <f>'Quarterly Model'!AO11</f>
        <v>0</v>
      </c>
      <c r="L14" s="1127">
        <f>'Quarterly Model'!AP11</f>
        <v>735</v>
      </c>
      <c r="M14" s="1128">
        <f>'Quarterly Model'!AQ11</f>
        <v>200</v>
      </c>
      <c r="N14" s="1128">
        <f>'Quarterly Model'!AR11</f>
        <v>271</v>
      </c>
      <c r="O14" s="1128">
        <f>'Quarterly Model'!AS11</f>
        <v>221</v>
      </c>
      <c r="P14" s="1128">
        <f>'Quarterly Model'!AT11</f>
        <v>226</v>
      </c>
      <c r="Q14" s="1127">
        <f>'Quarterly Model'!AU11</f>
        <v>918</v>
      </c>
      <c r="R14" s="1128">
        <f>'Quarterly Model'!AV11</f>
        <v>223</v>
      </c>
      <c r="S14" s="1128">
        <f>'Quarterly Model'!AW11</f>
        <v>327</v>
      </c>
      <c r="T14" s="1128">
        <f>'Quarterly Model'!AX11</f>
        <v>254</v>
      </c>
      <c r="U14" s="1128">
        <f>'Quarterly Model'!AY11</f>
        <v>270</v>
      </c>
      <c r="V14" s="1125">
        <f>'Quarterly Model'!AZ11</f>
        <v>1031</v>
      </c>
      <c r="W14" s="1128">
        <f>'Quarterly Model'!BA11</f>
        <v>284</v>
      </c>
      <c r="X14" s="1128">
        <f>'Quarterly Model'!BB11</f>
        <v>303</v>
      </c>
      <c r="Y14" s="1128">
        <f>'Quarterly Model'!BC11</f>
        <v>330</v>
      </c>
      <c r="Z14" s="1128">
        <f>'Quarterly Model'!BD11</f>
        <v>340</v>
      </c>
      <c r="AA14" s="1125">
        <f>'Quarterly Model'!BE11</f>
        <v>1257</v>
      </c>
      <c r="AB14" s="1128">
        <f>'Quarterly Model'!BF11</f>
        <v>351</v>
      </c>
      <c r="AC14" s="1128">
        <f>'Quarterly Model'!BG11</f>
        <v>361</v>
      </c>
      <c r="AD14" s="1128">
        <f>'Quarterly Model'!BH11</f>
        <v>381</v>
      </c>
      <c r="AE14" s="1128">
        <f>'Quarterly Model'!BI11</f>
        <v>461</v>
      </c>
      <c r="AF14" s="1125">
        <f>'Quarterly Model'!BJ11</f>
        <v>1554</v>
      </c>
      <c r="AG14" s="1128">
        <f>'Quarterly Model'!BK11</f>
        <v>488</v>
      </c>
      <c r="AH14" s="1128">
        <f>'Quarterly Model'!BL11</f>
        <v>452.98510532245808</v>
      </c>
      <c r="AI14" s="1128">
        <f>'Quarterly Model'!BM11</f>
        <v>173.6985170902955</v>
      </c>
      <c r="AJ14" s="1128">
        <f>'Quarterly Model'!BN11</f>
        <v>299.25267348743756</v>
      </c>
      <c r="AK14" s="1125">
        <f>'Quarterly Model'!BO11</f>
        <v>1413.9362959001912</v>
      </c>
      <c r="AL14" s="1128">
        <f>'Quarterly Model'!BP11</f>
        <v>283.39999999999992</v>
      </c>
      <c r="AM14" s="1128">
        <f>'Quarterly Model'!BQ11</f>
        <v>237.25749875388826</v>
      </c>
      <c r="AN14" s="1128">
        <f>'Quarterly Model'!BR11</f>
        <v>204.96425016654868</v>
      </c>
      <c r="AO14" s="1128">
        <f>'Quarterly Model'!BS11</f>
        <v>353.11815471517633</v>
      </c>
      <c r="AP14" s="1125">
        <f>'Quarterly Model'!BT11</f>
        <v>1078.7399036356132</v>
      </c>
      <c r="AQ14" s="1128">
        <f>'Quarterly Model'!BU11</f>
        <v>328.74399999999986</v>
      </c>
      <c r="AR14" s="1128">
        <f>'Quarterly Model'!BV11</f>
        <v>275.21869855451035</v>
      </c>
      <c r="AS14" s="1128">
        <f>'Quarterly Model'!BW11</f>
        <v>237.75853019319646</v>
      </c>
      <c r="AT14" s="1128">
        <f>'Quarterly Model'!BX11</f>
        <v>409.6170594696045</v>
      </c>
      <c r="AU14" s="1125">
        <f>'Quarterly Model'!BY11</f>
        <v>1251.3382882173112</v>
      </c>
      <c r="AV14" s="1128">
        <f>'Quarterly Model'!BZ11</f>
        <v>378.0555999999998</v>
      </c>
      <c r="AW14" s="1128">
        <f>'Quarterly Model'!CA11</f>
        <v>316.50150333768687</v>
      </c>
      <c r="AX14" s="1128">
        <f>'Quarterly Model'!CB11</f>
        <v>273.4223097221759</v>
      </c>
      <c r="AY14" s="1128">
        <f>'Quarterly Model'!CC11</f>
        <v>471.05961839004516</v>
      </c>
      <c r="AZ14" s="1125">
        <f>'Quarterly Model'!CD11</f>
        <v>1439.0390314499077</v>
      </c>
    </row>
    <row r="15" spans="2:52">
      <c r="B15" s="138" t="str">
        <f>'Quarterly Model'!B12</f>
        <v>YoY % change</v>
      </c>
      <c r="C15" s="139">
        <f>'Quarterly Model'!AG12</f>
        <v>0</v>
      </c>
      <c r="D15" s="139">
        <f>'Quarterly Model'!AH12</f>
        <v>0</v>
      </c>
      <c r="E15" s="139">
        <f>'Quarterly Model'!AI12</f>
        <v>0</v>
      </c>
      <c r="F15" s="139">
        <f>'Quarterly Model'!AJ12</f>
        <v>0</v>
      </c>
      <c r="G15" s="1119">
        <f>'Quarterly Model'!AK12</f>
        <v>0</v>
      </c>
      <c r="H15" s="139">
        <f>'Quarterly Model'!AL12</f>
        <v>0</v>
      </c>
      <c r="I15" s="139">
        <f>'Quarterly Model'!AM12</f>
        <v>0</v>
      </c>
      <c r="J15" s="139">
        <f>'Quarterly Model'!AN12</f>
        <v>0</v>
      </c>
      <c r="K15" s="139">
        <f>'Quarterly Model'!AO12</f>
        <v>0</v>
      </c>
      <c r="L15" s="1119">
        <f>'Quarterly Model'!AP12</f>
        <v>0.15930599369085163</v>
      </c>
      <c r="M15" s="139" t="str">
        <f>'Quarterly Model'!AQ12</f>
        <v>NM</v>
      </c>
      <c r="N15" s="139">
        <f>'Quarterly Model'!AR12</f>
        <v>0</v>
      </c>
      <c r="O15" s="139">
        <f>'Quarterly Model'!AS12</f>
        <v>0</v>
      </c>
      <c r="P15" s="139">
        <f>'Quarterly Model'!AT12</f>
        <v>0</v>
      </c>
      <c r="Q15" s="1119">
        <f>'Quarterly Model'!AU12</f>
        <v>0.24897959183673479</v>
      </c>
      <c r="R15" s="139">
        <f>'Quarterly Model'!AV12</f>
        <v>0.11499999999999999</v>
      </c>
      <c r="S15" s="139">
        <f>'Quarterly Model'!AW12</f>
        <v>0.20664206642066429</v>
      </c>
      <c r="T15" s="139">
        <f>'Quarterly Model'!AX12</f>
        <v>0.14932126696832571</v>
      </c>
      <c r="U15" s="139">
        <f>'Quarterly Model'!AY12</f>
        <v>0.19469026548672574</v>
      </c>
      <c r="V15" s="1119">
        <f>'Quarterly Model'!AZ12</f>
        <v>0.12309368191721126</v>
      </c>
      <c r="W15" s="139">
        <f>'Quarterly Model'!BA12</f>
        <v>0.27354260089686089</v>
      </c>
      <c r="X15" s="139">
        <f>'Quarterly Model'!BB12</f>
        <v>-7.3394495412844041E-2</v>
      </c>
      <c r="Y15" s="139">
        <f>'Quarterly Model'!BC12</f>
        <v>0.29921259842519676</v>
      </c>
      <c r="Z15" s="139">
        <f>'Quarterly Model'!BD12</f>
        <v>0.2592592592592593</v>
      </c>
      <c r="AA15" s="1119">
        <f>'Quarterly Model'!BE12</f>
        <v>0.21920465567410274</v>
      </c>
      <c r="AB15" s="139">
        <f>'Quarterly Model'!BF12</f>
        <v>0.2359154929577465</v>
      </c>
      <c r="AC15" s="139">
        <f>'Quarterly Model'!BG12</f>
        <v>0.19141914191419152</v>
      </c>
      <c r="AD15" s="139">
        <f>'Quarterly Model'!BH12</f>
        <v>0.15454545454545454</v>
      </c>
      <c r="AE15" s="139">
        <f>'Quarterly Model'!BI12</f>
        <v>0.35588235294117654</v>
      </c>
      <c r="AF15" s="1119">
        <f>'Quarterly Model'!BJ12</f>
        <v>0.23627684964200468</v>
      </c>
      <c r="AG15" s="139">
        <f>'Quarterly Model'!BK12</f>
        <v>0.39031339031339041</v>
      </c>
      <c r="AH15" s="139">
        <f>'Quarterly Model'!BL12</f>
        <v>0.25480638593478688</v>
      </c>
      <c r="AI15" s="139">
        <f>'Quarterly Model'!BM12</f>
        <v>-0.54409838034043179</v>
      </c>
      <c r="AJ15" s="139">
        <f>'Quarterly Model'!BN12</f>
        <v>-0.35086187963679483</v>
      </c>
      <c r="AK15" s="1119">
        <f>'Quarterly Model'!BO12</f>
        <v>-9.0131083719310667E-2</v>
      </c>
      <c r="AL15" s="139">
        <f>'Quarterly Model'!BP12</f>
        <v>-0.41926229508196733</v>
      </c>
      <c r="AM15" s="139">
        <f>'Quarterly Model'!BQ12</f>
        <v>-0.4762355407138692</v>
      </c>
      <c r="AN15" s="139">
        <f>'Quarterly Model'!BR12</f>
        <v>0.17999999999999994</v>
      </c>
      <c r="AO15" s="139">
        <f>'Quarterly Model'!BS12</f>
        <v>0.17999999999999994</v>
      </c>
      <c r="AP15" s="1119">
        <f>'Quarterly Model'!BT12</f>
        <v>-0.23706612047268594</v>
      </c>
      <c r="AQ15" s="139">
        <f>'Quarterly Model'!BU12</f>
        <v>0.15999999999999992</v>
      </c>
      <c r="AR15" s="139">
        <f>'Quarterly Model'!BV12</f>
        <v>0.15999999999999992</v>
      </c>
      <c r="AS15" s="139">
        <f>'Quarterly Model'!BW12</f>
        <v>0.15999999999999992</v>
      </c>
      <c r="AT15" s="139">
        <f>'Quarterly Model'!BX12</f>
        <v>0.15999999999999992</v>
      </c>
      <c r="AU15" s="1119">
        <f>'Quarterly Model'!BY12</f>
        <v>0.15999999999999992</v>
      </c>
      <c r="AV15" s="139">
        <f>'Quarterly Model'!BZ12</f>
        <v>0.14999999999999991</v>
      </c>
      <c r="AW15" s="139">
        <f>'Quarterly Model'!CA12</f>
        <v>0.14999999999999991</v>
      </c>
      <c r="AX15" s="139">
        <f>'Quarterly Model'!CB12</f>
        <v>0.14999999999999991</v>
      </c>
      <c r="AY15" s="139">
        <f>'Quarterly Model'!CC12</f>
        <v>0.14999999999999991</v>
      </c>
      <c r="AZ15" s="1119">
        <f>'Quarterly Model'!CD12</f>
        <v>0.14999999999999991</v>
      </c>
    </row>
    <row r="16" spans="2:52" ht="6" customHeight="1">
      <c r="B16" s="148"/>
      <c r="C16" s="142"/>
      <c r="D16" s="142"/>
      <c r="E16" s="142"/>
      <c r="F16" s="142"/>
      <c r="G16" s="1129"/>
      <c r="H16" s="145"/>
      <c r="I16" s="145"/>
      <c r="J16" s="145"/>
      <c r="K16" s="145"/>
      <c r="L16" s="1129"/>
      <c r="M16" s="204"/>
      <c r="N16" s="145"/>
      <c r="O16" s="145"/>
      <c r="P16" s="145"/>
      <c r="Q16" s="1129"/>
      <c r="R16" s="145"/>
      <c r="S16" s="145"/>
      <c r="T16" s="145"/>
      <c r="U16" s="145"/>
      <c r="V16" s="1129"/>
      <c r="W16" s="145"/>
      <c r="X16" s="145"/>
      <c r="Y16" s="145"/>
      <c r="Z16" s="145"/>
      <c r="AA16" s="1129"/>
      <c r="AB16" s="145"/>
      <c r="AC16" s="145"/>
      <c r="AD16" s="145"/>
      <c r="AE16" s="145"/>
      <c r="AF16" s="1129"/>
      <c r="AG16" s="145"/>
      <c r="AH16" s="145"/>
      <c r="AI16" s="145"/>
      <c r="AJ16" s="145"/>
      <c r="AK16" s="1129"/>
      <c r="AL16" s="145"/>
      <c r="AM16" s="145"/>
      <c r="AN16" s="145"/>
      <c r="AO16" s="145"/>
      <c r="AP16" s="1129"/>
      <c r="AQ16" s="145"/>
      <c r="AR16" s="145"/>
      <c r="AS16" s="145"/>
      <c r="AT16" s="145"/>
      <c r="AU16" s="1129"/>
      <c r="AV16" s="145"/>
      <c r="AW16" s="145"/>
      <c r="AX16" s="145"/>
      <c r="AY16" s="145"/>
      <c r="AZ16" s="1129"/>
    </row>
    <row r="17" spans="2:52">
      <c r="B17" s="1130" t="str">
        <f>'Quarterly Model'!B14</f>
        <v>Net Revenue</v>
      </c>
      <c r="C17" s="1131">
        <f>'Quarterly Model'!AG14</f>
        <v>0</v>
      </c>
      <c r="D17" s="1131">
        <f>'Quarterly Model'!AH14</f>
        <v>0</v>
      </c>
      <c r="E17" s="1131">
        <f>'Quarterly Model'!AI14</f>
        <v>0</v>
      </c>
      <c r="F17" s="1131">
        <f>'Quarterly Model'!AJ14</f>
        <v>0</v>
      </c>
      <c r="G17" s="827">
        <f>'Quarterly Model'!AK14</f>
        <v>5662</v>
      </c>
      <c r="H17" s="1132">
        <f>'Quarterly Model'!AL14</f>
        <v>0</v>
      </c>
      <c r="I17" s="1132">
        <f>'Quarterly Model'!AM14</f>
        <v>0</v>
      </c>
      <c r="J17" s="1132">
        <f>'Quarterly Model'!AN14</f>
        <v>0</v>
      </c>
      <c r="K17" s="1132">
        <f>'Quarterly Model'!AO14</f>
        <v>0</v>
      </c>
      <c r="L17" s="827">
        <f>'Quarterly Model'!AP14</f>
        <v>6727</v>
      </c>
      <c r="M17" s="1132">
        <f>'Quarterly Model'!AQ14</f>
        <v>1871</v>
      </c>
      <c r="N17" s="1132">
        <f>'Quarterly Model'!AR14</f>
        <v>1981</v>
      </c>
      <c r="O17" s="1132">
        <f>'Quarterly Model'!AS14</f>
        <v>1971</v>
      </c>
      <c r="P17" s="1132">
        <f>'Quarterly Model'!AT14</f>
        <v>2189</v>
      </c>
      <c r="Q17" s="827">
        <f>'Quarterly Model'!AU14</f>
        <v>8012</v>
      </c>
      <c r="R17" s="1132">
        <f>'Quarterly Model'!AV14</f>
        <v>2134</v>
      </c>
      <c r="S17" s="1132">
        <f>'Quarterly Model'!AW14</f>
        <v>2293</v>
      </c>
      <c r="T17" s="1132">
        <f>'Quarterly Model'!AX14</f>
        <v>2258</v>
      </c>
      <c r="U17" s="1132">
        <f>'Quarterly Model'!AY14</f>
        <v>2556</v>
      </c>
      <c r="V17" s="827">
        <f>'Quarterly Model'!AZ14</f>
        <v>9248</v>
      </c>
      <c r="W17" s="1132">
        <f>'Quarterly Model'!BA14</f>
        <v>2544</v>
      </c>
      <c r="X17" s="1132">
        <f>'Quarterly Model'!BB14</f>
        <v>2650</v>
      </c>
      <c r="Y17" s="1132">
        <f>'Quarterly Model'!BC14</f>
        <v>2667</v>
      </c>
      <c r="Z17" s="1132">
        <f>'Quarterly Model'!BD14</f>
        <v>2981</v>
      </c>
      <c r="AA17" s="827">
        <f>'Quarterly Model'!BE14</f>
        <v>10842</v>
      </c>
      <c r="AB17" s="1132">
        <f>'Quarterly Model'!BF14</f>
        <v>2975</v>
      </c>
      <c r="AC17" s="1132">
        <f>'Quarterly Model'!BG14</f>
        <v>3136</v>
      </c>
      <c r="AD17" s="1132">
        <f>'Quarterly Model'!BH14</f>
        <v>3239</v>
      </c>
      <c r="AE17" s="1132">
        <f>'Quarterly Model'!BI14</f>
        <v>3705</v>
      </c>
      <c r="AF17" s="827">
        <f>'Quarterly Model'!BJ14</f>
        <v>13055</v>
      </c>
      <c r="AG17" s="1132">
        <f>'Quarterly Model'!BK14</f>
        <v>3685</v>
      </c>
      <c r="AH17" s="1132">
        <f>'Quarterly Model'!BL14</f>
        <v>3820.8404416167077</v>
      </c>
      <c r="AI17" s="1132">
        <f>'Quarterly Model'!BM14</f>
        <v>3661.7708801285485</v>
      </c>
      <c r="AJ17" s="1132">
        <f>'Quarterly Model'!BN14</f>
        <v>4241.5958849742692</v>
      </c>
      <c r="AK17" s="827">
        <f>'Quarterly Model'!BO14</f>
        <v>15409.207206719526</v>
      </c>
      <c r="AL17" s="1132">
        <f>'Quarterly Model'!BP14</f>
        <v>4082.5428839282222</v>
      </c>
      <c r="AM17" s="1132">
        <f>'Quarterly Model'!BQ14</f>
        <v>4244.310181081375</v>
      </c>
      <c r="AN17" s="1132">
        <f>'Quarterly Model'!BR14</f>
        <v>4366.7529895312373</v>
      </c>
      <c r="AO17" s="1132">
        <f>'Quarterly Model'!BS14</f>
        <v>5061.1547500369998</v>
      </c>
      <c r="AP17" s="827">
        <f>'Quarterly Model'!BT14</f>
        <v>17754.760804577836</v>
      </c>
      <c r="AQ17" s="1132">
        <f>'Quarterly Model'!BU14</f>
        <v>4772.8140621387929</v>
      </c>
      <c r="AR17" s="1132">
        <f>'Quarterly Model'!BV14</f>
        <v>4979.675065106172</v>
      </c>
      <c r="AS17" s="1132">
        <f>'Quarterly Model'!BW14</f>
        <v>5035.0188117624812</v>
      </c>
      <c r="AT17" s="1132">
        <f>'Quarterly Model'!BX14</f>
        <v>5856.5121129326108</v>
      </c>
      <c r="AU17" s="827">
        <f>'Quarterly Model'!BY14</f>
        <v>20644.020051940057</v>
      </c>
      <c r="AV17" s="1132">
        <f>'Quarterly Model'!BZ14</f>
        <v>5485.1370667287883</v>
      </c>
      <c r="AW17" s="1132">
        <f>'Quarterly Model'!CA14</f>
        <v>5732.5495982465936</v>
      </c>
      <c r="AX17" s="1132">
        <f>'Quarterly Model'!CB14</f>
        <v>5835.3164159402495</v>
      </c>
      <c r="AY17" s="1132">
        <f>'Quarterly Model'!CC14</f>
        <v>6797.8188942431125</v>
      </c>
      <c r="AZ17" s="827">
        <f>'Quarterly Model'!CD14</f>
        <v>23850.821975158746</v>
      </c>
    </row>
    <row r="18" spans="2:52">
      <c r="B18" s="138" t="str">
        <f>'Quarterly Model'!B15</f>
        <v>YoY % change</v>
      </c>
      <c r="C18" s="139">
        <f>'Quarterly Model'!AG15</f>
        <v>0</v>
      </c>
      <c r="D18" s="139">
        <f>'Quarterly Model'!AH15</f>
        <v>0</v>
      </c>
      <c r="E18" s="139">
        <f>'Quarterly Model'!AI15</f>
        <v>0</v>
      </c>
      <c r="F18" s="139">
        <f>'Quarterly Model'!AJ15</f>
        <v>0</v>
      </c>
      <c r="G18" s="1119">
        <f>'Quarterly Model'!AK15</f>
        <v>0</v>
      </c>
      <c r="H18" s="139">
        <f>'Quarterly Model'!AL15</f>
        <v>0</v>
      </c>
      <c r="I18" s="139">
        <f>'Quarterly Model'!AM15</f>
        <v>0</v>
      </c>
      <c r="J18" s="139">
        <f>'Quarterly Model'!AN15</f>
        <v>0</v>
      </c>
      <c r="K18" s="139">
        <f>'Quarterly Model'!AO15</f>
        <v>0</v>
      </c>
      <c r="L18" s="1119">
        <f>'Quarterly Model'!AP15</f>
        <v>0.18809607912398452</v>
      </c>
      <c r="M18" s="139" t="str">
        <f>'Quarterly Model'!AQ15</f>
        <v>NM</v>
      </c>
      <c r="N18" s="139" t="str">
        <f>'Quarterly Model'!AR15</f>
        <v>NM</v>
      </c>
      <c r="O18" s="139" t="str">
        <f>'Quarterly Model'!AS15</f>
        <v>NM</v>
      </c>
      <c r="P18" s="139" t="str">
        <f>'Quarterly Model'!AT15</f>
        <v>NM</v>
      </c>
      <c r="Q18" s="1119">
        <f>'Quarterly Model'!AU15</f>
        <v>0.19102125761855215</v>
      </c>
      <c r="R18" s="139">
        <f>'Quarterly Model'!AV15</f>
        <v>0.14056654195617324</v>
      </c>
      <c r="S18" s="139">
        <f>'Quarterly Model'!AW15</f>
        <v>0.15749621403331648</v>
      </c>
      <c r="T18" s="139">
        <f>'Quarterly Model'!AX15</f>
        <v>0.14561136478944703</v>
      </c>
      <c r="U18" s="139">
        <f>'Quarterly Model'!AY15</f>
        <v>0.16765646413887625</v>
      </c>
      <c r="V18" s="1133">
        <f>'Quarterly Model'!AZ15</f>
        <v>0.15426859710434337</v>
      </c>
      <c r="W18" s="139">
        <f>'Quarterly Model'!BA15</f>
        <v>0.19212746016869731</v>
      </c>
      <c r="X18" s="139">
        <f>'Quarterly Model'!BB15</f>
        <v>0.15569123419101616</v>
      </c>
      <c r="Y18" s="139">
        <f>'Quarterly Model'!BC15</f>
        <v>0.18113374667847659</v>
      </c>
      <c r="Z18" s="139">
        <f>'Quarterly Model'!BD15</f>
        <v>0.16627543035993742</v>
      </c>
      <c r="AA18" s="1133">
        <f>'Quarterly Model'!BE15</f>
        <v>0.17236159169550169</v>
      </c>
      <c r="AB18" s="139">
        <f>'Quarterly Model'!BF15</f>
        <v>0.16941823899371067</v>
      </c>
      <c r="AC18" s="139">
        <f>'Quarterly Model'!BG15</f>
        <v>0.18339622641509434</v>
      </c>
      <c r="AD18" s="139">
        <f>'Quarterly Model'!BH15</f>
        <v>0.21447319085114369</v>
      </c>
      <c r="AE18" s="139">
        <f>'Quarterly Model'!BI15</f>
        <v>0.24287151962428721</v>
      </c>
      <c r="AF18" s="1133">
        <f>'Quarterly Model'!BJ15</f>
        <v>0.20411363217118605</v>
      </c>
      <c r="AG18" s="139">
        <f>'Quarterly Model'!BK15</f>
        <v>0.23865546218487399</v>
      </c>
      <c r="AH18" s="139">
        <f>'Quarterly Model'!BL15</f>
        <v>0.2183802428624706</v>
      </c>
      <c r="AI18" s="139">
        <f>'Quarterly Model'!BM15</f>
        <v>0.13052512507827996</v>
      </c>
      <c r="AJ18" s="139">
        <f>'Quarterly Model'!BN15</f>
        <v>0.14483019837362199</v>
      </c>
      <c r="AK18" s="1133">
        <f>'Quarterly Model'!BO15</f>
        <v>0.18032992774565493</v>
      </c>
      <c r="AL18" s="139">
        <f>'Quarterly Model'!BP15</f>
        <v>0.10788137962774003</v>
      </c>
      <c r="AM18" s="139">
        <f>'Quarterly Model'!BQ15</f>
        <v>0.11083156858690635</v>
      </c>
      <c r="AN18" s="139">
        <f>'Quarterly Model'!BR15</f>
        <v>0.19252491007245665</v>
      </c>
      <c r="AO18" s="139">
        <f>'Quarterly Model'!BS15</f>
        <v>0.19321945967695653</v>
      </c>
      <c r="AP18" s="1133">
        <f>'Quarterly Model'!BT15</f>
        <v>0.15221766872181974</v>
      </c>
      <c r="AQ18" s="139">
        <f>'Quarterly Model'!BU15</f>
        <v>0.16907873299456733</v>
      </c>
      <c r="AR18" s="139">
        <f>'Quarterly Model'!BV15</f>
        <v>0.17325898736209688</v>
      </c>
      <c r="AS18" s="139">
        <f>'Quarterly Model'!BW15</f>
        <v>0.1530349492708496</v>
      </c>
      <c r="AT18" s="139">
        <f>'Quarterly Model'!BX15</f>
        <v>0.15714938629169484</v>
      </c>
      <c r="AU18" s="1133">
        <f>'Quarterly Model'!BY15</f>
        <v>0.16273152193733087</v>
      </c>
      <c r="AV18" s="139">
        <f>'Quarterly Model'!BZ15</f>
        <v>0.14924591557853173</v>
      </c>
      <c r="AW18" s="139">
        <f>'Quarterly Model'!CA15</f>
        <v>0.15118948993600045</v>
      </c>
      <c r="AX18" s="139">
        <f>'Quarterly Model'!CB15</f>
        <v>0.15894629873242283</v>
      </c>
      <c r="AY18" s="139">
        <f>'Quarterly Model'!CC15</f>
        <v>0.16072822238886286</v>
      </c>
      <c r="AZ18" s="1133">
        <f>'Quarterly Model'!CD15</f>
        <v>0.15533805504695408</v>
      </c>
    </row>
    <row r="19" spans="2:52" ht="6" customHeight="1">
      <c r="B19" s="163"/>
      <c r="C19" s="139"/>
      <c r="D19" s="139"/>
      <c r="E19" s="139"/>
      <c r="F19" s="139"/>
      <c r="G19" s="1134"/>
      <c r="H19" s="139"/>
      <c r="I19" s="139"/>
      <c r="J19" s="139"/>
      <c r="K19" s="139"/>
      <c r="L19" s="1134"/>
      <c r="M19" s="139"/>
      <c r="N19" s="139"/>
      <c r="O19" s="139"/>
      <c r="P19" s="139"/>
      <c r="Q19" s="1134"/>
      <c r="R19" s="139"/>
      <c r="S19" s="139"/>
      <c r="T19" s="139"/>
      <c r="U19" s="139"/>
      <c r="V19" s="1135"/>
      <c r="W19" s="139"/>
      <c r="X19" s="139"/>
      <c r="Y19" s="139"/>
      <c r="Z19" s="139"/>
      <c r="AA19" s="1135"/>
      <c r="AB19" s="139"/>
      <c r="AC19" s="139"/>
      <c r="AD19" s="139"/>
      <c r="AE19" s="139"/>
      <c r="AF19" s="1135"/>
      <c r="AG19" s="139"/>
      <c r="AH19" s="139"/>
      <c r="AI19" s="139"/>
      <c r="AJ19" s="139"/>
      <c r="AK19" s="1135"/>
      <c r="AL19" s="139"/>
      <c r="AM19" s="139"/>
      <c r="AN19" s="139"/>
      <c r="AO19" s="139"/>
      <c r="AP19" s="1135"/>
      <c r="AQ19" s="139"/>
      <c r="AR19" s="139"/>
      <c r="AS19" s="139"/>
      <c r="AT19" s="139"/>
      <c r="AU19" s="1135"/>
      <c r="AV19" s="139"/>
      <c r="AW19" s="139"/>
      <c r="AX19" s="139"/>
      <c r="AY19" s="139"/>
      <c r="AZ19" s="1135"/>
    </row>
    <row r="20" spans="2:52">
      <c r="B20" s="1125" t="str">
        <f>'Quarterly Model'!B18</f>
        <v>Transaction Expense</v>
      </c>
      <c r="C20" s="1126">
        <f>'Quarterly Model'!AG18</f>
        <v>0</v>
      </c>
      <c r="D20" s="1126">
        <f>'Quarterly Model'!AH18</f>
        <v>0</v>
      </c>
      <c r="E20" s="1126">
        <f>'Quarterly Model'!AI18</f>
        <v>0</v>
      </c>
      <c r="F20" s="1126">
        <f>'Quarterly Model'!AJ18</f>
        <v>0</v>
      </c>
      <c r="G20" s="1127">
        <f>'Quarterly Model'!AK18</f>
        <v>1518</v>
      </c>
      <c r="H20" s="1128">
        <f>'Quarterly Model'!AL18</f>
        <v>0</v>
      </c>
      <c r="I20" s="1128">
        <f>'Quarterly Model'!AM18</f>
        <v>0</v>
      </c>
      <c r="J20" s="1128">
        <f>'Quarterly Model'!AN18</f>
        <v>0</v>
      </c>
      <c r="K20" s="1128">
        <f>'Quarterly Model'!AO18</f>
        <v>0</v>
      </c>
      <c r="L20" s="1127">
        <f>'Quarterly Model'!AP18</f>
        <v>1835</v>
      </c>
      <c r="M20" s="1128">
        <f>'Quarterly Model'!AQ18</f>
        <v>514</v>
      </c>
      <c r="N20" s="1128">
        <f>'Quarterly Model'!AR18</f>
        <v>525</v>
      </c>
      <c r="O20" s="1128">
        <f>'Quarterly Model'!AS18</f>
        <v>537</v>
      </c>
      <c r="P20" s="1128">
        <f>'Quarterly Model'!AT18</f>
        <v>594</v>
      </c>
      <c r="Q20" s="1127">
        <f>'Quarterly Model'!AU18</f>
        <v>2170</v>
      </c>
      <c r="R20" s="1128">
        <f>'Quarterly Model'!AV18</f>
        <v>575</v>
      </c>
      <c r="S20" s="1136">
        <f>'Quarterly Model'!AW18</f>
        <v>634</v>
      </c>
      <c r="T20" s="1136">
        <f>'Quarterly Model'!AX18</f>
        <v>651</v>
      </c>
      <c r="U20" s="1136">
        <f>'Quarterly Model'!AY18</f>
        <v>750</v>
      </c>
      <c r="V20" s="1127">
        <f>'Quarterly Model'!AZ18</f>
        <v>2610</v>
      </c>
      <c r="W20" s="1136">
        <f>'Quarterly Model'!BA18</f>
        <v>752</v>
      </c>
      <c r="X20" s="1136">
        <f>'Quarterly Model'!BB18</f>
        <v>810</v>
      </c>
      <c r="Y20" s="1136">
        <f>'Quarterly Model'!BC18</f>
        <v>830</v>
      </c>
      <c r="Z20" s="1136">
        <f>'Quarterly Model'!BD18</f>
        <v>954</v>
      </c>
      <c r="AA20" s="1127">
        <f>'Quarterly Model'!BE18</f>
        <v>3346</v>
      </c>
      <c r="AB20" s="1136">
        <f>'Quarterly Model'!BF18</f>
        <v>987</v>
      </c>
      <c r="AC20" s="1136">
        <f>'Quarterly Model'!BG18</f>
        <v>1064</v>
      </c>
      <c r="AD20" s="1136">
        <f>'Quarterly Model'!BH18</f>
        <v>1102</v>
      </c>
      <c r="AE20" s="1136">
        <f>'Quarterly Model'!BI18</f>
        <v>1266</v>
      </c>
      <c r="AF20" s="1127">
        <f>'Quarterly Model'!BJ18</f>
        <v>4419</v>
      </c>
      <c r="AG20" s="1136">
        <f>'Quarterly Model'!BK18</f>
        <v>1275</v>
      </c>
      <c r="AH20" s="1136">
        <f>'Quarterly Model'!BL18</f>
        <v>1363.6012374129627</v>
      </c>
      <c r="AI20" s="1136">
        <f>'Quarterly Model'!BM18</f>
        <v>1430.3215423253496</v>
      </c>
      <c r="AJ20" s="1136">
        <f>'Quarterly Model'!BN18</f>
        <v>1634.1717241994377</v>
      </c>
      <c r="AK20" s="1127">
        <f>'Quarterly Model'!BO18</f>
        <v>5703.0945039377502</v>
      </c>
      <c r="AL20" s="1136">
        <f>'Quarterly Model'!BP18</f>
        <v>1588.3017165532783</v>
      </c>
      <c r="AM20" s="1136">
        <f>'Quarterly Model'!BQ18</f>
        <v>1691.7632518337628</v>
      </c>
      <c r="AN20" s="1136">
        <f>'Quarterly Model'!BR18</f>
        <v>1774.4938163923573</v>
      </c>
      <c r="AO20" s="1136">
        <f>'Quarterly Model'!BS18</f>
        <v>2027.3427141802129</v>
      </c>
      <c r="AP20" s="1127">
        <f>'Quarterly Model'!BT18</f>
        <v>7081.9014989596117</v>
      </c>
      <c r="AQ20" s="1136">
        <f>'Quarterly Model'!BU18</f>
        <v>1926.4329815059541</v>
      </c>
      <c r="AR20" s="1136">
        <f>'Quarterly Model'!BV18</f>
        <v>2052.9003328241656</v>
      </c>
      <c r="AS20" s="1136">
        <f>'Quarterly Model'!BW18</f>
        <v>2118.4087153426167</v>
      </c>
      <c r="AT20" s="1136">
        <f>'Quarterly Model'!BX18</f>
        <v>2421.4054517310888</v>
      </c>
      <c r="AU20" s="1127">
        <f>'Quarterly Model'!BY18</f>
        <v>8519.1474814038247</v>
      </c>
      <c r="AV20" s="1136">
        <f>'Quarterly Model'!BZ18</f>
        <v>2281.2991350147245</v>
      </c>
      <c r="AW20" s="1136">
        <f>'Quarterly Model'!CA18</f>
        <v>2430.9746081275512</v>
      </c>
      <c r="AX20" s="1136">
        <f>'Quarterly Model'!CB18</f>
        <v>2508.4568411660684</v>
      </c>
      <c r="AY20" s="1136">
        <f>'Quarterly Model'!CC18</f>
        <v>2867.1394058535457</v>
      </c>
      <c r="AZ20" s="1127">
        <f>'Quarterly Model'!CD18</f>
        <v>10087.869990161889</v>
      </c>
    </row>
    <row r="21" spans="2:52">
      <c r="B21" s="138" t="str">
        <f>'Quarterly Model'!B20</f>
        <v>As a % of TPV</v>
      </c>
      <c r="C21" s="142">
        <f>'Quarterly Model'!AG20</f>
        <v>0</v>
      </c>
      <c r="D21" s="142">
        <f>'Quarterly Model'!AH20</f>
        <v>0</v>
      </c>
      <c r="E21" s="142">
        <f>'Quarterly Model'!AI20</f>
        <v>0</v>
      </c>
      <c r="F21" s="175">
        <f>'Quarterly Model'!AJ20</f>
        <v>0</v>
      </c>
      <c r="G21" s="1137">
        <f>'Quarterly Model'!AK20</f>
        <v>1.0115549158370317E-2</v>
      </c>
      <c r="H21" s="145">
        <f>'Quarterly Model'!AL20</f>
        <v>0</v>
      </c>
      <c r="I21" s="145">
        <f>'Quarterly Model'!AM20</f>
        <v>0</v>
      </c>
      <c r="J21" s="145">
        <f>'Quarterly Model'!AN20</f>
        <v>0</v>
      </c>
      <c r="K21" s="175">
        <f>'Quarterly Model'!AO20</f>
        <v>0</v>
      </c>
      <c r="L21" s="1137">
        <f>'Quarterly Model'!AP20</f>
        <v>9.8865338405008454E-3</v>
      </c>
      <c r="M21" s="177">
        <f>'Quarterly Model'!AQ20</f>
        <v>9.5759743647067588E-3</v>
      </c>
      <c r="N21" s="175">
        <f>'Quarterly Model'!AR20</f>
        <v>9.2533840947546537E-3</v>
      </c>
      <c r="O21" s="175">
        <f>'Quarterly Model'!AS20</f>
        <v>9.2293413996975115E-3</v>
      </c>
      <c r="P21" s="175">
        <f>'Quarterly Model'!AT20</f>
        <v>8.9946849588879302E-3</v>
      </c>
      <c r="Q21" s="1137">
        <f>'Quarterly Model'!AU20</f>
        <v>9.2484071003899673E-3</v>
      </c>
      <c r="R21" s="177">
        <f>'Quarterly Model'!AV20</f>
        <v>9.1239428127132226E-3</v>
      </c>
      <c r="S21" s="180">
        <f>'Quarterly Model'!AW20</f>
        <v>9.395097952046471E-3</v>
      </c>
      <c r="T21" s="180">
        <f>'Quarterly Model'!AX20</f>
        <v>9.1282583395263395E-3</v>
      </c>
      <c r="U21" s="180">
        <f>'Quarterly Model'!AY20</f>
        <v>9.025053548651055E-3</v>
      </c>
      <c r="V21" s="1137">
        <f>'Quarterly Model'!AZ20</f>
        <v>9.0613044112235197E-3</v>
      </c>
      <c r="W21" s="180">
        <f>'Quarterly Model'!BA20</f>
        <v>9.1086374592715506E-3</v>
      </c>
      <c r="X21" s="180">
        <f>'Quarterly Model'!BB20</f>
        <v>9.2294019119674581E-3</v>
      </c>
      <c r="Y21" s="180">
        <f>'Quarterly Model'!BC20</f>
        <v>9.3368580910062442E-3</v>
      </c>
      <c r="Z21" s="180">
        <f>'Quarterly Model'!BD20</f>
        <v>9.4726494623228845E-3</v>
      </c>
      <c r="AA21" s="1137">
        <f>'Quarterly Model'!BE20</f>
        <v>9.2963037051854817E-3</v>
      </c>
      <c r="AB21" s="180">
        <f>'Quarterly Model'!BF20</f>
        <v>9.8073311539264105E-3</v>
      </c>
      <c r="AC21" s="180">
        <f>'Quarterly Model'!BG20</f>
        <v>9.870129870129871E-3</v>
      </c>
      <c r="AD21" s="180">
        <f>'Quarterly Model'!BH20</f>
        <v>9.5639797264458794E-3</v>
      </c>
      <c r="AE21" s="180">
        <f>'Quarterly Model'!BI20</f>
        <v>9.5536354374976418E-3</v>
      </c>
      <c r="AF21" s="1137">
        <f>'Quarterly Model'!BJ20</f>
        <v>9.6870081415587773E-3</v>
      </c>
      <c r="AG21" s="180">
        <f>'Quarterly Model'!BK20</f>
        <v>9.63252848206461E-3</v>
      </c>
      <c r="AH21" s="180">
        <f>'Quarterly Model'!BL20</f>
        <v>9.7011116859009958E-3</v>
      </c>
      <c r="AI21" s="180">
        <f>'Quarterly Model'!BM20</f>
        <v>9.7261116859009965E-3</v>
      </c>
      <c r="AJ21" s="180">
        <f>'Quarterly Model'!BN20</f>
        <v>9.7511116859009973E-3</v>
      </c>
      <c r="AK21" s="1137">
        <f>'Quarterly Model'!BO20</f>
        <v>9.7061799265027778E-3</v>
      </c>
      <c r="AL21" s="180">
        <f>'Quarterly Model'!BP20</f>
        <v>9.776111685900998E-3</v>
      </c>
      <c r="AM21" s="180">
        <f>'Quarterly Model'!BQ20</f>
        <v>9.8011116859009987E-3</v>
      </c>
      <c r="AN21" s="180">
        <f>'Quarterly Model'!BR20</f>
        <v>9.8261116859009994E-3</v>
      </c>
      <c r="AO21" s="180">
        <f>'Quarterly Model'!BS20</f>
        <v>9.8511116859010001E-3</v>
      </c>
      <c r="AP21" s="1137">
        <f>'Quarterly Model'!BT20</f>
        <v>9.8160021781789949E-3</v>
      </c>
      <c r="AQ21" s="180">
        <f>'Quarterly Model'!BU20</f>
        <v>9.8811116859010006E-3</v>
      </c>
      <c r="AR21" s="180">
        <f>'Quarterly Model'!BV20</f>
        <v>9.9111116859010012E-3</v>
      </c>
      <c r="AS21" s="180">
        <f>'Quarterly Model'!BW20</f>
        <v>9.9411116859010017E-3</v>
      </c>
      <c r="AT21" s="180">
        <f>'Quarterly Model'!BX20</f>
        <v>9.9711116859010022E-3</v>
      </c>
      <c r="AU21" s="1137">
        <f>'Quarterly Model'!BY20</f>
        <v>9.9287271064729798E-3</v>
      </c>
      <c r="AV21" s="180">
        <f>'Quarterly Model'!BZ20</f>
        <v>1.0001111685901003E-2</v>
      </c>
      <c r="AW21" s="180">
        <f>'Quarterly Model'!CA20</f>
        <v>1.0031111685901003E-2</v>
      </c>
      <c r="AX21" s="180">
        <f>'Quarterly Model'!CB20</f>
        <v>1.0061111685901004E-2</v>
      </c>
      <c r="AY21" s="180">
        <f>'Quarterly Model'!CC20</f>
        <v>1.0091111685901004E-2</v>
      </c>
      <c r="AZ21" s="1137">
        <f>'Quarterly Model'!CD20</f>
        <v>1.004872710647298E-2</v>
      </c>
    </row>
    <row r="22" spans="2:52">
      <c r="B22" s="1125" t="str">
        <f>'Quarterly Model'!B25</f>
        <v>Transaction and Loan Losses</v>
      </c>
      <c r="C22" s="1126">
        <f>'Quarterly Model'!AG25</f>
        <v>0</v>
      </c>
      <c r="D22" s="1126">
        <f>'Quarterly Model'!AH25</f>
        <v>0</v>
      </c>
      <c r="E22" s="1126">
        <f>'Quarterly Model'!AI25</f>
        <v>0</v>
      </c>
      <c r="F22" s="1126">
        <f>'Quarterly Model'!AJ25</f>
        <v>0</v>
      </c>
      <c r="G22" s="1127">
        <f>'Quarterly Model'!AK25</f>
        <v>365</v>
      </c>
      <c r="H22" s="1128">
        <f>'Quarterly Model'!AL25</f>
        <v>0</v>
      </c>
      <c r="I22" s="1128">
        <f>'Quarterly Model'!AM25</f>
        <v>0</v>
      </c>
      <c r="J22" s="1128">
        <f>'Quarterly Model'!AN25</f>
        <v>0</v>
      </c>
      <c r="K22" s="1128">
        <f>'Quarterly Model'!AO25</f>
        <v>0</v>
      </c>
      <c r="L22" s="1127">
        <f>'Quarterly Model'!AP25</f>
        <v>502</v>
      </c>
      <c r="M22" s="1128">
        <f>'Quarterly Model'!AQ25</f>
        <v>141</v>
      </c>
      <c r="N22" s="1128">
        <f>'Quarterly Model'!AR25</f>
        <v>154</v>
      </c>
      <c r="O22" s="1128">
        <f>'Quarterly Model'!AS25</f>
        <v>190</v>
      </c>
      <c r="P22" s="1128">
        <f>'Quarterly Model'!AT25</f>
        <v>204</v>
      </c>
      <c r="Q22" s="1127">
        <f>'Quarterly Model'!AU25</f>
        <v>689</v>
      </c>
      <c r="R22" s="1128">
        <f>'Quarterly Model'!AV25</f>
        <v>188</v>
      </c>
      <c r="S22" s="1136">
        <f>'Quarterly Model'!AW25</f>
        <v>197</v>
      </c>
      <c r="T22" s="1136">
        <f>'Quarterly Model'!AX25</f>
        <v>201</v>
      </c>
      <c r="U22" s="1136">
        <f>'Quarterly Model'!AY25</f>
        <v>245</v>
      </c>
      <c r="V22" s="1127">
        <f>'Quarterly Model'!AZ25</f>
        <v>831</v>
      </c>
      <c r="W22" s="1136">
        <f>'Quarterly Model'!BA25</f>
        <v>255</v>
      </c>
      <c r="X22" s="1136">
        <f>'Quarterly Model'!BB25</f>
        <v>255</v>
      </c>
      <c r="Y22" s="1136">
        <f>'Quarterly Model'!BC25</f>
        <v>271</v>
      </c>
      <c r="Z22" s="1136">
        <f>'Quarterly Model'!BD25</f>
        <v>307</v>
      </c>
      <c r="AA22" s="1127">
        <f>'Quarterly Model'!BE25</f>
        <v>1088</v>
      </c>
      <c r="AB22" s="1136">
        <f>'Quarterly Model'!BF25</f>
        <v>300</v>
      </c>
      <c r="AC22" s="1136">
        <f>'Quarterly Model'!BG25</f>
        <v>308</v>
      </c>
      <c r="AD22" s="1136">
        <f>'Quarterly Model'!BH25</f>
        <v>363</v>
      </c>
      <c r="AE22" s="1136">
        <f>'Quarterly Model'!BI25</f>
        <v>40</v>
      </c>
      <c r="AF22" s="1127">
        <f>'Quarterly Model'!BJ25</f>
        <v>1011</v>
      </c>
      <c r="AG22" s="1136">
        <f>'Quarterly Model'!BK25</f>
        <v>305</v>
      </c>
      <c r="AH22" s="1136">
        <f>'Quarterly Model'!BL25</f>
        <v>323.29107710489473</v>
      </c>
      <c r="AI22" s="1136">
        <f>'Quarterly Model'!BM25</f>
        <v>338.23789542917967</v>
      </c>
      <c r="AJ22" s="1136">
        <f>'Quarterly Model'!BN25</f>
        <v>385.45297056675179</v>
      </c>
      <c r="AK22" s="1127">
        <f>'Quarterly Model'!BO25</f>
        <v>1351.9819431008264</v>
      </c>
      <c r="AL22" s="1136">
        <f>'Quarterly Model'!BP25</f>
        <v>369.61386298091247</v>
      </c>
      <c r="AM22" s="1136">
        <f>'Quarterly Model'!BQ25</f>
        <v>392.68620961214975</v>
      </c>
      <c r="AN22" s="1136">
        <f>'Quarterly Model'!BR25</f>
        <v>410.84139498282582</v>
      </c>
      <c r="AO22" s="1136">
        <f>'Quarterly Model'!BS25</f>
        <v>468.19128864014544</v>
      </c>
      <c r="AP22" s="1127">
        <f>'Quarterly Model'!BT25</f>
        <v>1641.3327562160334</v>
      </c>
      <c r="AQ22" s="1136">
        <f>'Quarterly Model'!BU25</f>
        <v>443.5366355770949</v>
      </c>
      <c r="AR22" s="1136">
        <f>'Quarterly Model'!BV25</f>
        <v>471.22345153457974</v>
      </c>
      <c r="AS22" s="1136">
        <f>'Quarterly Model'!BW25</f>
        <v>484.79284607973443</v>
      </c>
      <c r="AT22" s="1136">
        <f>'Quarterly Model'!BX25</f>
        <v>552.46572059537164</v>
      </c>
      <c r="AU22" s="1127">
        <f>'Quarterly Model'!BY25</f>
        <v>1952.0186537867808</v>
      </c>
      <c r="AV22" s="1136">
        <f>'Quarterly Model'!BZ25</f>
        <v>518.93786362520098</v>
      </c>
      <c r="AW22" s="1136">
        <f>'Quarterly Model'!CA25</f>
        <v>551.33143829545827</v>
      </c>
      <c r="AX22" s="1136">
        <f>'Quarterly Model'!CB25</f>
        <v>567.20762991328922</v>
      </c>
      <c r="AY22" s="1136">
        <f>'Quarterly Model'!CC25</f>
        <v>646.38489309658462</v>
      </c>
      <c r="AZ22" s="1127">
        <f>'Quarterly Model'!CD25</f>
        <v>2283.8618249305332</v>
      </c>
    </row>
    <row r="23" spans="2:52">
      <c r="B23" s="138" t="str">
        <f>'Quarterly Model'!B27</f>
        <v>As a % of TPV</v>
      </c>
      <c r="C23" s="179">
        <f>'Quarterly Model'!AG27</f>
        <v>0</v>
      </c>
      <c r="D23" s="179">
        <f>'Quarterly Model'!AH27</f>
        <v>0</v>
      </c>
      <c r="E23" s="179">
        <f>'Quarterly Model'!AI27</f>
        <v>0</v>
      </c>
      <c r="F23" s="179">
        <f>'Quarterly Model'!AJ27</f>
        <v>0</v>
      </c>
      <c r="G23" s="1137">
        <f>'Quarterly Model'!AK27</f>
        <v>2.4322631375528099E-3</v>
      </c>
      <c r="H23" s="179">
        <f>'Quarterly Model'!AL27</f>
        <v>0</v>
      </c>
      <c r="I23" s="179">
        <f>'Quarterly Model'!AM27</f>
        <v>0</v>
      </c>
      <c r="J23" s="179">
        <f>'Quarterly Model'!AN27</f>
        <v>0</v>
      </c>
      <c r="K23" s="179">
        <f>'Quarterly Model'!AO27</f>
        <v>0</v>
      </c>
      <c r="L23" s="1137">
        <f>'Quarterly Model'!AP27</f>
        <v>2.7046539443767981E-3</v>
      </c>
      <c r="M23" s="180">
        <f>'Quarterly Model'!AQ27</f>
        <v>2.6268723451822041E-3</v>
      </c>
      <c r="N23" s="179">
        <f>'Quarterly Model'!AR27</f>
        <v>2.7143260011280317E-3</v>
      </c>
      <c r="O23" s="179">
        <f>'Quarterly Model'!AS27</f>
        <v>3.2655025436546131E-3</v>
      </c>
      <c r="P23" s="179">
        <f>'Quarterly Model'!AT27</f>
        <v>3.0890837232544406E-3</v>
      </c>
      <c r="Q23" s="1137">
        <f>'Quarterly Model'!AU27</f>
        <v>2.9364758028427133E-3</v>
      </c>
      <c r="R23" s="180">
        <f>'Quarterly Model'!AV27</f>
        <v>2.9831326065914536E-3</v>
      </c>
      <c r="S23" s="180">
        <f>'Quarterly Model'!AW27</f>
        <v>2.9192969977179101E-3</v>
      </c>
      <c r="T23" s="180">
        <f>'Quarterly Model'!AX27</f>
        <v>2.8184023444620498E-3</v>
      </c>
      <c r="U23" s="180">
        <f>'Quarterly Model'!AY27</f>
        <v>2.9481841592260112E-3</v>
      </c>
      <c r="V23" s="1137">
        <f>'Quarterly Model'!AZ27</f>
        <v>2.8850360021941551E-3</v>
      </c>
      <c r="W23" s="180">
        <f>'Quarterly Model'!BA27</f>
        <v>3.0887002022795818E-3</v>
      </c>
      <c r="X23" s="180">
        <f>'Quarterly Model'!BB27</f>
        <v>2.9055524537675331E-3</v>
      </c>
      <c r="Y23" s="180">
        <f>'Quarterly Model'!BC27</f>
        <v>3.0485404128466169E-3</v>
      </c>
      <c r="Z23" s="180">
        <f>'Quarterly Model'!BD27</f>
        <v>3.04832639930097E-3</v>
      </c>
      <c r="AA23" s="1137">
        <f>'Quarterly Model'!BE27</f>
        <v>3.0228267875797381E-3</v>
      </c>
      <c r="AB23" s="180">
        <f>'Quarterly Model'!BF27</f>
        <v>2.9809517185186659E-3</v>
      </c>
      <c r="AC23" s="180">
        <f>'Quarterly Model'!BG27</f>
        <v>2.8571428571428571E-3</v>
      </c>
      <c r="AD23" s="180">
        <f>'Quarterly Model'!BH27</f>
        <v>3.1503853363882527E-3</v>
      </c>
      <c r="AE23" s="180">
        <f>'Quarterly Model'!BI27</f>
        <v>3.0185262045806136E-4</v>
      </c>
      <c r="AF23" s="1137">
        <f>'Quarterly Model'!BJ27</f>
        <v>2.2162401518705417E-3</v>
      </c>
      <c r="AG23" s="180">
        <f>'Quarterly Model'!BK27</f>
        <v>2.3042519113958479E-3</v>
      </c>
      <c r="AH23" s="180">
        <f>'Quarterly Model'!BL27</f>
        <v>2.3E-3</v>
      </c>
      <c r="AI23" s="180">
        <f>'Quarterly Model'!BM27</f>
        <v>2.3E-3</v>
      </c>
      <c r="AJ23" s="180">
        <f>'Quarterly Model'!BN27</f>
        <v>2.3E-3</v>
      </c>
      <c r="AK23" s="1137">
        <f>'Quarterly Model'!BO27</f>
        <v>2.3009578375492229E-3</v>
      </c>
      <c r="AL23" s="180">
        <f>'Quarterly Model'!BP27</f>
        <v>2.2750000000000001E-3</v>
      </c>
      <c r="AM23" s="180">
        <f>'Quarterly Model'!BQ27</f>
        <v>2.2750000000000001E-3</v>
      </c>
      <c r="AN23" s="180">
        <f>'Quarterly Model'!BR27</f>
        <v>2.2750000000000001E-3</v>
      </c>
      <c r="AO23" s="180">
        <f>'Quarterly Model'!BS27</f>
        <v>2.2750000000000001E-3</v>
      </c>
      <c r="AP23" s="1137">
        <f>'Quarterly Model'!BT27</f>
        <v>2.2750000000000001E-3</v>
      </c>
      <c r="AQ23" s="180">
        <f>'Quarterly Model'!BU27</f>
        <v>2.2750000000000001E-3</v>
      </c>
      <c r="AR23" s="180">
        <f>'Quarterly Model'!BV27</f>
        <v>2.2750000000000001E-3</v>
      </c>
      <c r="AS23" s="180">
        <f>'Quarterly Model'!BW27</f>
        <v>2.2750000000000001E-3</v>
      </c>
      <c r="AT23" s="180">
        <f>'Quarterly Model'!BX27</f>
        <v>2.2750000000000001E-3</v>
      </c>
      <c r="AU23" s="1137">
        <f>'Quarterly Model'!BY27</f>
        <v>2.2750000000000005E-3</v>
      </c>
      <c r="AV23" s="180">
        <f>'Quarterly Model'!BZ27</f>
        <v>2.2750000000000001E-3</v>
      </c>
      <c r="AW23" s="180">
        <f>'Quarterly Model'!CA27</f>
        <v>2.2750000000000001E-3</v>
      </c>
      <c r="AX23" s="180">
        <f>'Quarterly Model'!CB27</f>
        <v>2.2750000000000001E-3</v>
      </c>
      <c r="AY23" s="180">
        <f>'Quarterly Model'!CC27</f>
        <v>2.2750000000000001E-3</v>
      </c>
      <c r="AZ23" s="1137">
        <f>'Quarterly Model'!CD27</f>
        <v>2.2750000000000001E-3</v>
      </c>
    </row>
    <row r="24" spans="2:52" ht="6" customHeight="1">
      <c r="B24" s="1138"/>
      <c r="C24" s="142"/>
      <c r="D24" s="142"/>
      <c r="E24" s="142"/>
      <c r="F24" s="175"/>
      <c r="G24" s="1129"/>
      <c r="H24" s="145"/>
      <c r="I24" s="145"/>
      <c r="J24" s="145"/>
      <c r="K24" s="175"/>
      <c r="L24" s="1129"/>
      <c r="M24" s="175"/>
      <c r="N24" s="175"/>
      <c r="O24" s="175"/>
      <c r="P24" s="175"/>
      <c r="Q24" s="1129"/>
      <c r="R24" s="175"/>
      <c r="S24" s="175"/>
      <c r="T24" s="175"/>
      <c r="U24" s="175"/>
      <c r="V24" s="1129"/>
      <c r="W24" s="175"/>
      <c r="X24" s="175"/>
      <c r="Y24" s="175"/>
      <c r="Z24" s="175"/>
      <c r="AA24" s="1129"/>
      <c r="AB24" s="175"/>
      <c r="AC24" s="175"/>
      <c r="AD24" s="175"/>
      <c r="AE24" s="175"/>
      <c r="AF24" s="1129"/>
      <c r="AG24" s="175"/>
      <c r="AH24" s="175"/>
      <c r="AI24" s="175"/>
      <c r="AJ24" s="175"/>
      <c r="AK24" s="1129"/>
      <c r="AL24" s="175"/>
      <c r="AM24" s="175"/>
      <c r="AN24" s="175"/>
      <c r="AO24" s="175"/>
      <c r="AP24" s="1129"/>
      <c r="AQ24" s="175"/>
      <c r="AR24" s="175"/>
      <c r="AS24" s="175"/>
      <c r="AT24" s="175"/>
      <c r="AU24" s="1129"/>
      <c r="AV24" s="175"/>
      <c r="AW24" s="175"/>
      <c r="AX24" s="175"/>
      <c r="AY24" s="175"/>
      <c r="AZ24" s="1129"/>
    </row>
    <row r="25" spans="2:52">
      <c r="B25" s="1130" t="str">
        <f>'Quarterly Model'!B33</f>
        <v>Gross Profit</v>
      </c>
      <c r="C25" s="1131">
        <f>'Quarterly Model'!AG33</f>
        <v>0</v>
      </c>
      <c r="D25" s="1131">
        <f>'Quarterly Model'!AH33</f>
        <v>0</v>
      </c>
      <c r="E25" s="1131">
        <f>'Quarterly Model'!AI33</f>
        <v>0</v>
      </c>
      <c r="F25" s="1131">
        <f>'Quarterly Model'!AJ33</f>
        <v>0</v>
      </c>
      <c r="G25" s="827">
        <f>'Quarterly Model'!AK33</f>
        <v>3779</v>
      </c>
      <c r="H25" s="1132">
        <f>'Quarterly Model'!AL33</f>
        <v>0</v>
      </c>
      <c r="I25" s="1132">
        <f>'Quarterly Model'!AM33</f>
        <v>0</v>
      </c>
      <c r="J25" s="1132">
        <f>'Quarterly Model'!AN33</f>
        <v>0</v>
      </c>
      <c r="K25" s="1132">
        <f>'Quarterly Model'!AO33</f>
        <v>0</v>
      </c>
      <c r="L25" s="827">
        <f>'Quarterly Model'!AP33</f>
        <v>4390</v>
      </c>
      <c r="M25" s="1132">
        <f>'Quarterly Model'!AQ33</f>
        <v>1216</v>
      </c>
      <c r="N25" s="1132">
        <f>'Quarterly Model'!AR33</f>
        <v>1302</v>
      </c>
      <c r="O25" s="1132">
        <f>'Quarterly Model'!AS33</f>
        <v>1244</v>
      </c>
      <c r="P25" s="1132">
        <f>'Quarterly Model'!AT33</f>
        <v>1391</v>
      </c>
      <c r="Q25" s="827">
        <f>'Quarterly Model'!AU33</f>
        <v>5153</v>
      </c>
      <c r="R25" s="1132">
        <f>'Quarterly Model'!AV33</f>
        <v>1371</v>
      </c>
      <c r="S25" s="1132">
        <f>'Quarterly Model'!AW33</f>
        <v>1462</v>
      </c>
      <c r="T25" s="1132">
        <f>'Quarterly Model'!AX33</f>
        <v>1406</v>
      </c>
      <c r="U25" s="1132">
        <f>'Quarterly Model'!AY33</f>
        <v>1561</v>
      </c>
      <c r="V25" s="827">
        <f>'Quarterly Model'!AZ33</f>
        <v>5807</v>
      </c>
      <c r="W25" s="1132">
        <f>'Quarterly Model'!BA33</f>
        <v>1537</v>
      </c>
      <c r="X25" s="1132">
        <f>'Quarterly Model'!BB33</f>
        <v>1585</v>
      </c>
      <c r="Y25" s="1132">
        <f>'Quarterly Model'!BC33</f>
        <v>1566</v>
      </c>
      <c r="Z25" s="1132">
        <f>'Quarterly Model'!BD33</f>
        <v>1720</v>
      </c>
      <c r="AA25" s="827">
        <f>'Quarterly Model'!BE33</f>
        <v>6408</v>
      </c>
      <c r="AB25" s="1132">
        <f>'Quarterly Model'!BF33</f>
        <v>1688</v>
      </c>
      <c r="AC25" s="1132">
        <f>'Quarterly Model'!BG33</f>
        <v>1764</v>
      </c>
      <c r="AD25" s="1132">
        <f>'Quarterly Model'!BH33</f>
        <v>1774</v>
      </c>
      <c r="AE25" s="1132">
        <f>'Quarterly Model'!BI33</f>
        <v>2399</v>
      </c>
      <c r="AF25" s="827">
        <f>'Quarterly Model'!BJ33</f>
        <v>7625</v>
      </c>
      <c r="AG25" s="1132">
        <f>'Quarterly Model'!BK33</f>
        <v>2105</v>
      </c>
      <c r="AH25" s="1132">
        <f>'Quarterly Model'!BL33</f>
        <v>2133.9481270988504</v>
      </c>
      <c r="AI25" s="1132">
        <f>'Quarterly Model'!BM33</f>
        <v>1893.2114423740193</v>
      </c>
      <c r="AJ25" s="1132">
        <f>'Quarterly Model'!BN33</f>
        <v>2221.9711902080799</v>
      </c>
      <c r="AK25" s="827">
        <f>'Quarterly Model'!BO33</f>
        <v>8354.1307596809493</v>
      </c>
      <c r="AL25" s="1132">
        <f>'Quarterly Model'!BP33</f>
        <v>2124.6273043940314</v>
      </c>
      <c r="AM25" s="1132">
        <f>'Quarterly Model'!BQ33</f>
        <v>2159.8607196354624</v>
      </c>
      <c r="AN25" s="1132">
        <f>'Quarterly Model'!BR33</f>
        <v>2181.4177781560543</v>
      </c>
      <c r="AO25" s="1132">
        <f>'Quarterly Model'!BS33</f>
        <v>2565.6207472166411</v>
      </c>
      <c r="AP25" s="827">
        <f>'Quarterly Model'!BT33</f>
        <v>9031.5265494021914</v>
      </c>
      <c r="AQ25" s="1132">
        <f>'Quarterly Model'!BU33</f>
        <v>2402.844445055744</v>
      </c>
      <c r="AR25" s="1132">
        <f>'Quarterly Model'!BV33</f>
        <v>2455.5512807474265</v>
      </c>
      <c r="AS25" s="1132">
        <f>'Quarterly Model'!BW33</f>
        <v>2431.8172503401302</v>
      </c>
      <c r="AT25" s="1132">
        <f>'Quarterly Model'!BX33</f>
        <v>2882.6409406061503</v>
      </c>
      <c r="AU25" s="827">
        <f>'Quarterly Model'!BY33</f>
        <v>10172.853916749451</v>
      </c>
      <c r="AV25" s="1132">
        <f>'Quarterly Model'!BZ33</f>
        <v>2684.900068088863</v>
      </c>
      <c r="AW25" s="1132">
        <f>'Quarterly Model'!CA33</f>
        <v>2750.2435518235843</v>
      </c>
      <c r="AX25" s="1132">
        <f>'Quarterly Model'!CB33</f>
        <v>2759.6519448608919</v>
      </c>
      <c r="AY25" s="1132">
        <f>'Quarterly Model'!CC33</f>
        <v>3284.2945952929822</v>
      </c>
      <c r="AZ25" s="827">
        <f>'Quarterly Model'!CD33</f>
        <v>11479.090160066324</v>
      </c>
    </row>
    <row r="26" spans="2:52">
      <c r="B26" s="190" t="str">
        <f>'Quarterly Model'!B34</f>
        <v>Gross Profit Margin ("Transaction Margin")</v>
      </c>
      <c r="C26" s="139">
        <f>'Quarterly Model'!AG34</f>
        <v>0</v>
      </c>
      <c r="D26" s="139">
        <f>'Quarterly Model'!AH34</f>
        <v>0</v>
      </c>
      <c r="E26" s="139">
        <f>'Quarterly Model'!AI34</f>
        <v>0</v>
      </c>
      <c r="F26" s="139">
        <f>'Quarterly Model'!AJ34</f>
        <v>0</v>
      </c>
      <c r="G26" s="1119">
        <f>'Quarterly Model'!AK34</f>
        <v>0.66743200282585657</v>
      </c>
      <c r="H26" s="139">
        <f>'Quarterly Model'!AL34</f>
        <v>0</v>
      </c>
      <c r="I26" s="139">
        <f>'Quarterly Model'!AM34</f>
        <v>0</v>
      </c>
      <c r="J26" s="139">
        <f>'Quarterly Model'!AN34</f>
        <v>0</v>
      </c>
      <c r="K26" s="139">
        <f>'Quarterly Model'!AO34</f>
        <v>0</v>
      </c>
      <c r="L26" s="1119">
        <f>'Quarterly Model'!AP34</f>
        <v>0.65259402408205736</v>
      </c>
      <c r="M26" s="139">
        <f>'Quarterly Model'!AQ34</f>
        <v>0.64991982896846601</v>
      </c>
      <c r="N26" s="139">
        <f>'Quarterly Model'!AR34</f>
        <v>0.65724381625441697</v>
      </c>
      <c r="O26" s="139">
        <f>'Quarterly Model'!AS34</f>
        <v>0.63115169964485029</v>
      </c>
      <c r="P26" s="139">
        <f>'Quarterly Model'!AT34</f>
        <v>0.63544997715851992</v>
      </c>
      <c r="Q26" s="1119">
        <f>'Quarterly Model'!AU34</f>
        <v>0.6431602596105841</v>
      </c>
      <c r="R26" s="139">
        <f>'Quarterly Model'!AV34</f>
        <v>0.64245548266166819</v>
      </c>
      <c r="S26" s="139">
        <f>'Quarterly Model'!AW34</f>
        <v>0.63759267335368508</v>
      </c>
      <c r="T26" s="139">
        <f>'Quarterly Model'!AX34</f>
        <v>0.62267493356953052</v>
      </c>
      <c r="U26" s="139">
        <f>'Quarterly Model'!AY34</f>
        <v>0.61071987480438183</v>
      </c>
      <c r="V26" s="1133">
        <f>'Quarterly Model'!AZ34</f>
        <v>0.62791955017301038</v>
      </c>
      <c r="W26" s="139">
        <f>'Quarterly Model'!BA34</f>
        <v>0.60416666666666663</v>
      </c>
      <c r="X26" s="139">
        <f>'Quarterly Model'!BB34</f>
        <v>0.59811320754716979</v>
      </c>
      <c r="Y26" s="139">
        <f>'Quarterly Model'!BC34</f>
        <v>0.58717660292463447</v>
      </c>
      <c r="Z26" s="139">
        <f>'Quarterly Model'!BD34</f>
        <v>0.57698758805769879</v>
      </c>
      <c r="AA26" s="1133">
        <f>'Quarterly Model'!BE34</f>
        <v>0.59103486441615938</v>
      </c>
      <c r="AB26" s="139">
        <f>'Quarterly Model'!BF34</f>
        <v>0.56739495798319328</v>
      </c>
      <c r="AC26" s="139">
        <f>'Quarterly Model'!BG34</f>
        <v>0.5625</v>
      </c>
      <c r="AD26" s="139">
        <f>'Quarterly Model'!BH34</f>
        <v>0.54769990737882057</v>
      </c>
      <c r="AE26" s="139">
        <f>'Quarterly Model'!BI34</f>
        <v>0.64750337381916334</v>
      </c>
      <c r="AF26" s="1133">
        <f>'Quarterly Model'!BJ34</f>
        <v>0.58406740712370742</v>
      </c>
      <c r="AG26" s="139">
        <f>'Quarterly Model'!BK34</f>
        <v>0.57123473541383984</v>
      </c>
      <c r="AH26" s="139">
        <f>'Quarterly Model'!BL34</f>
        <v>0.55850228757417453</v>
      </c>
      <c r="AI26" s="139">
        <f>'Quarterly Model'!BM34</f>
        <v>0.51702072695153367</v>
      </c>
      <c r="AJ26" s="139">
        <f>'Quarterly Model'!BN34</f>
        <v>0.52385263718294062</v>
      </c>
      <c r="AK26" s="1133">
        <f>'Quarterly Model'!BO34</f>
        <v>0.54215188670043624</v>
      </c>
      <c r="AL26" s="139">
        <f>'Quarterly Model'!BP34</f>
        <v>0.52041763302917599</v>
      </c>
      <c r="AM26" s="139">
        <f>'Quarterly Model'!BQ34</f>
        <v>0.50888380619843576</v>
      </c>
      <c r="AN26" s="139">
        <f>'Quarterly Model'!BR34</f>
        <v>0.49955144781162109</v>
      </c>
      <c r="AO26" s="139">
        <f>'Quarterly Model'!BS34</f>
        <v>0.50692398749472833</v>
      </c>
      <c r="AP26" s="1133">
        <f>'Quarterly Model'!BT34</f>
        <v>0.50868196135165777</v>
      </c>
      <c r="AQ26" s="139">
        <f>'Quarterly Model'!BU34</f>
        <v>0.50344396697050076</v>
      </c>
      <c r="AR26" s="139">
        <f>'Quarterly Model'!BV34</f>
        <v>0.4931147612329343</v>
      </c>
      <c r="AS26" s="139">
        <f>'Quarterly Model'!BW34</f>
        <v>0.48298076755127073</v>
      </c>
      <c r="AT26" s="139">
        <f>'Quarterly Model'!BX34</f>
        <v>0.4922112146307312</v>
      </c>
      <c r="AU26" s="1133">
        <f>'Quarterly Model'!BY34</f>
        <v>0.49277485156256856</v>
      </c>
      <c r="AV26" s="139">
        <f>'Quarterly Model'!BZ34</f>
        <v>0.48948641308795526</v>
      </c>
      <c r="AW26" s="139">
        <f>'Quarterly Model'!CA34</f>
        <v>0.4797592248769722</v>
      </c>
      <c r="AX26" s="139">
        <f>'Quarterly Model'!CB34</f>
        <v>0.47292241725271156</v>
      </c>
      <c r="AY26" s="139">
        <f>'Quarterly Model'!CC34</f>
        <v>0.48313946670076219</v>
      </c>
      <c r="AZ26" s="1133">
        <f>'Quarterly Model'!CD34</f>
        <v>0.4812869834013308</v>
      </c>
    </row>
    <row r="27" spans="2:52">
      <c r="B27" s="138" t="str">
        <f>'Quarterly Model'!B35</f>
        <v>As a % of TPV</v>
      </c>
      <c r="C27" s="142">
        <f>'Quarterly Model'!AG35</f>
        <v>0</v>
      </c>
      <c r="D27" s="142">
        <f>'Quarterly Model'!AH35</f>
        <v>0</v>
      </c>
      <c r="E27" s="142">
        <f>'Quarterly Model'!AI35</f>
        <v>0</v>
      </c>
      <c r="F27" s="175">
        <f>'Quarterly Model'!AJ35</f>
        <v>0</v>
      </c>
      <c r="G27" s="1129">
        <f>'Quarterly Model'!AK35</f>
        <v>0</v>
      </c>
      <c r="H27" s="145">
        <f>'Quarterly Model'!AL35</f>
        <v>0</v>
      </c>
      <c r="I27" s="145">
        <f>'Quarterly Model'!AM35</f>
        <v>0</v>
      </c>
      <c r="J27" s="145">
        <f>'Quarterly Model'!AN35</f>
        <v>0</v>
      </c>
      <c r="K27" s="175">
        <f>'Quarterly Model'!AO35</f>
        <v>0</v>
      </c>
      <c r="L27" s="1129">
        <f>'Quarterly Model'!AP35</f>
        <v>0</v>
      </c>
      <c r="M27" s="175">
        <f>'Quarterly Model'!AQ35</f>
        <v>0</v>
      </c>
      <c r="N27" s="175">
        <f>'Quarterly Model'!AR35</f>
        <v>0</v>
      </c>
      <c r="O27" s="175">
        <f>'Quarterly Model'!AS35</f>
        <v>0</v>
      </c>
      <c r="P27" s="175">
        <f>'Quarterly Model'!AT35</f>
        <v>0</v>
      </c>
      <c r="Q27" s="1139">
        <f>'Quarterly Model'!AU35</f>
        <v>2.1961770409359219E-2</v>
      </c>
      <c r="R27" s="178">
        <f>'Quarterly Model'!AV35</f>
        <v>2.1754653210834484E-2</v>
      </c>
      <c r="S27" s="178">
        <f>'Quarterly Model'!AW35</f>
        <v>2.1665036602353221E-2</v>
      </c>
      <c r="T27" s="178">
        <f>'Quarterly Model'!AX35</f>
        <v>1.9714794509023095E-2</v>
      </c>
      <c r="U27" s="178">
        <f>'Quarterly Model'!AY35</f>
        <v>1.878414478592573E-2</v>
      </c>
      <c r="V27" s="1139">
        <f>'Quarterly Model'!AZ35</f>
        <v>2.0160534373936771E-2</v>
      </c>
      <c r="W27" s="178">
        <f>'Quarterly Model'!BA35</f>
        <v>1.8616989062367518E-2</v>
      </c>
      <c r="X27" s="178">
        <f>'Quarterly Model'!BB35</f>
        <v>1.8060002506751136E-2</v>
      </c>
      <c r="Y27" s="178">
        <f>'Quarterly Model'!BC35</f>
        <v>1.761628888013949E-2</v>
      </c>
      <c r="Z27" s="178">
        <f>'Quarterly Model'!BD35</f>
        <v>1.7078571357647128E-2</v>
      </c>
      <c r="AA27" s="1139">
        <f>'Quarterly Model'!BE35</f>
        <v>1.7803560712142428E-2</v>
      </c>
      <c r="AB27" s="178">
        <f>'Quarterly Model'!BF35</f>
        <v>1.6772821669531691E-2</v>
      </c>
      <c r="AC27" s="178">
        <f>'Quarterly Model'!BG35</f>
        <v>1.6363636363636365E-2</v>
      </c>
      <c r="AD27" s="178">
        <f>'Quarterly Model'!BH35</f>
        <v>1.539609803513157E-2</v>
      </c>
      <c r="AE27" s="178">
        <f>'Quarterly Model'!BI35</f>
        <v>1.810361091197223E-2</v>
      </c>
      <c r="AF27" s="1139">
        <f>'Quarterly Model'!BJ35</f>
        <v>1.6714966526224413E-2</v>
      </c>
      <c r="AG27" s="178">
        <f>'Quarterly Model'!BK35</f>
        <v>1.5903115650781178E-2</v>
      </c>
      <c r="AH27" s="178">
        <f>'Quarterly Model'!BL35</f>
        <v>1.5181615082852672E-2</v>
      </c>
      <c r="AI27" s="178">
        <f>'Quarterly Model'!BM35</f>
        <v>1.2873738798354031E-2</v>
      </c>
      <c r="AJ27" s="178">
        <f>'Quarterly Model'!BN35</f>
        <v>1.3258514339542634E-2</v>
      </c>
      <c r="AK27" s="1139">
        <f>'Quarterly Model'!BO35</f>
        <v>1.421801729341985E-2</v>
      </c>
      <c r="AL27" s="178">
        <f>'Quarterly Model'!BP35</f>
        <v>1.3077234383240745E-2</v>
      </c>
      <c r="AM27" s="178">
        <f>'Quarterly Model'!BQ35</f>
        <v>1.2513001518499586E-2</v>
      </c>
      <c r="AN27" s="178">
        <f>'Quarterly Model'!BR35</f>
        <v>1.2079419225787796E-2</v>
      </c>
      <c r="AO27" s="178">
        <f>'Quarterly Model'!BS35</f>
        <v>1.2466671938452165E-2</v>
      </c>
      <c r="AP27" s="1139">
        <f>'Quarterly Model'!BT35</f>
        <v>1.2518316485231719E-2</v>
      </c>
      <c r="AQ27" s="178">
        <f>'Quarterly Model'!BU35</f>
        <v>1.2324734134733372E-2</v>
      </c>
      <c r="AR27" s="178">
        <f>'Quarterly Model'!BV35</f>
        <v>1.1855053362704829E-2</v>
      </c>
      <c r="AS27" s="178">
        <f>'Quarterly Model'!BW35</f>
        <v>1.141185207096451E-2</v>
      </c>
      <c r="AT27" s="178">
        <f>'Quarterly Model'!BX35</f>
        <v>1.1870434482001296E-2</v>
      </c>
      <c r="AU27" s="1139">
        <f>'Quarterly Model'!BY35</f>
        <v>1.1856056096445964E-2</v>
      </c>
      <c r="AV27" s="178">
        <f>'Quarterly Model'!BZ35</f>
        <v>1.1770479826297139E-2</v>
      </c>
      <c r="AW27" s="178">
        <f>'Quarterly Model'!CA35</f>
        <v>1.1348534920741516E-2</v>
      </c>
      <c r="AX27" s="178">
        <f>'Quarterly Model'!CB35</f>
        <v>1.1068624333417904E-2</v>
      </c>
      <c r="AY27" s="178">
        <f>'Quarterly Model'!CC35</f>
        <v>1.1559320590704279E-2</v>
      </c>
      <c r="AZ27" s="1139">
        <f>'Quarterly Model'!CD35</f>
        <v>1.1434549073451591E-2</v>
      </c>
    </row>
    <row r="28" spans="2:52" ht="5.25" customHeight="1">
      <c r="B28" s="138"/>
      <c r="C28" s="142"/>
      <c r="D28" s="142"/>
      <c r="E28" s="142"/>
      <c r="F28" s="175"/>
      <c r="G28" s="1129"/>
      <c r="H28" s="145"/>
      <c r="I28" s="145"/>
      <c r="J28" s="145"/>
      <c r="K28" s="175"/>
      <c r="L28" s="1129"/>
      <c r="M28" s="175"/>
      <c r="N28" s="175"/>
      <c r="O28" s="175"/>
      <c r="P28" s="175"/>
      <c r="Q28" s="1129"/>
      <c r="R28" s="175"/>
      <c r="S28" s="175"/>
      <c r="T28" s="175"/>
      <c r="U28" s="175"/>
      <c r="V28" s="1129"/>
      <c r="W28" s="175"/>
      <c r="X28" s="175"/>
      <c r="Y28" s="175"/>
      <c r="Z28" s="175"/>
      <c r="AA28" s="1129"/>
      <c r="AB28" s="175"/>
      <c r="AC28" s="175"/>
      <c r="AD28" s="175"/>
      <c r="AE28" s="175"/>
      <c r="AF28" s="1129"/>
      <c r="AG28" s="175"/>
      <c r="AH28" s="175"/>
      <c r="AI28" s="175"/>
      <c r="AJ28" s="175"/>
      <c r="AK28" s="1129"/>
      <c r="AL28" s="175"/>
      <c r="AM28" s="175"/>
      <c r="AN28" s="175"/>
      <c r="AO28" s="175"/>
      <c r="AP28" s="1129"/>
      <c r="AQ28" s="175"/>
      <c r="AR28" s="175"/>
      <c r="AS28" s="175"/>
      <c r="AT28" s="175"/>
      <c r="AU28" s="1129"/>
      <c r="AV28" s="175"/>
      <c r="AW28" s="175"/>
      <c r="AX28" s="175"/>
      <c r="AY28" s="175"/>
      <c r="AZ28" s="1129"/>
    </row>
    <row r="29" spans="2:52">
      <c r="B29" s="1125" t="str">
        <f>'Quarterly Model'!B37</f>
        <v>Customer Support and Operations</v>
      </c>
      <c r="C29" s="1126">
        <f>'Quarterly Model'!AG37</f>
        <v>0</v>
      </c>
      <c r="D29" s="1126">
        <f>'Quarterly Model'!AH37</f>
        <v>0</v>
      </c>
      <c r="E29" s="1126">
        <f>'Quarterly Model'!AI37</f>
        <v>0</v>
      </c>
      <c r="F29" s="1126">
        <f>'Quarterly Model'!AJ37</f>
        <v>0</v>
      </c>
      <c r="G29" s="1127">
        <f>'Quarterly Model'!AK37</f>
        <v>765</v>
      </c>
      <c r="H29" s="1128">
        <f>'Quarterly Model'!AL37</f>
        <v>0</v>
      </c>
      <c r="I29" s="1128">
        <f>'Quarterly Model'!AM37</f>
        <v>0</v>
      </c>
      <c r="J29" s="1128">
        <f>'Quarterly Model'!AN37</f>
        <v>0</v>
      </c>
      <c r="K29" s="1128">
        <f>'Quarterly Model'!AO37</f>
        <v>0</v>
      </c>
      <c r="L29" s="1127">
        <f>'Quarterly Model'!AP37</f>
        <v>876</v>
      </c>
      <c r="M29" s="1140">
        <f>'Quarterly Model'!AQ37</f>
        <v>224</v>
      </c>
      <c r="N29" s="1128">
        <f>'Quarterly Model'!AR37</f>
        <v>236</v>
      </c>
      <c r="O29" s="1128">
        <f>'Quarterly Model'!AS37</f>
        <v>236</v>
      </c>
      <c r="P29" s="1128">
        <f>'Quarterly Model'!AT37</f>
        <v>256</v>
      </c>
      <c r="Q29" s="1127">
        <f>'Quarterly Model'!AU37</f>
        <v>952</v>
      </c>
      <c r="R29" s="1140">
        <f>'Quarterly Model'!AV37</f>
        <v>238</v>
      </c>
      <c r="S29" s="1128">
        <f>'Quarterly Model'!AW37</f>
        <v>266</v>
      </c>
      <c r="T29" s="1128">
        <f>'Quarterly Model'!AX37</f>
        <v>268</v>
      </c>
      <c r="U29" s="1128">
        <f>'Quarterly Model'!AY37</f>
        <v>281</v>
      </c>
      <c r="V29" s="1127">
        <f>'Quarterly Model'!AZ37</f>
        <v>1053</v>
      </c>
      <c r="W29" s="1128">
        <f>'Quarterly Model'!BA37</f>
        <v>278</v>
      </c>
      <c r="X29" s="1128">
        <f>'Quarterly Model'!BB37</f>
        <v>296</v>
      </c>
      <c r="Y29" s="1128">
        <f>'Quarterly Model'!BC37</f>
        <v>304</v>
      </c>
      <c r="Z29" s="1128">
        <f>'Quarterly Model'!BD37</f>
        <v>304</v>
      </c>
      <c r="AA29" s="1127">
        <f>'Quarterly Model'!BE37</f>
        <v>1182</v>
      </c>
      <c r="AB29" s="1128">
        <f>'Quarterly Model'!BF37</f>
        <v>287</v>
      </c>
      <c r="AC29" s="1128">
        <f>'Quarterly Model'!BG37</f>
        <v>301</v>
      </c>
      <c r="AD29" s="1128">
        <f>'Quarterly Model'!BH37</f>
        <v>308</v>
      </c>
      <c r="AE29" s="1128">
        <f>'Quarterly Model'!BI37</f>
        <v>326</v>
      </c>
      <c r="AF29" s="1127">
        <f>'Quarterly Model'!BJ37</f>
        <v>1222</v>
      </c>
      <c r="AG29" s="1128">
        <f>'Quarterly Model'!BK37</f>
        <v>313</v>
      </c>
      <c r="AH29" s="1128">
        <f>'Quarterly Model'!BL37</f>
        <v>328.52404868543658</v>
      </c>
      <c r="AI29" s="1128">
        <f>'Quarterly Model'!BM37</f>
        <v>302.42960252250339</v>
      </c>
      <c r="AJ29" s="1128">
        <f>'Quarterly Model'!BN37</f>
        <v>341.40267553249373</v>
      </c>
      <c r="AK29" s="1127">
        <f>'Quarterly Model'!BO37</f>
        <v>1285.3563267404338</v>
      </c>
      <c r="AL29" s="1128">
        <f>'Quarterly Model'!BP37</f>
        <v>341.26929034258495</v>
      </c>
      <c r="AM29" s="1128">
        <f>'Quarterly Model'!BQ37</f>
        <v>335.22471305219506</v>
      </c>
      <c r="AN29" s="1128">
        <f>'Quarterly Model'!BR37</f>
        <v>330.08756362467841</v>
      </c>
      <c r="AO29" s="1128">
        <f>'Quarterly Model'!BS37</f>
        <v>371.94023278089043</v>
      </c>
      <c r="AP29" s="1127">
        <f>'Quarterly Model'!BT37</f>
        <v>1378.5217998003488</v>
      </c>
      <c r="AQ29" s="1128">
        <f>'Quarterly Model'!BU37</f>
        <v>365.56097112869276</v>
      </c>
      <c r="AR29" s="1128">
        <f>'Quarterly Model'!BV37</f>
        <v>358.44768191862465</v>
      </c>
      <c r="AS29" s="1128">
        <f>'Quarterly Model'!BW37</f>
        <v>345.35736549658202</v>
      </c>
      <c r="AT29" s="1128">
        <f>'Quarterly Model'!BX37</f>
        <v>389.39482730906923</v>
      </c>
      <c r="AU29" s="1127">
        <f>'Quarterly Model'!BY37</f>
        <v>1458.7608458529685</v>
      </c>
      <c r="AV29" s="1128">
        <f>'Quarterly Model'!BZ37</f>
        <v>373.495787897377</v>
      </c>
      <c r="AW29" s="1128">
        <f>'Quarterly Model'!CA37</f>
        <v>363.91453253154708</v>
      </c>
      <c r="AX29" s="1128">
        <f>'Quarterly Model'!CB37</f>
        <v>350.65045094675219</v>
      </c>
      <c r="AY29" s="1128">
        <f>'Quarterly Model'!CC37</f>
        <v>394.20010510880769</v>
      </c>
      <c r="AZ29" s="1127">
        <f>'Quarterly Model'!CD37</f>
        <v>1482.260876484484</v>
      </c>
    </row>
    <row r="30" spans="2:52">
      <c r="B30" s="199" t="str">
        <f>'Quarterly Model'!B39</f>
        <v>as a % of net revenue</v>
      </c>
      <c r="C30" s="139">
        <f>'Quarterly Model'!AG39</f>
        <v>0</v>
      </c>
      <c r="D30" s="139">
        <f>'Quarterly Model'!AH39</f>
        <v>0</v>
      </c>
      <c r="E30" s="139">
        <f>'Quarterly Model'!AI39</f>
        <v>0</v>
      </c>
      <c r="F30" s="139">
        <f>'Quarterly Model'!AJ39</f>
        <v>0</v>
      </c>
      <c r="G30" s="1119">
        <f>'Quarterly Model'!AK39</f>
        <v>0.13511126810314378</v>
      </c>
      <c r="H30" s="139">
        <f>'Quarterly Model'!AL39</f>
        <v>0</v>
      </c>
      <c r="I30" s="139">
        <f>'Quarterly Model'!AM39</f>
        <v>0</v>
      </c>
      <c r="J30" s="139">
        <f>'Quarterly Model'!AN39</f>
        <v>0</v>
      </c>
      <c r="K30" s="139">
        <f>'Quarterly Model'!AO39</f>
        <v>0</v>
      </c>
      <c r="L30" s="1119">
        <f>'Quarterly Model'!AP39</f>
        <v>0.1302214954660324</v>
      </c>
      <c r="M30" s="173">
        <f>'Quarterly Model'!AQ39</f>
        <v>0.11972207375734902</v>
      </c>
      <c r="N30" s="139">
        <f>'Quarterly Model'!AR39</f>
        <v>0.11913175164058556</v>
      </c>
      <c r="O30" s="139">
        <f>'Quarterly Model'!AS39</f>
        <v>0.11973617453069507</v>
      </c>
      <c r="P30" s="139">
        <f>'Quarterly Model'!AT39</f>
        <v>0.11694837825491092</v>
      </c>
      <c r="Q30" s="1119">
        <f>'Quarterly Model'!AU39</f>
        <v>0.11882176734897654</v>
      </c>
      <c r="R30" s="173">
        <f>'Quarterly Model'!AV39</f>
        <v>0.11152764761012184</v>
      </c>
      <c r="S30" s="173">
        <f>'Quarterly Model'!AW39</f>
        <v>0.11600523331879634</v>
      </c>
      <c r="T30" s="173">
        <f>'Quarterly Model'!AX39</f>
        <v>0.11868910540301152</v>
      </c>
      <c r="U30" s="173">
        <f>'Quarterly Model'!AY39</f>
        <v>0.10993740219092332</v>
      </c>
      <c r="V30" s="1119">
        <f>'Quarterly Model'!AZ39</f>
        <v>0.11386245674740485</v>
      </c>
      <c r="W30" s="173">
        <f>'Quarterly Model'!BA39</f>
        <v>0.10927672955974843</v>
      </c>
      <c r="X30" s="173">
        <f>'Quarterly Model'!BB39</f>
        <v>0.11169811320754718</v>
      </c>
      <c r="Y30" s="173">
        <f>'Quarterly Model'!BC39</f>
        <v>0.11398575178102738</v>
      </c>
      <c r="Z30" s="173">
        <f>'Quarterly Model'!BD39</f>
        <v>0.10197920161019793</v>
      </c>
      <c r="AA30" s="1119">
        <f>'Quarterly Model'!BE39</f>
        <v>0.10902047592695074</v>
      </c>
      <c r="AB30" s="173">
        <f>'Quarterly Model'!BF39</f>
        <v>9.6470588235294114E-2</v>
      </c>
      <c r="AC30" s="173">
        <f>'Quarterly Model'!BG39</f>
        <v>9.5982142857142863E-2</v>
      </c>
      <c r="AD30" s="173">
        <f>'Quarterly Model'!BH39</f>
        <v>9.5091077493053414E-2</v>
      </c>
      <c r="AE30" s="173">
        <f>'Quarterly Model'!BI39</f>
        <v>8.7989203778677458E-2</v>
      </c>
      <c r="AF30" s="1119">
        <f>'Quarterly Model'!BJ39</f>
        <v>9.3603983148219078E-2</v>
      </c>
      <c r="AG30" s="173">
        <f>'Quarterly Model'!BK39</f>
        <v>8.4938941655359562E-2</v>
      </c>
      <c r="AH30" s="173">
        <f>'Quarterly Model'!BL39</f>
        <v>8.5982142857142868E-2</v>
      </c>
      <c r="AI30" s="173">
        <f>'Quarterly Model'!BM39</f>
        <v>8.2591077493053416E-2</v>
      </c>
      <c r="AJ30" s="173">
        <f>'Quarterly Model'!BN39</f>
        <v>8.0489203778677465E-2</v>
      </c>
      <c r="AK30" s="1119">
        <f>'Quarterly Model'!BO39</f>
        <v>8.3414825272771054E-2</v>
      </c>
      <c r="AL30" s="173">
        <f>'Quarterly Model'!BP39</f>
        <v>8.3592334494773435E-2</v>
      </c>
      <c r="AM30" s="173">
        <f>'Quarterly Model'!BQ39</f>
        <v>7.8982142857142862E-2</v>
      </c>
      <c r="AN30" s="173">
        <f>'Quarterly Model'!BR39</f>
        <v>7.559107749305341E-2</v>
      </c>
      <c r="AO30" s="173">
        <f>'Quarterly Model'!BS39</f>
        <v>7.3489203778677459E-2</v>
      </c>
      <c r="AP30" s="1119">
        <f>'Quarterly Model'!BT39</f>
        <v>7.7642375190147009E-2</v>
      </c>
      <c r="AQ30" s="173">
        <f>'Quarterly Model'!BU39</f>
        <v>7.6592334494773429E-2</v>
      </c>
      <c r="AR30" s="173">
        <f>'Quarterly Model'!BV39</f>
        <v>7.1982142857142856E-2</v>
      </c>
      <c r="AS30" s="173">
        <f>'Quarterly Model'!BW39</f>
        <v>6.8591077493053404E-2</v>
      </c>
      <c r="AT30" s="173">
        <f>'Quarterly Model'!BX39</f>
        <v>6.6489203778677453E-2</v>
      </c>
      <c r="AU30" s="1119">
        <f>'Quarterly Model'!BY39</f>
        <v>7.0662634611996469E-2</v>
      </c>
      <c r="AV30" s="173">
        <f>'Quarterly Model'!BZ39</f>
        <v>6.8092334494773421E-2</v>
      </c>
      <c r="AW30" s="173">
        <f>'Quarterly Model'!CA39</f>
        <v>6.3482142857142848E-2</v>
      </c>
      <c r="AX30" s="173">
        <f>'Quarterly Model'!CB39</f>
        <v>6.0091077493053403E-2</v>
      </c>
      <c r="AY30" s="173">
        <f>'Quarterly Model'!CC39</f>
        <v>5.7989203778677452E-2</v>
      </c>
      <c r="AZ30" s="1119">
        <f>'Quarterly Model'!CD39</f>
        <v>6.214716113466854E-2</v>
      </c>
    </row>
    <row r="31" spans="2:52">
      <c r="B31" s="1125" t="str">
        <f>'Quarterly Model'!B44</f>
        <v>Sales and Marketing</v>
      </c>
      <c r="C31" s="1126">
        <f>'Quarterly Model'!AG44</f>
        <v>0</v>
      </c>
      <c r="D31" s="1126">
        <f>'Quarterly Model'!AH44</f>
        <v>0</v>
      </c>
      <c r="E31" s="1126">
        <f>'Quarterly Model'!AI44</f>
        <v>0</v>
      </c>
      <c r="F31" s="1126">
        <f>'Quarterly Model'!AJ44</f>
        <v>0</v>
      </c>
      <c r="G31" s="1127">
        <f>'Quarterly Model'!AK44</f>
        <v>619</v>
      </c>
      <c r="H31" s="1128">
        <f>'Quarterly Model'!AL44</f>
        <v>0</v>
      </c>
      <c r="I31" s="1128">
        <f>'Quarterly Model'!AM44</f>
        <v>0</v>
      </c>
      <c r="J31" s="1128">
        <f>'Quarterly Model'!AN44</f>
        <v>0</v>
      </c>
      <c r="K31" s="1128">
        <f>'Quarterly Model'!AO44</f>
        <v>0</v>
      </c>
      <c r="L31" s="1127">
        <f>'Quarterly Model'!AP44</f>
        <v>745</v>
      </c>
      <c r="M31" s="1140">
        <f>'Quarterly Model'!AQ44</f>
        <v>173</v>
      </c>
      <c r="N31" s="1128">
        <f>'Quarterly Model'!AR44</f>
        <v>210</v>
      </c>
      <c r="O31" s="1128">
        <f>'Quarterly Model'!AS44</f>
        <v>228</v>
      </c>
      <c r="P31" s="1128">
        <f>'Quarterly Model'!AT44</f>
        <v>224</v>
      </c>
      <c r="Q31" s="1127">
        <f>'Quarterly Model'!AU44</f>
        <v>835</v>
      </c>
      <c r="R31" s="1140">
        <f>'Quarterly Model'!AV44</f>
        <v>196</v>
      </c>
      <c r="S31" s="1128">
        <f>'Quarterly Model'!AW44</f>
        <v>211</v>
      </c>
      <c r="T31" s="1128">
        <f>'Quarterly Model'!AX44</f>
        <v>208</v>
      </c>
      <c r="U31" s="1128">
        <f>'Quarterly Model'!AY44</f>
        <v>245</v>
      </c>
      <c r="V31" s="1127">
        <f>'Quarterly Model'!AZ44</f>
        <v>860</v>
      </c>
      <c r="W31" s="1128">
        <f>'Quarterly Model'!BA44</f>
        <v>217</v>
      </c>
      <c r="X31" s="1128">
        <f>'Quarterly Model'!BB44</f>
        <v>228</v>
      </c>
      <c r="Y31" s="1128">
        <f>'Quarterly Model'!BC44</f>
        <v>212</v>
      </c>
      <c r="Z31" s="1128">
        <f>'Quarterly Model'!BD44</f>
        <v>228</v>
      </c>
      <c r="AA31" s="1127">
        <f>'Quarterly Model'!BE44</f>
        <v>885</v>
      </c>
      <c r="AB31" s="1128">
        <f>'Quarterly Model'!BF44</f>
        <v>210</v>
      </c>
      <c r="AC31" s="1128">
        <f>'Quarterly Model'!BG44</f>
        <v>251</v>
      </c>
      <c r="AD31" s="1128">
        <f>'Quarterly Model'!BH44</f>
        <v>242</v>
      </c>
      <c r="AE31" s="1128">
        <f>'Quarterly Model'!BI44</f>
        <v>285</v>
      </c>
      <c r="AF31" s="1127">
        <f>'Quarterly Model'!BJ44</f>
        <v>988</v>
      </c>
      <c r="AG31" s="1128">
        <f>'Quarterly Model'!BK44</f>
        <v>241</v>
      </c>
      <c r="AH31" s="1128">
        <f>'Quarterly Model'!BL44</f>
        <v>286.70923875039654</v>
      </c>
      <c r="AI31" s="1128">
        <f>'Quarterly Model'!BM44</f>
        <v>255.27822586830095</v>
      </c>
      <c r="AJ31" s="1128">
        <f>'Quarterly Model'!BN44</f>
        <v>305.06862711161091</v>
      </c>
      <c r="AK31" s="1127">
        <f>'Quarterly Model'!BO44</f>
        <v>1088.0560917303083</v>
      </c>
      <c r="AL31" s="1128">
        <f>'Quarterly Model'!BP44</f>
        <v>246.58669807064425</v>
      </c>
      <c r="AM31" s="1128">
        <f>'Quarterly Model'!BQ44</f>
        <v>297.26412250405389</v>
      </c>
      <c r="AN31" s="1128">
        <f>'Quarterly Model'!BR44</f>
        <v>282.59187839939563</v>
      </c>
      <c r="AO31" s="1128">
        <f>'Quarterly Model'!BS44</f>
        <v>338.70804865632226</v>
      </c>
      <c r="AP31" s="1127">
        <f>'Quarterly Model'!BT44</f>
        <v>1165.1507476304159</v>
      </c>
      <c r="AQ31" s="1128">
        <f>'Quarterly Model'!BU44</f>
        <v>264.41519424304875</v>
      </c>
      <c r="AR31" s="1128">
        <f>'Quarterly Model'!BV44</f>
        <v>323.8694280226577</v>
      </c>
      <c r="AS31" s="1128">
        <f>'Quarterly Model'!BW44</f>
        <v>300.66321811578888</v>
      </c>
      <c r="AT31" s="1128">
        <f>'Quarterly Model'!BX44</f>
        <v>362.65325007005782</v>
      </c>
      <c r="AU31" s="1127">
        <f>'Quarterly Model'!BY44</f>
        <v>1251.6010904515531</v>
      </c>
      <c r="AV31" s="1128">
        <f>'Quarterly Model'!BZ44</f>
        <v>276.45239666708392</v>
      </c>
      <c r="AW31" s="1128">
        <f>'Quarterly Model'!CA44</f>
        <v>344.17233366003455</v>
      </c>
      <c r="AX31" s="1128">
        <f>'Quarterly Model'!CB44</f>
        <v>319.27594172057144</v>
      </c>
      <c r="AY31" s="1128">
        <f>'Quarterly Model'!CC44</f>
        <v>386.95276782614638</v>
      </c>
      <c r="AZ31" s="1127">
        <f>'Quarterly Model'!CD44</f>
        <v>1326.8534398738361</v>
      </c>
    </row>
    <row r="32" spans="2:52">
      <c r="B32" s="199" t="str">
        <f>'Quarterly Model'!B46</f>
        <v>as a % of net revenue</v>
      </c>
      <c r="C32" s="139">
        <f>'Quarterly Model'!AG46</f>
        <v>0</v>
      </c>
      <c r="D32" s="139">
        <f>'Quarterly Model'!AH46</f>
        <v>0</v>
      </c>
      <c r="E32" s="139">
        <f>'Quarterly Model'!AI46</f>
        <v>0</v>
      </c>
      <c r="F32" s="139">
        <f>'Quarterly Model'!AJ46</f>
        <v>0</v>
      </c>
      <c r="G32" s="1119">
        <f>'Quarterly Model'!AK46</f>
        <v>0.10932532673966797</v>
      </c>
      <c r="H32" s="139">
        <f>'Quarterly Model'!AL46</f>
        <v>0</v>
      </c>
      <c r="I32" s="139">
        <f>'Quarterly Model'!AM46</f>
        <v>0</v>
      </c>
      <c r="J32" s="139">
        <f>'Quarterly Model'!AN46</f>
        <v>0</v>
      </c>
      <c r="K32" s="139">
        <f>'Quarterly Model'!AO46</f>
        <v>0</v>
      </c>
      <c r="L32" s="1119">
        <f>'Quarterly Model'!AP46</f>
        <v>0.11074773301620336</v>
      </c>
      <c r="M32" s="173">
        <f>'Quarterly Model'!AQ46</f>
        <v>9.2463923035809734E-2</v>
      </c>
      <c r="N32" s="139">
        <f>'Quarterly Model'!AR46</f>
        <v>0.10600706713780919</v>
      </c>
      <c r="O32" s="139">
        <f>'Quarterly Model'!AS46</f>
        <v>0.11567732115677321</v>
      </c>
      <c r="P32" s="139">
        <f>'Quarterly Model'!AT46</f>
        <v>0.10232983097304706</v>
      </c>
      <c r="Q32" s="1119">
        <f>'Quarterly Model'!AU46</f>
        <v>0.10421867199201199</v>
      </c>
      <c r="R32" s="173">
        <f>'Quarterly Model'!AV46</f>
        <v>9.1846298031865045E-2</v>
      </c>
      <c r="S32" s="173">
        <f>'Quarterly Model'!AW46</f>
        <v>9.2019188835586574E-2</v>
      </c>
      <c r="T32" s="173">
        <f>'Quarterly Model'!AX46</f>
        <v>9.211691762621789E-2</v>
      </c>
      <c r="U32" s="173">
        <f>'Quarterly Model'!AY46</f>
        <v>9.5852895148669792E-2</v>
      </c>
      <c r="V32" s="1119">
        <f>'Quarterly Model'!AZ46</f>
        <v>9.2993079584775082E-2</v>
      </c>
      <c r="W32" s="173">
        <f>'Quarterly Model'!BA46</f>
        <v>8.5298742138364775E-2</v>
      </c>
      <c r="X32" s="173">
        <f>'Quarterly Model'!BB46</f>
        <v>8.6037735849056607E-2</v>
      </c>
      <c r="Y32" s="173">
        <f>'Quarterly Model'!BC46</f>
        <v>7.9490063742032241E-2</v>
      </c>
      <c r="Z32" s="173">
        <f>'Quarterly Model'!BD46</f>
        <v>7.6484401207648434E-2</v>
      </c>
      <c r="AA32" s="1119">
        <f>'Quarterly Model'!BE46</f>
        <v>8.162700608743774E-2</v>
      </c>
      <c r="AB32" s="173">
        <f>'Quarterly Model'!BF46</f>
        <v>7.0588235294117646E-2</v>
      </c>
      <c r="AC32" s="173">
        <f>'Quarterly Model'!BG46</f>
        <v>8.0038265306122444E-2</v>
      </c>
      <c r="AD32" s="173">
        <f>'Quarterly Model'!BH46</f>
        <v>7.4714418030256247E-2</v>
      </c>
      <c r="AE32" s="173">
        <f>'Quarterly Model'!BI46</f>
        <v>7.6923076923076927E-2</v>
      </c>
      <c r="AF32" s="1119">
        <f>'Quarterly Model'!BJ46</f>
        <v>7.567981616238989E-2</v>
      </c>
      <c r="AG32" s="173">
        <f>'Quarterly Model'!BK46</f>
        <v>6.5400271370420621E-2</v>
      </c>
      <c r="AH32" s="173">
        <f>'Quarterly Model'!BL46</f>
        <v>7.503826530612244E-2</v>
      </c>
      <c r="AI32" s="173">
        <f>'Quarterly Model'!BM46</f>
        <v>6.9714418030256242E-2</v>
      </c>
      <c r="AJ32" s="173">
        <f>'Quarterly Model'!BN46</f>
        <v>7.1923076923076923E-2</v>
      </c>
      <c r="AK32" s="1119">
        <f>'Quarterly Model'!BO46</f>
        <v>7.0610776864356614E-2</v>
      </c>
      <c r="AL32" s="173">
        <f>'Quarterly Model'!BP46</f>
        <v>6.0400271370420623E-2</v>
      </c>
      <c r="AM32" s="173">
        <f>'Quarterly Model'!BQ46</f>
        <v>7.0038265306122435E-2</v>
      </c>
      <c r="AN32" s="173">
        <f>'Quarterly Model'!BR46</f>
        <v>6.4714418030256238E-2</v>
      </c>
      <c r="AO32" s="173">
        <f>'Quarterly Model'!BS46</f>
        <v>6.6923076923076918E-2</v>
      </c>
      <c r="AP32" s="1119">
        <f>'Quarterly Model'!BT46</f>
        <v>6.5624694156960817E-2</v>
      </c>
      <c r="AQ32" s="173">
        <f>'Quarterly Model'!BU46</f>
        <v>5.5400271370420626E-2</v>
      </c>
      <c r="AR32" s="173">
        <f>'Quarterly Model'!BV46</f>
        <v>6.5038265306122431E-2</v>
      </c>
      <c r="AS32" s="173">
        <f>'Quarterly Model'!BW46</f>
        <v>5.971441803025624E-2</v>
      </c>
      <c r="AT32" s="173">
        <f>'Quarterly Model'!BX46</f>
        <v>6.1923076923076921E-2</v>
      </c>
      <c r="AU32" s="1119">
        <f>'Quarterly Model'!BY46</f>
        <v>6.0627779245638343E-2</v>
      </c>
      <c r="AV32" s="173">
        <f>'Quarterly Model'!BZ46</f>
        <v>5.0400271370420628E-2</v>
      </c>
      <c r="AW32" s="173">
        <f>'Quarterly Model'!CA46</f>
        <v>6.0038265306122433E-2</v>
      </c>
      <c r="AX32" s="173">
        <f>'Quarterly Model'!CB46</f>
        <v>5.4714418030256243E-2</v>
      </c>
      <c r="AY32" s="173">
        <f>'Quarterly Model'!CC46</f>
        <v>5.6923076923076923E-2</v>
      </c>
      <c r="AZ32" s="1119">
        <f>'Quarterly Model'!CD46</f>
        <v>5.5631350619940421E-2</v>
      </c>
    </row>
    <row r="33" spans="2:52">
      <c r="B33" s="1125" t="str">
        <f>'Quarterly Model'!B51</f>
        <v>Product Development</v>
      </c>
      <c r="C33" s="1126">
        <f>'Quarterly Model'!AG51</f>
        <v>0</v>
      </c>
      <c r="D33" s="1126">
        <f>'Quarterly Model'!AH51</f>
        <v>0</v>
      </c>
      <c r="E33" s="1126">
        <f>'Quarterly Model'!AI51</f>
        <v>0</v>
      </c>
      <c r="F33" s="1126">
        <f>'Quarterly Model'!AJ51</f>
        <v>0</v>
      </c>
      <c r="G33" s="1127">
        <f>'Quarterly Model'!AK51</f>
        <v>617</v>
      </c>
      <c r="H33" s="1128">
        <f>'Quarterly Model'!AL51</f>
        <v>0</v>
      </c>
      <c r="I33" s="1128">
        <f>'Quarterly Model'!AM51</f>
        <v>0</v>
      </c>
      <c r="J33" s="1128">
        <f>'Quarterly Model'!AN51</f>
        <v>0</v>
      </c>
      <c r="K33" s="1128">
        <f>'Quarterly Model'!AO51</f>
        <v>0</v>
      </c>
      <c r="L33" s="1127">
        <f>'Quarterly Model'!AP51</f>
        <v>640</v>
      </c>
      <c r="M33" s="1140">
        <f>'Quarterly Model'!AQ51</f>
        <v>141</v>
      </c>
      <c r="N33" s="1128">
        <f>'Quarterly Model'!AR51</f>
        <v>161</v>
      </c>
      <c r="O33" s="1128">
        <f>'Quarterly Model'!AS51</f>
        <v>164</v>
      </c>
      <c r="P33" s="1128">
        <f>'Quarterly Model'!AT51</f>
        <v>173</v>
      </c>
      <c r="Q33" s="1127">
        <f>'Quarterly Model'!AU51</f>
        <v>639</v>
      </c>
      <c r="R33" s="1140">
        <f>'Quarterly Model'!AV51</f>
        <v>156</v>
      </c>
      <c r="S33" s="1128">
        <f>'Quarterly Model'!AW51</f>
        <v>167</v>
      </c>
      <c r="T33" s="1128">
        <f>'Quarterly Model'!AX51</f>
        <v>164</v>
      </c>
      <c r="U33" s="1128">
        <f>'Quarterly Model'!AY51</f>
        <v>173</v>
      </c>
      <c r="V33" s="1127">
        <f>'Quarterly Model'!AZ51</f>
        <v>660</v>
      </c>
      <c r="W33" s="1128">
        <f>'Quarterly Model'!BA51</f>
        <v>162</v>
      </c>
      <c r="X33" s="1128">
        <f>'Quarterly Model'!BB51</f>
        <v>174</v>
      </c>
      <c r="Y33" s="1128">
        <f>'Quarterly Model'!BC51</f>
        <v>181</v>
      </c>
      <c r="Z33" s="1128">
        <f>'Quarterly Model'!BD51</f>
        <v>178</v>
      </c>
      <c r="AA33" s="1127">
        <f>'Quarterly Model'!BE51</f>
        <v>695</v>
      </c>
      <c r="AB33" s="1128">
        <f>'Quarterly Model'!BF51</f>
        <v>169</v>
      </c>
      <c r="AC33" s="1128">
        <f>'Quarterly Model'!BG51</f>
        <v>173</v>
      </c>
      <c r="AD33" s="1128">
        <f>'Quarterly Model'!BH51</f>
        <v>176</v>
      </c>
      <c r="AE33" s="1128">
        <f>'Quarterly Model'!BI51</f>
        <v>195</v>
      </c>
      <c r="AF33" s="1127">
        <f>'Quarterly Model'!BJ51</f>
        <v>713</v>
      </c>
      <c r="AG33" s="1128">
        <f>'Quarterly Model'!BK51</f>
        <v>194</v>
      </c>
      <c r="AH33" s="1128">
        <f>'Quarterly Model'!BL51</f>
        <v>195.49642024874058</v>
      </c>
      <c r="AI33" s="1128">
        <f>'Quarterly Model'!BM51</f>
        <v>180.66356761313452</v>
      </c>
      <c r="AJ33" s="1128">
        <f>'Quarterly Model'!BN51</f>
        <v>202.03390925798493</v>
      </c>
      <c r="AK33" s="1127">
        <f>'Quarterly Model'!BO51</f>
        <v>772.19389711986014</v>
      </c>
      <c r="AL33" s="1128">
        <f>'Quarterly Model'!BP51</f>
        <v>195.00617837421188</v>
      </c>
      <c r="AM33" s="1128">
        <f>'Quarterly Model'!BQ51</f>
        <v>196.45136147435642</v>
      </c>
      <c r="AN33" s="1128">
        <f>'Quarterly Model'!BR51</f>
        <v>194.13605013231</v>
      </c>
      <c r="AO33" s="1128">
        <f>'Quarterly Model'!BS51</f>
        <v>216.37235686105549</v>
      </c>
      <c r="AP33" s="1127">
        <f>'Quarterly Model'!BT51</f>
        <v>801.96594684193383</v>
      </c>
      <c r="AQ33" s="1128">
        <f>'Quarterly Model'!BU51</f>
        <v>208.88631969128105</v>
      </c>
      <c r="AR33" s="1128">
        <f>'Quarterly Model'!BV51</f>
        <v>210.56962516888396</v>
      </c>
      <c r="AS33" s="1128">
        <f>'Quarterly Model'!BW51</f>
        <v>203.70557546890129</v>
      </c>
      <c r="AT33" s="1128">
        <f>'Quarterly Model'!BX51</f>
        <v>226.94909150052754</v>
      </c>
      <c r="AU33" s="1127">
        <f>'Quarterly Model'!BY51</f>
        <v>850.11061182959384</v>
      </c>
      <c r="AV33" s="1128">
        <f>'Quarterly Model'!BZ51</f>
        <v>215.37863292515661</v>
      </c>
      <c r="AW33" s="1128">
        <f>'Quarterly Model'!CA51</f>
        <v>216.60906620207263</v>
      </c>
      <c r="AX33" s="1128">
        <f>'Quarterly Model'!CB51</f>
        <v>209.82489884911024</v>
      </c>
      <c r="AY33" s="1128">
        <f>'Quarterly Model'!CC51</f>
        <v>232.83603052608069</v>
      </c>
      <c r="AZ33" s="1127">
        <f>'Quarterly Model'!CD51</f>
        <v>874.64862850242014</v>
      </c>
    </row>
    <row r="34" spans="2:52">
      <c r="B34" s="199" t="str">
        <f>'Quarterly Model'!B53</f>
        <v>as a % of net revenue</v>
      </c>
      <c r="C34" s="139">
        <f>'Quarterly Model'!AG53</f>
        <v>0</v>
      </c>
      <c r="D34" s="139">
        <f>'Quarterly Model'!AH53</f>
        <v>0</v>
      </c>
      <c r="E34" s="139">
        <f>'Quarterly Model'!AI53</f>
        <v>0</v>
      </c>
      <c r="F34" s="139">
        <f>'Quarterly Model'!AJ53</f>
        <v>0</v>
      </c>
      <c r="G34" s="1119">
        <f>'Quarterly Model'!AK53</f>
        <v>0.10897209466619569</v>
      </c>
      <c r="H34" s="139">
        <f>'Quarterly Model'!AL53</f>
        <v>0</v>
      </c>
      <c r="I34" s="139">
        <f>'Quarterly Model'!AM53</f>
        <v>0</v>
      </c>
      <c r="J34" s="139">
        <f>'Quarterly Model'!AN53</f>
        <v>0</v>
      </c>
      <c r="K34" s="139">
        <f>'Quarterly Model'!AO53</f>
        <v>0</v>
      </c>
      <c r="L34" s="1119">
        <f>'Quarterly Model'!AP53</f>
        <v>9.513899212130221E-2</v>
      </c>
      <c r="M34" s="173">
        <f>'Quarterly Model'!AQ53</f>
        <v>7.536076964190272E-2</v>
      </c>
      <c r="N34" s="139">
        <f>'Quarterly Model'!AR53</f>
        <v>8.1272084805653705E-2</v>
      </c>
      <c r="O34" s="139">
        <f>'Quarterly Model'!AS53</f>
        <v>8.320649416539827E-2</v>
      </c>
      <c r="P34" s="139">
        <f>'Quarterly Model'!AT53</f>
        <v>7.9031521242576522E-2</v>
      </c>
      <c r="Q34" s="1119">
        <f>'Quarterly Model'!AU53</f>
        <v>7.9755366949575635E-2</v>
      </c>
      <c r="R34" s="173">
        <f>'Quarterly Model'!AV53</f>
        <v>7.3102155576382374E-2</v>
      </c>
      <c r="S34" s="173">
        <f>'Quarterly Model'!AW53</f>
        <v>7.2830353249018751E-2</v>
      </c>
      <c r="T34" s="173">
        <f>'Quarterly Model'!AX53</f>
        <v>7.2630646589902564E-2</v>
      </c>
      <c r="U34" s="173">
        <f>'Quarterly Model'!AY53</f>
        <v>6.768388106416276E-2</v>
      </c>
      <c r="V34" s="1119">
        <f>'Quarterly Model'!AZ53</f>
        <v>7.1366782006920412E-2</v>
      </c>
      <c r="W34" s="173">
        <f>'Quarterly Model'!BA53</f>
        <v>6.3679245283018868E-2</v>
      </c>
      <c r="X34" s="173">
        <f>'Quarterly Model'!BB53</f>
        <v>6.5660377358490563E-2</v>
      </c>
      <c r="Y34" s="173">
        <f>'Quarterly Model'!BC53</f>
        <v>6.7866516685414324E-2</v>
      </c>
      <c r="Z34" s="173">
        <f>'Quarterly Model'!BD53</f>
        <v>5.9711506205971147E-2</v>
      </c>
      <c r="AA34" s="1119">
        <f>'Quarterly Model'!BE53</f>
        <v>6.4102564102564097E-2</v>
      </c>
      <c r="AB34" s="173">
        <f>'Quarterly Model'!BF53</f>
        <v>5.6806722689075627E-2</v>
      </c>
      <c r="AC34" s="173">
        <f>'Quarterly Model'!BG53</f>
        <v>5.5165816326530615E-2</v>
      </c>
      <c r="AD34" s="173">
        <f>'Quarterly Model'!BH53</f>
        <v>5.4337758567459093E-2</v>
      </c>
      <c r="AE34" s="173">
        <f>'Quarterly Model'!BI53</f>
        <v>5.2631578947368418E-2</v>
      </c>
      <c r="AF34" s="1119">
        <f>'Quarterly Model'!BJ53</f>
        <v>5.4615090003829948E-2</v>
      </c>
      <c r="AG34" s="173">
        <f>'Quarterly Model'!BK53</f>
        <v>5.2645861601085482E-2</v>
      </c>
      <c r="AH34" s="173">
        <f>'Quarterly Model'!BL53</f>
        <v>5.1165816326530611E-2</v>
      </c>
      <c r="AI34" s="173">
        <f>'Quarterly Model'!BM53</f>
        <v>4.9337758567459096E-2</v>
      </c>
      <c r="AJ34" s="173">
        <f>'Quarterly Model'!BN53</f>
        <v>4.7631578947368421E-2</v>
      </c>
      <c r="AK34" s="1119">
        <f>'Quarterly Model'!BO53</f>
        <v>5.011250006315237E-2</v>
      </c>
      <c r="AL34" s="173">
        <f>'Quarterly Model'!BP53</f>
        <v>4.7765861601085487E-2</v>
      </c>
      <c r="AM34" s="173">
        <f>'Quarterly Model'!BQ53</f>
        <v>4.6285816326530616E-2</v>
      </c>
      <c r="AN34" s="173">
        <f>'Quarterly Model'!BR53</f>
        <v>4.4457758567459101E-2</v>
      </c>
      <c r="AO34" s="173">
        <f>'Quarterly Model'!BS53</f>
        <v>4.2751578947368425E-2</v>
      </c>
      <c r="AP34" s="1119">
        <f>'Quarterly Model'!BT53</f>
        <v>4.5169065112674302E-2</v>
      </c>
      <c r="AQ34" s="173">
        <f>'Quarterly Model'!BU53</f>
        <v>4.376586160108549E-2</v>
      </c>
      <c r="AR34" s="173">
        <f>'Quarterly Model'!BV53</f>
        <v>4.2285816326530612E-2</v>
      </c>
      <c r="AS34" s="173">
        <f>'Quarterly Model'!BW53</f>
        <v>4.0457758567459104E-2</v>
      </c>
      <c r="AT34" s="173">
        <f>'Quarterly Model'!BX53</f>
        <v>3.8751578947368429E-2</v>
      </c>
      <c r="AU34" s="1119">
        <f>'Quarterly Model'!BY53</f>
        <v>4.1179509111632706E-2</v>
      </c>
      <c r="AV34" s="173">
        <f>'Quarterly Model'!BZ53</f>
        <v>3.9265861601085486E-2</v>
      </c>
      <c r="AW34" s="173">
        <f>'Quarterly Model'!CA53</f>
        <v>3.7785816326530608E-2</v>
      </c>
      <c r="AX34" s="173">
        <f>'Quarterly Model'!CB53</f>
        <v>3.59577585674591E-2</v>
      </c>
      <c r="AY34" s="173">
        <f>'Quarterly Model'!CC53</f>
        <v>3.4251578947368425E-2</v>
      </c>
      <c r="AZ34" s="1119">
        <f>'Quarterly Model'!CD53</f>
        <v>3.6671634605020723E-2</v>
      </c>
    </row>
    <row r="35" spans="2:52">
      <c r="B35" s="1125" t="str">
        <f>'Quarterly Model'!B58</f>
        <v>General and Administrative</v>
      </c>
      <c r="C35" s="1126">
        <f>'Quarterly Model'!AG58</f>
        <v>0</v>
      </c>
      <c r="D35" s="1126">
        <f>'Quarterly Model'!AH58</f>
        <v>0</v>
      </c>
      <c r="E35" s="1126">
        <f>'Quarterly Model'!AI58</f>
        <v>0</v>
      </c>
      <c r="F35" s="1126">
        <f>'Quarterly Model'!AJ58</f>
        <v>0</v>
      </c>
      <c r="G35" s="1127">
        <f>'Quarterly Model'!AK58</f>
        <v>287</v>
      </c>
      <c r="H35" s="1128">
        <f>'Quarterly Model'!AL58</f>
        <v>0</v>
      </c>
      <c r="I35" s="1128">
        <f>'Quarterly Model'!AM58</f>
        <v>0</v>
      </c>
      <c r="J35" s="1128">
        <f>'Quarterly Model'!AN58</f>
        <v>0</v>
      </c>
      <c r="K35" s="1128">
        <f>'Quarterly Model'!AO58</f>
        <v>0</v>
      </c>
      <c r="L35" s="1127">
        <f>'Quarterly Model'!AP58</f>
        <v>320</v>
      </c>
      <c r="M35" s="1140">
        <f>'Quarterly Model'!AQ58</f>
        <v>159</v>
      </c>
      <c r="N35" s="1128">
        <f>'Quarterly Model'!AR58</f>
        <v>162</v>
      </c>
      <c r="O35" s="1128">
        <f>'Quarterly Model'!AS58</f>
        <v>147</v>
      </c>
      <c r="P35" s="1128">
        <f>'Quarterly Model'!AT58</f>
        <v>184</v>
      </c>
      <c r="Q35" s="1127">
        <f>'Quarterly Model'!AU58</f>
        <v>652</v>
      </c>
      <c r="R35" s="1140">
        <f>'Quarterly Model'!AV58</f>
        <v>189</v>
      </c>
      <c r="S35" s="1128">
        <f>'Quarterly Model'!AW58</f>
        <v>181</v>
      </c>
      <c r="T35" s="1128">
        <f>'Quarterly Model'!AX58</f>
        <v>185</v>
      </c>
      <c r="U35" s="1128">
        <f>'Quarterly Model'!AY58</f>
        <v>196</v>
      </c>
      <c r="V35" s="1127">
        <f>'Quarterly Model'!AZ58</f>
        <v>751</v>
      </c>
      <c r="W35" s="1128">
        <f>'Quarterly Model'!BA58</f>
        <v>203</v>
      </c>
      <c r="X35" s="1128">
        <f>'Quarterly Model'!BB58</f>
        <v>219</v>
      </c>
      <c r="Y35" s="1128">
        <f>'Quarterly Model'!BC58</f>
        <v>229</v>
      </c>
      <c r="Z35" s="1128">
        <f>'Quarterly Model'!BD58</f>
        <v>236</v>
      </c>
      <c r="AA35" s="1127">
        <f>'Quarterly Model'!BE58</f>
        <v>887</v>
      </c>
      <c r="AB35" s="1128">
        <f>'Quarterly Model'!BF58</f>
        <v>221</v>
      </c>
      <c r="AC35" s="1128">
        <f>'Quarterly Model'!BG58</f>
        <v>204</v>
      </c>
      <c r="AD35" s="1128">
        <f>'Quarterly Model'!BH58</f>
        <v>237</v>
      </c>
      <c r="AE35" s="1128">
        <f>'Quarterly Model'!BI58</f>
        <v>252</v>
      </c>
      <c r="AF35" s="1127">
        <f>'Quarterly Model'!BJ58</f>
        <v>914</v>
      </c>
      <c r="AG35" s="1128">
        <f>'Quarterly Model'!BK58</f>
        <v>280</v>
      </c>
      <c r="AH35" s="1128">
        <f>'Quarterly Model'!BL58</f>
        <v>227.53494711505212</v>
      </c>
      <c r="AI35" s="1128">
        <f>'Quarterly Model'!BM58</f>
        <v>245.96382936278101</v>
      </c>
      <c r="AJ35" s="1128">
        <f>'Quarterly Model'!BN58</f>
        <v>263.04763468030711</v>
      </c>
      <c r="AK35" s="1127">
        <f>'Quarterly Model'!BO58</f>
        <v>1016.5464111581402</v>
      </c>
      <c r="AL35" s="1128">
        <f>'Quarterly Model'!BP58</f>
        <v>289.79407187612611</v>
      </c>
      <c r="AM35" s="1128">
        <f>'Quarterly Model'!BQ58</f>
        <v>231.53145130674525</v>
      </c>
      <c r="AN35" s="1128">
        <f>'Quarterly Model'!BR58</f>
        <v>271.48422854427128</v>
      </c>
      <c r="AO35" s="1128">
        <f>'Quarterly Model'!BS58</f>
        <v>288.56778277235253</v>
      </c>
      <c r="AP35" s="1127">
        <f>'Quarterly Model'!BT58</f>
        <v>1081.3775344994951</v>
      </c>
      <c r="AQ35" s="1128">
        <f>'Quarterly Model'!BU58</f>
        <v>314.92801606758411</v>
      </c>
      <c r="AR35" s="1128">
        <f>'Quarterly Model'!BV58</f>
        <v>246.74798077709772</v>
      </c>
      <c r="AS35" s="1128">
        <f>'Quarterly Model'!BW58</f>
        <v>287.85570962856718</v>
      </c>
      <c r="AT35" s="1128">
        <f>'Quarterly Model'!BX58</f>
        <v>304.63347217391981</v>
      </c>
      <c r="AU35" s="1127">
        <f>'Quarterly Model'!BY58</f>
        <v>1154.1651786471689</v>
      </c>
      <c r="AV35" s="1128">
        <f>'Quarterly Model'!BZ58</f>
        <v>331.76148229991293</v>
      </c>
      <c r="AW35" s="1128">
        <f>'Quarterly Model'!CA58</f>
        <v>252.52465934316888</v>
      </c>
      <c r="AX35" s="1128">
        <f>'Quarterly Model'!CB58</f>
        <v>301.51506895535164</v>
      </c>
      <c r="AY35" s="1128">
        <f>'Quarterly Model'!CC58</f>
        <v>316.20866471824394</v>
      </c>
      <c r="AZ35" s="1127">
        <f>'Quarterly Model'!CD58</f>
        <v>1202.0098753166774</v>
      </c>
    </row>
    <row r="36" spans="2:52">
      <c r="B36" s="199" t="str">
        <f>'Quarterly Model'!B60</f>
        <v>as a % of net revenue</v>
      </c>
      <c r="C36" s="139">
        <f>'Quarterly Model'!AG60</f>
        <v>0</v>
      </c>
      <c r="D36" s="139">
        <f>'Quarterly Model'!AH60</f>
        <v>0</v>
      </c>
      <c r="E36" s="139">
        <f>'Quarterly Model'!AI60</f>
        <v>0</v>
      </c>
      <c r="F36" s="139">
        <f>'Quarterly Model'!AJ60</f>
        <v>0</v>
      </c>
      <c r="G36" s="1119">
        <f>'Quarterly Model'!AK60</f>
        <v>5.0688802543270926E-2</v>
      </c>
      <c r="H36" s="139">
        <f>'Quarterly Model'!AL60</f>
        <v>0</v>
      </c>
      <c r="I36" s="139">
        <f>'Quarterly Model'!AM60</f>
        <v>0</v>
      </c>
      <c r="J36" s="139">
        <f>'Quarterly Model'!AN60</f>
        <v>0</v>
      </c>
      <c r="K36" s="139">
        <f>'Quarterly Model'!AO60</f>
        <v>0</v>
      </c>
      <c r="L36" s="1119">
        <f>'Quarterly Model'!AP60</f>
        <v>4.7569496060651105E-2</v>
      </c>
      <c r="M36" s="173">
        <f>'Quarterly Model'!AQ60</f>
        <v>8.4981293425975421E-2</v>
      </c>
      <c r="N36" s="139">
        <f>'Quarterly Model'!AR60</f>
        <v>8.1776880363452806E-2</v>
      </c>
      <c r="O36" s="139">
        <f>'Quarterly Model'!AS60</f>
        <v>7.4581430745814303E-2</v>
      </c>
      <c r="P36" s="139">
        <f>'Quarterly Model'!AT60</f>
        <v>8.4056646870717219E-2</v>
      </c>
      <c r="Q36" s="1119">
        <f>'Quarterly Model'!AU60</f>
        <v>8.1377933100349478E-2</v>
      </c>
      <c r="R36" s="173">
        <f>'Quarterly Model'!AV60</f>
        <v>8.8566073102155571E-2</v>
      </c>
      <c r="S36" s="173">
        <f>'Quarterly Model'!AW60</f>
        <v>7.8935891844744879E-2</v>
      </c>
      <c r="T36" s="173">
        <f>'Quarterly Model'!AX60</f>
        <v>8.1930912311780332E-2</v>
      </c>
      <c r="U36" s="173">
        <f>'Quarterly Model'!AY60</f>
        <v>7.6682316118935834E-2</v>
      </c>
      <c r="V36" s="1119">
        <f>'Quarterly Model'!AZ60</f>
        <v>8.1206747404844293E-2</v>
      </c>
      <c r="W36" s="173">
        <f>'Quarterly Model'!BA60</f>
        <v>7.9795597484276726E-2</v>
      </c>
      <c r="X36" s="173">
        <f>'Quarterly Model'!BB60</f>
        <v>8.2641509433962271E-2</v>
      </c>
      <c r="Y36" s="173">
        <f>'Quarterly Model'!BC60</f>
        <v>8.5864266966629174E-2</v>
      </c>
      <c r="Z36" s="173">
        <f>'Quarterly Model'!BD60</f>
        <v>7.9168064407916808E-2</v>
      </c>
      <c r="AA36" s="1119">
        <f>'Quarterly Model'!BE60</f>
        <v>8.1811473897804826E-2</v>
      </c>
      <c r="AB36" s="173">
        <f>'Quarterly Model'!BF60</f>
        <v>7.4285714285714288E-2</v>
      </c>
      <c r="AC36" s="173">
        <f>'Quarterly Model'!BG60</f>
        <v>6.5051020408163268E-2</v>
      </c>
      <c r="AD36" s="173">
        <f>'Quarterly Model'!BH60</f>
        <v>7.3170731707317069E-2</v>
      </c>
      <c r="AE36" s="173">
        <f>'Quarterly Model'!BI60</f>
        <v>6.8016194331983804E-2</v>
      </c>
      <c r="AF36" s="1119">
        <f>'Quarterly Model'!BJ60</f>
        <v>7.0011489850631936E-2</v>
      </c>
      <c r="AG36" s="173">
        <f>'Quarterly Model'!BK60</f>
        <v>7.5983717774762552E-2</v>
      </c>
      <c r="AH36" s="173">
        <f>'Quarterly Model'!BL60</f>
        <v>5.955102040816327E-2</v>
      </c>
      <c r="AI36" s="173">
        <f>'Quarterly Model'!BM60</f>
        <v>6.7170731707317063E-2</v>
      </c>
      <c r="AJ36" s="173">
        <f>'Quarterly Model'!BN60</f>
        <v>6.2016194331983805E-2</v>
      </c>
      <c r="AK36" s="1119">
        <f>'Quarterly Model'!BO60</f>
        <v>6.5970065657553922E-2</v>
      </c>
      <c r="AL36" s="173">
        <f>'Quarterly Model'!BP60</f>
        <v>7.0983717774762548E-2</v>
      </c>
      <c r="AM36" s="173">
        <f>'Quarterly Model'!BQ60</f>
        <v>5.4551020408163273E-2</v>
      </c>
      <c r="AN36" s="173">
        <f>'Quarterly Model'!BR60</f>
        <v>6.2170731707317066E-2</v>
      </c>
      <c r="AO36" s="173">
        <f>'Quarterly Model'!BS60</f>
        <v>5.7016194331983808E-2</v>
      </c>
      <c r="AP36" s="1119">
        <f>'Quarterly Model'!BT60</f>
        <v>6.0906342045491023E-2</v>
      </c>
      <c r="AQ36" s="173">
        <f>'Quarterly Model'!BU60</f>
        <v>6.5983717774762543E-2</v>
      </c>
      <c r="AR36" s="173">
        <f>'Quarterly Model'!BV60</f>
        <v>4.9551020408163275E-2</v>
      </c>
      <c r="AS36" s="173">
        <f>'Quarterly Model'!BW60</f>
        <v>5.7170731707317068E-2</v>
      </c>
      <c r="AT36" s="173">
        <f>'Quarterly Model'!BX60</f>
        <v>5.201619433198381E-2</v>
      </c>
      <c r="AU36" s="1119">
        <f>'Quarterly Model'!BY60</f>
        <v>5.5907966362331848E-2</v>
      </c>
      <c r="AV36" s="173">
        <f>'Quarterly Model'!BZ60</f>
        <v>6.0483717774762545E-2</v>
      </c>
      <c r="AW36" s="173">
        <f>'Quarterly Model'!CA60</f>
        <v>4.4051020408163277E-2</v>
      </c>
      <c r="AX36" s="173">
        <f>'Quarterly Model'!CB60</f>
        <v>5.167073170731707E-2</v>
      </c>
      <c r="AY36" s="173">
        <f>'Quarterly Model'!CC60</f>
        <v>4.6516194331983812E-2</v>
      </c>
      <c r="AZ36" s="1119">
        <f>'Quarterly Model'!CD60</f>
        <v>5.0397000009836226E-2</v>
      </c>
    </row>
    <row r="37" spans="2:52">
      <c r="B37" s="1125" t="str">
        <f>'Quarterly Model'!B72</f>
        <v>Depreciation (ex-amortization of intangibles)</v>
      </c>
      <c r="C37" s="1126">
        <f>'Quarterly Model'!AG72</f>
        <v>0</v>
      </c>
      <c r="D37" s="1126">
        <f>'Quarterly Model'!AH72</f>
        <v>0</v>
      </c>
      <c r="E37" s="1126">
        <f>'Quarterly Model'!AI72</f>
        <v>0</v>
      </c>
      <c r="F37" s="1126">
        <f>'Quarterly Model'!AJ72</f>
        <v>0</v>
      </c>
      <c r="G37" s="1127">
        <f>'Quarterly Model'!AK72</f>
        <v>324</v>
      </c>
      <c r="H37" s="1128">
        <f>'Quarterly Model'!AL72</f>
        <v>0</v>
      </c>
      <c r="I37" s="1128">
        <f>'Quarterly Model'!AM72</f>
        <v>0</v>
      </c>
      <c r="J37" s="1128">
        <f>'Quarterly Model'!AN72</f>
        <v>0</v>
      </c>
      <c r="K37" s="1128">
        <f>'Quarterly Model'!AO72</f>
        <v>0</v>
      </c>
      <c r="L37" s="1127">
        <f>'Quarterly Model'!AP72</f>
        <v>398</v>
      </c>
      <c r="M37" s="1140">
        <f>'Quarterly Model'!AQ72</f>
        <v>112</v>
      </c>
      <c r="N37" s="1128">
        <f>'Quarterly Model'!AR72</f>
        <v>112</v>
      </c>
      <c r="O37" s="1128">
        <f>'Quarterly Model'!AS72</f>
        <v>116</v>
      </c>
      <c r="P37" s="1128">
        <f>'Quarterly Model'!AT72</f>
        <v>118</v>
      </c>
      <c r="Q37" s="1127">
        <f>'Quarterly Model'!AU72</f>
        <v>458</v>
      </c>
      <c r="R37" s="1140">
        <f>'Quarterly Model'!AV72</f>
        <v>127</v>
      </c>
      <c r="S37" s="1128">
        <f>'Quarterly Model'!AW72</f>
        <v>132</v>
      </c>
      <c r="T37" s="1128">
        <f>'Quarterly Model'!AX72</f>
        <v>131</v>
      </c>
      <c r="U37" s="1128">
        <f>'Quarterly Model'!AY72</f>
        <v>134</v>
      </c>
      <c r="V37" s="1127">
        <f>'Quarterly Model'!AZ72</f>
        <v>524</v>
      </c>
      <c r="W37" s="1128">
        <f>'Quarterly Model'!BA72</f>
        <v>140</v>
      </c>
      <c r="X37" s="1128">
        <f>'Quarterly Model'!BB72</f>
        <v>140</v>
      </c>
      <c r="Y37" s="1128">
        <f>'Quarterly Model'!BC72</f>
        <v>150</v>
      </c>
      <c r="Z37" s="1128">
        <f>'Quarterly Model'!BD72</f>
        <v>155</v>
      </c>
      <c r="AA37" s="1127">
        <f>'Quarterly Model'!BE72</f>
        <v>585</v>
      </c>
      <c r="AB37" s="1128">
        <f>'Quarterly Model'!BF72</f>
        <v>158</v>
      </c>
      <c r="AC37" s="1128">
        <f>'Quarterly Model'!BG72</f>
        <v>176</v>
      </c>
      <c r="AD37" s="1128">
        <f>'Quarterly Model'!BH72</f>
        <v>165</v>
      </c>
      <c r="AE37" s="1128">
        <f>'Quarterly Model'!BI72</f>
        <v>164</v>
      </c>
      <c r="AF37" s="1127">
        <f>'Quarterly Model'!BJ72</f>
        <v>663</v>
      </c>
      <c r="AG37" s="1128">
        <f>'Quarterly Model'!BK72</f>
        <v>120</v>
      </c>
      <c r="AH37" s="1128">
        <f>'Quarterly Model'!BL72</f>
        <v>121.5</v>
      </c>
      <c r="AI37" s="1128">
        <f>'Quarterly Model'!BM72</f>
        <v>123</v>
      </c>
      <c r="AJ37" s="1128">
        <f>'Quarterly Model'!BN72</f>
        <v>124.5</v>
      </c>
      <c r="AK37" s="1127">
        <f>'Quarterly Model'!BO72</f>
        <v>489</v>
      </c>
      <c r="AL37" s="1128">
        <f>'Quarterly Model'!BP72</f>
        <v>127.5</v>
      </c>
      <c r="AM37" s="1128">
        <f>'Quarterly Model'!BQ72</f>
        <v>129</v>
      </c>
      <c r="AN37" s="1128">
        <f>'Quarterly Model'!BR72</f>
        <v>130.5</v>
      </c>
      <c r="AO37" s="1128">
        <f>'Quarterly Model'!BS72</f>
        <v>132</v>
      </c>
      <c r="AP37" s="1127">
        <f>'Quarterly Model'!BT72</f>
        <v>519</v>
      </c>
      <c r="AQ37" s="1128">
        <f>'Quarterly Model'!BU72</f>
        <v>137</v>
      </c>
      <c r="AR37" s="1128">
        <f>'Quarterly Model'!BV72</f>
        <v>138.5</v>
      </c>
      <c r="AS37" s="1128">
        <f>'Quarterly Model'!BW72</f>
        <v>140</v>
      </c>
      <c r="AT37" s="1128">
        <f>'Quarterly Model'!BX72</f>
        <v>141.5</v>
      </c>
      <c r="AU37" s="1127">
        <f>'Quarterly Model'!BY72</f>
        <v>557</v>
      </c>
      <c r="AV37" s="1128">
        <f>'Quarterly Model'!BZ72</f>
        <v>146.5</v>
      </c>
      <c r="AW37" s="1128">
        <f>'Quarterly Model'!CA72</f>
        <v>148</v>
      </c>
      <c r="AX37" s="1128">
        <f>'Quarterly Model'!CB72</f>
        <v>149.5</v>
      </c>
      <c r="AY37" s="1128">
        <f>'Quarterly Model'!CC72</f>
        <v>151</v>
      </c>
      <c r="AZ37" s="1127">
        <f>'Quarterly Model'!CD72</f>
        <v>595</v>
      </c>
    </row>
    <row r="38" spans="2:52">
      <c r="B38" s="199" t="str">
        <f>'Quarterly Model'!B74</f>
        <v>as a % of net revenue</v>
      </c>
      <c r="C38" s="139">
        <f>'Quarterly Model'!AG74</f>
        <v>0</v>
      </c>
      <c r="D38" s="139">
        <f>'Quarterly Model'!AH74</f>
        <v>0</v>
      </c>
      <c r="E38" s="139">
        <f>'Quarterly Model'!AI74</f>
        <v>0</v>
      </c>
      <c r="F38" s="139">
        <f>'Quarterly Model'!AJ74</f>
        <v>0</v>
      </c>
      <c r="G38" s="1119">
        <f>'Quarterly Model'!AK74</f>
        <v>5.7223595902507945E-2</v>
      </c>
      <c r="H38" s="139">
        <f>'Quarterly Model'!AL74</f>
        <v>0</v>
      </c>
      <c r="I38" s="139">
        <f>'Quarterly Model'!AM74</f>
        <v>0</v>
      </c>
      <c r="J38" s="139">
        <f>'Quarterly Model'!AN74</f>
        <v>0</v>
      </c>
      <c r="K38" s="139">
        <f>'Quarterly Model'!AO74</f>
        <v>0</v>
      </c>
      <c r="L38" s="1119">
        <f>'Quarterly Model'!AP74</f>
        <v>5.9164560725434814E-2</v>
      </c>
      <c r="M38" s="173">
        <f>'Quarterly Model'!AQ74</f>
        <v>5.9861036878674508E-2</v>
      </c>
      <c r="N38" s="139">
        <f>'Quarterly Model'!AR74</f>
        <v>5.6537102473498232E-2</v>
      </c>
      <c r="O38" s="139">
        <f>'Quarterly Model'!AS74</f>
        <v>5.8853373921867069E-2</v>
      </c>
      <c r="P38" s="139">
        <f>'Quarterly Model'!AT74</f>
        <v>5.3905893101872999E-2</v>
      </c>
      <c r="Q38" s="1119">
        <f>'Quarterly Model'!AU74</f>
        <v>5.7164253619570643E-2</v>
      </c>
      <c r="R38" s="173">
        <f>'Quarterly Model'!AV74</f>
        <v>5.9512652296157452E-2</v>
      </c>
      <c r="S38" s="173">
        <f>'Quarterly Model'!AW74</f>
        <v>5.7566506759703442E-2</v>
      </c>
      <c r="T38" s="173">
        <f>'Quarterly Model'!AX74</f>
        <v>5.8015943312666074E-2</v>
      </c>
      <c r="U38" s="173">
        <f>'Quarterly Model'!AY74</f>
        <v>5.242566510172144E-2</v>
      </c>
      <c r="V38" s="1119">
        <f>'Quarterly Model'!AZ74</f>
        <v>5.6660899653979239E-2</v>
      </c>
      <c r="W38" s="173">
        <f>'Quarterly Model'!BA74</f>
        <v>5.5031446540880505E-2</v>
      </c>
      <c r="X38" s="173">
        <f>'Quarterly Model'!BB74</f>
        <v>5.2830188679245285E-2</v>
      </c>
      <c r="Y38" s="173">
        <f>'Quarterly Model'!BC74</f>
        <v>5.6242969628796401E-2</v>
      </c>
      <c r="Z38" s="173">
        <f>'Quarterly Model'!BD74</f>
        <v>5.1995974505199598E-2</v>
      </c>
      <c r="AA38" s="1119">
        <f>'Quarterly Model'!BE74</f>
        <v>5.3956834532374098E-2</v>
      </c>
      <c r="AB38" s="173">
        <f>'Quarterly Model'!BF74</f>
        <v>5.3109243697478992E-2</v>
      </c>
      <c r="AC38" s="173">
        <f>'Quarterly Model'!BG74</f>
        <v>5.6122448979591837E-2</v>
      </c>
      <c r="AD38" s="173">
        <f>'Quarterly Model'!BH74</f>
        <v>5.0941648656992897E-2</v>
      </c>
      <c r="AE38" s="173">
        <f>'Quarterly Model'!BI74</f>
        <v>4.4264507422402156E-2</v>
      </c>
      <c r="AF38" s="1119">
        <f>'Quarterly Model'!BJ74</f>
        <v>5.0785139793182686E-2</v>
      </c>
      <c r="AG38" s="173">
        <f>'Quarterly Model'!BK74</f>
        <v>3.2564450474898234E-2</v>
      </c>
      <c r="AH38" s="173">
        <f>'Quarterly Model'!BL74</f>
        <v>3.1799286533040844E-2</v>
      </c>
      <c r="AI38" s="173">
        <f>'Quarterly Model'!BM74</f>
        <v>3.35903048078426E-2</v>
      </c>
      <c r="AJ38" s="173">
        <f>'Quarterly Model'!BN74</f>
        <v>2.9352159747475626E-2</v>
      </c>
      <c r="AK38" s="1119">
        <f>'Quarterly Model'!BO74</f>
        <v>3.1734273765022816E-2</v>
      </c>
      <c r="AL38" s="173">
        <f>'Quarterly Model'!BP74</f>
        <v>3.1230535385661281E-2</v>
      </c>
      <c r="AM38" s="173">
        <f>'Quarterly Model'!BQ74</f>
        <v>3.0393631590595268E-2</v>
      </c>
      <c r="AN38" s="173">
        <f>'Quarterly Model'!BR74</f>
        <v>2.9884905400616425E-2</v>
      </c>
      <c r="AO38" s="173">
        <f>'Quarterly Model'!BS74</f>
        <v>2.6081004537360768E-2</v>
      </c>
      <c r="AP38" s="1119">
        <f>'Quarterly Model'!BT74</f>
        <v>2.9231596286342677E-2</v>
      </c>
      <c r="AQ38" s="173">
        <f>'Quarterly Model'!BU74</f>
        <v>2.8704239933999769E-2</v>
      </c>
      <c r="AR38" s="173">
        <f>'Quarterly Model'!BV74</f>
        <v>2.7813059725624291E-2</v>
      </c>
      <c r="AS38" s="173">
        <f>'Quarterly Model'!BW74</f>
        <v>2.7805258576778534E-2</v>
      </c>
      <c r="AT38" s="173">
        <f>'Quarterly Model'!BX74</f>
        <v>2.4161138450910637E-2</v>
      </c>
      <c r="AU38" s="1119">
        <f>'Quarterly Model'!BY74</f>
        <v>2.6981178985420282E-2</v>
      </c>
      <c r="AV38" s="173">
        <f>'Quarterly Model'!BZ74</f>
        <v>2.6708539498242527E-2</v>
      </c>
      <c r="AW38" s="173">
        <f>'Quarterly Model'!CA74</f>
        <v>2.5817482686110303E-2</v>
      </c>
      <c r="AX38" s="173">
        <f>'Quarterly Model'!CB74</f>
        <v>2.5619861776751816E-2</v>
      </c>
      <c r="AY38" s="173">
        <f>'Quarterly Model'!CC74</f>
        <v>2.2213007193804146E-2</v>
      </c>
      <c r="AZ38" s="1119">
        <f>'Quarterly Model'!CD74</f>
        <v>2.4946729325291517E-2</v>
      </c>
    </row>
    <row r="39" spans="2:52" ht="5.25" customHeight="1">
      <c r="B39" s="199"/>
      <c r="C39" s="139"/>
      <c r="D39" s="139"/>
      <c r="E39" s="139"/>
      <c r="F39" s="139"/>
      <c r="G39" s="1119"/>
      <c r="H39" s="139"/>
      <c r="I39" s="139"/>
      <c r="J39" s="139"/>
      <c r="K39" s="139"/>
      <c r="L39" s="1119"/>
      <c r="M39" s="173"/>
      <c r="N39" s="139"/>
      <c r="O39" s="139"/>
      <c r="P39" s="139"/>
      <c r="Q39" s="1119"/>
      <c r="R39" s="173"/>
      <c r="S39" s="173"/>
      <c r="T39" s="173"/>
      <c r="U39" s="173"/>
      <c r="V39" s="1119"/>
      <c r="W39" s="173"/>
      <c r="X39" s="173"/>
      <c r="Y39" s="173"/>
      <c r="Z39" s="173"/>
      <c r="AA39" s="1119"/>
      <c r="AB39" s="173"/>
      <c r="AC39" s="173"/>
      <c r="AD39" s="173"/>
      <c r="AE39" s="173"/>
      <c r="AF39" s="1119"/>
      <c r="AG39" s="173"/>
      <c r="AH39" s="173"/>
      <c r="AI39" s="173"/>
      <c r="AJ39" s="173"/>
      <c r="AK39" s="1119"/>
      <c r="AL39" s="173"/>
      <c r="AM39" s="173"/>
      <c r="AN39" s="173"/>
      <c r="AO39" s="173"/>
      <c r="AP39" s="1119"/>
      <c r="AQ39" s="173"/>
      <c r="AR39" s="173"/>
      <c r="AS39" s="173"/>
      <c r="AT39" s="173"/>
      <c r="AU39" s="1119"/>
      <c r="AV39" s="173"/>
      <c r="AW39" s="173"/>
      <c r="AX39" s="173"/>
      <c r="AY39" s="173"/>
      <c r="AZ39" s="1119"/>
    </row>
    <row r="40" spans="2:52">
      <c r="B40" s="1141" t="str">
        <f>'Quarterly Model'!B76</f>
        <v>Operating Income (PayPal method)</v>
      </c>
      <c r="C40" s="1142">
        <f>'Quarterly Model'!AG76</f>
        <v>0</v>
      </c>
      <c r="D40" s="1142">
        <f>'Quarterly Model'!AH76</f>
        <v>0</v>
      </c>
      <c r="E40" s="1142">
        <f>'Quarterly Model'!AI76</f>
        <v>0</v>
      </c>
      <c r="F40" s="1142">
        <f>'Quarterly Model'!AJ76</f>
        <v>0</v>
      </c>
      <c r="G40" s="1143">
        <f>'Quarterly Model'!AK76</f>
        <v>1167</v>
      </c>
      <c r="H40" s="1144">
        <f>'Quarterly Model'!AL76</f>
        <v>0</v>
      </c>
      <c r="I40" s="1144">
        <f>'Quarterly Model'!AM76</f>
        <v>0</v>
      </c>
      <c r="J40" s="1144">
        <f>'Quarterly Model'!AN76</f>
        <v>0</v>
      </c>
      <c r="K40" s="1144">
        <f>'Quarterly Model'!AO76</f>
        <v>0</v>
      </c>
      <c r="L40" s="1143">
        <f>'Quarterly Model'!AP76</f>
        <v>1411</v>
      </c>
      <c r="M40" s="1144">
        <f>'Quarterly Model'!AQ76</f>
        <v>407</v>
      </c>
      <c r="N40" s="1144">
        <f>'Quarterly Model'!AR76</f>
        <v>421</v>
      </c>
      <c r="O40" s="1144">
        <f>'Quarterly Model'!AS76</f>
        <v>353</v>
      </c>
      <c r="P40" s="1144">
        <f>'Quarterly Model'!AT76</f>
        <v>436</v>
      </c>
      <c r="Q40" s="1143">
        <f>'Quarterly Model'!AU76</f>
        <v>1617</v>
      </c>
      <c r="R40" s="1144">
        <f>'Quarterly Model'!AV76</f>
        <v>465</v>
      </c>
      <c r="S40" s="1144">
        <f>'Quarterly Model'!AW76</f>
        <v>505</v>
      </c>
      <c r="T40" s="1144">
        <f>'Quarterly Model'!AX76</f>
        <v>450</v>
      </c>
      <c r="U40" s="1144">
        <f>'Quarterly Model'!AY76</f>
        <v>532</v>
      </c>
      <c r="V40" s="1143">
        <f>'Quarterly Model'!AZ76</f>
        <v>1959</v>
      </c>
      <c r="W40" s="1144">
        <f>'Quarterly Model'!BA76</f>
        <v>537</v>
      </c>
      <c r="X40" s="1144">
        <f>'Quarterly Model'!BB76</f>
        <v>528</v>
      </c>
      <c r="Y40" s="1144">
        <f>'Quarterly Model'!BC76</f>
        <v>490</v>
      </c>
      <c r="Z40" s="1144">
        <f>'Quarterly Model'!BD76</f>
        <v>619</v>
      </c>
      <c r="AA40" s="1143">
        <f>'Quarterly Model'!BE76</f>
        <v>2174</v>
      </c>
      <c r="AB40" s="1144">
        <f>'Quarterly Model'!BF76</f>
        <v>643</v>
      </c>
      <c r="AC40" s="1144">
        <f>'Quarterly Model'!BG76</f>
        <v>659</v>
      </c>
      <c r="AD40" s="1144">
        <f>'Quarterly Model'!BH76</f>
        <v>646</v>
      </c>
      <c r="AE40" s="1144">
        <f>'Quarterly Model'!BI76</f>
        <v>807</v>
      </c>
      <c r="AF40" s="1143">
        <f>'Quarterly Model'!BJ76</f>
        <v>2755</v>
      </c>
      <c r="AG40" s="1144">
        <f>'Quarterly Model'!BK76</f>
        <v>829</v>
      </c>
      <c r="AH40" s="1144">
        <f>'Quarterly Model'!BL76</f>
        <v>833.62213442753125</v>
      </c>
      <c r="AI40" s="1144">
        <f>'Quarterly Model'!BM76</f>
        <v>785.87621700729949</v>
      </c>
      <c r="AJ40" s="1144">
        <f>'Quarterly Model'!BN76</f>
        <v>985.91834362568329</v>
      </c>
      <c r="AK40" s="1143">
        <f>'Quarterly Model'!BO76</f>
        <v>3434.416695060514</v>
      </c>
      <c r="AL40" s="1144">
        <f>'Quarterly Model'!BP76</f>
        <v>924.47106573046426</v>
      </c>
      <c r="AM40" s="1144">
        <f>'Quarterly Model'!BQ76</f>
        <v>970.38907129811173</v>
      </c>
      <c r="AN40" s="1144">
        <f>'Quarterly Model'!BR76</f>
        <v>972.61805745539914</v>
      </c>
      <c r="AO40" s="1144">
        <f>'Quarterly Model'!BS76</f>
        <v>1218.0323261460205</v>
      </c>
      <c r="AP40" s="1143">
        <f>'Quarterly Model'!BT76</f>
        <v>4085.5105206299977</v>
      </c>
      <c r="AQ40" s="1144">
        <f>'Quarterly Model'!BU76</f>
        <v>1112.0539439251374</v>
      </c>
      <c r="AR40" s="1144">
        <f>'Quarterly Model'!BV76</f>
        <v>1177.4165648601625</v>
      </c>
      <c r="AS40" s="1144">
        <f>'Quarterly Model'!BW76</f>
        <v>1154.2353816302907</v>
      </c>
      <c r="AT40" s="1144">
        <f>'Quarterly Model'!BX76</f>
        <v>1457.5102995525758</v>
      </c>
      <c r="AU40" s="1143">
        <f>'Quarterly Model'!BY76</f>
        <v>4901.2161899681669</v>
      </c>
      <c r="AV40" s="1144">
        <f>'Quarterly Model'!BZ76</f>
        <v>1341.3117682993325</v>
      </c>
      <c r="AW40" s="1144">
        <f>'Quarterly Model'!CA76</f>
        <v>1425.022960086761</v>
      </c>
      <c r="AX40" s="1144">
        <f>'Quarterly Model'!CB76</f>
        <v>1428.8855843891063</v>
      </c>
      <c r="AY40" s="1144">
        <f>'Quarterly Model'!CC76</f>
        <v>1803.0970271137032</v>
      </c>
      <c r="AZ40" s="1143">
        <f>'Quarterly Model'!CD76</f>
        <v>5998.3173398889057</v>
      </c>
    </row>
    <row r="41" spans="2:52">
      <c r="B41" s="213" t="str">
        <f>'Quarterly Model'!B77</f>
        <v>YoY% change</v>
      </c>
      <c r="C41" s="214">
        <f>'Quarterly Model'!AG77</f>
        <v>0</v>
      </c>
      <c r="D41" s="214">
        <f>'Quarterly Model'!AH77</f>
        <v>0</v>
      </c>
      <c r="E41" s="214">
        <f>'Quarterly Model'!AI77</f>
        <v>0</v>
      </c>
      <c r="F41" s="214">
        <f>'Quarterly Model'!AJ77</f>
        <v>0</v>
      </c>
      <c r="G41" s="215">
        <f>'Quarterly Model'!AK77</f>
        <v>0</v>
      </c>
      <c r="H41" s="216">
        <f>'Quarterly Model'!AL77</f>
        <v>0</v>
      </c>
      <c r="I41" s="216">
        <f>'Quarterly Model'!AM77</f>
        <v>0</v>
      </c>
      <c r="J41" s="216">
        <f>'Quarterly Model'!AN77</f>
        <v>0</v>
      </c>
      <c r="K41" s="216">
        <f>'Quarterly Model'!AO77</f>
        <v>0</v>
      </c>
      <c r="L41" s="140">
        <f>'Quarterly Model'!AP77</f>
        <v>0.20908311910882604</v>
      </c>
      <c r="M41" s="217" t="str">
        <f>'Quarterly Model'!AQ77</f>
        <v>NM</v>
      </c>
      <c r="N41" s="217" t="str">
        <f>'Quarterly Model'!AR77</f>
        <v>NM</v>
      </c>
      <c r="O41" s="217" t="str">
        <f>'Quarterly Model'!AS77</f>
        <v>NM</v>
      </c>
      <c r="P41" s="217" t="str">
        <f>'Quarterly Model'!AT77</f>
        <v>NM</v>
      </c>
      <c r="Q41" s="140">
        <f>'Quarterly Model'!AU77</f>
        <v>0.14599574769666912</v>
      </c>
      <c r="R41" s="217">
        <f>'Quarterly Model'!AV77</f>
        <v>0.14250614250614246</v>
      </c>
      <c r="S41" s="217">
        <f>'Quarterly Model'!AW77</f>
        <v>0.1995249406175772</v>
      </c>
      <c r="T41" s="217">
        <f>'Quarterly Model'!AX77</f>
        <v>0.27478753541076495</v>
      </c>
      <c r="U41" s="217">
        <f>'Quarterly Model'!AY77</f>
        <v>0.22018348623853212</v>
      </c>
      <c r="V41" s="140">
        <f>'Quarterly Model'!AZ77</f>
        <v>0.21150278293135427</v>
      </c>
      <c r="W41" s="217">
        <f>'Quarterly Model'!BA77</f>
        <v>0.15483870967741931</v>
      </c>
      <c r="X41" s="217">
        <f>'Quarterly Model'!BB77</f>
        <v>4.5544554455445585E-2</v>
      </c>
      <c r="Y41" s="217">
        <f>'Quarterly Model'!BC77</f>
        <v>8.8888888888888795E-2</v>
      </c>
      <c r="Z41" s="217">
        <f>'Quarterly Model'!BD77</f>
        <v>0.16353383458646609</v>
      </c>
      <c r="AA41" s="140">
        <f>'Quarterly Model'!BE77</f>
        <v>0.10974987238386924</v>
      </c>
      <c r="AB41" s="217">
        <f>'Quarterly Model'!BF77</f>
        <v>0.19739292364990679</v>
      </c>
      <c r="AC41" s="217">
        <f>'Quarterly Model'!BG77</f>
        <v>0.24810606060606055</v>
      </c>
      <c r="AD41" s="217">
        <f>'Quarterly Model'!BH77</f>
        <v>0.31836734693877555</v>
      </c>
      <c r="AE41" s="217">
        <f>'Quarterly Model'!BI77</f>
        <v>0.30371567043618741</v>
      </c>
      <c r="AF41" s="140">
        <f>'Quarterly Model'!BJ77</f>
        <v>0.267249310027599</v>
      </c>
      <c r="AG41" s="217">
        <f>'Quarterly Model'!BK77</f>
        <v>0.28926905132192848</v>
      </c>
      <c r="AH41" s="217">
        <f>'Quarterly Model'!BL77</f>
        <v>0.264980477128272</v>
      </c>
      <c r="AI41" s="217">
        <f>'Quarterly Model'!BM77</f>
        <v>0.2165266517140858</v>
      </c>
      <c r="AJ41" s="217">
        <f>'Quarterly Model'!BN77</f>
        <v>0.22170798466627417</v>
      </c>
      <c r="AK41" s="140">
        <f>'Quarterly Model'!BO77</f>
        <v>0.24661223051198333</v>
      </c>
      <c r="AL41" s="217">
        <f>'Quarterly Model'!BP77</f>
        <v>0.11516413236485445</v>
      </c>
      <c r="AM41" s="217">
        <f>'Quarterly Model'!BQ77</f>
        <v>0.16406346619443068</v>
      </c>
      <c r="AN41" s="217">
        <f>'Quarterly Model'!BR77</f>
        <v>0.23762246064556125</v>
      </c>
      <c r="AO41" s="217">
        <f>'Quarterly Model'!BS77</f>
        <v>0.23542921583824628</v>
      </c>
      <c r="AP41" s="140">
        <f>'Quarterly Model'!BT77</f>
        <v>0.18957915808699255</v>
      </c>
      <c r="AQ41" s="217">
        <f>'Quarterly Model'!BU77</f>
        <v>0.20290832795989777</v>
      </c>
      <c r="AR41" s="217">
        <f>'Quarterly Model'!BV77</f>
        <v>0.21334483217654676</v>
      </c>
      <c r="AS41" s="217">
        <f>'Quarterly Model'!BW77</f>
        <v>0.18673036428096546</v>
      </c>
      <c r="AT41" s="217">
        <f>'Quarterly Model'!BX77</f>
        <v>0.1966105236010347</v>
      </c>
      <c r="AU41" s="140">
        <f>'Quarterly Model'!BY77</f>
        <v>0.19965819821518527</v>
      </c>
      <c r="AV41" s="217">
        <f>'Quarterly Model'!BZ77</f>
        <v>0.20615710741962756</v>
      </c>
      <c r="AW41" s="217">
        <f>'Quarterly Model'!CA77</f>
        <v>0.21029634083329363</v>
      </c>
      <c r="AX41" s="217">
        <f>'Quarterly Model'!CB77</f>
        <v>0.23794990790430282</v>
      </c>
      <c r="AY41" s="217">
        <f>'Quarterly Model'!CC77</f>
        <v>0.23710757149861306</v>
      </c>
      <c r="AZ41" s="140">
        <f>'Quarterly Model'!CD77</f>
        <v>0.22384263566383611</v>
      </c>
    </row>
    <row r="42" spans="2:52">
      <c r="B42" s="219" t="str">
        <f>'Quarterly Model'!B78</f>
        <v>Operating Margin</v>
      </c>
      <c r="C42" s="220">
        <f>'Quarterly Model'!AG78</f>
        <v>0</v>
      </c>
      <c r="D42" s="220">
        <f>'Quarterly Model'!AH78</f>
        <v>0</v>
      </c>
      <c r="E42" s="220">
        <f>'Quarterly Model'!AI78</f>
        <v>0</v>
      </c>
      <c r="F42" s="220">
        <f>'Quarterly Model'!AJ78</f>
        <v>0</v>
      </c>
      <c r="G42" s="221">
        <f>'Quarterly Model'!AK78</f>
        <v>0.20611091487107031</v>
      </c>
      <c r="H42" s="220">
        <f>'Quarterly Model'!AL78</f>
        <v>0</v>
      </c>
      <c r="I42" s="220">
        <f>'Quarterly Model'!AM78</f>
        <v>0</v>
      </c>
      <c r="J42" s="220">
        <f>'Quarterly Model'!AN78</f>
        <v>0</v>
      </c>
      <c r="K42" s="220">
        <f>'Quarterly Model'!AO78</f>
        <v>0</v>
      </c>
      <c r="L42" s="221">
        <f>'Quarterly Model'!AP78</f>
        <v>0.20975174669243349</v>
      </c>
      <c r="M42" s="220">
        <f>'Quarterly Model'!AQ78</f>
        <v>0.21753073222875469</v>
      </c>
      <c r="N42" s="220">
        <f>'Quarterly Model'!AR78</f>
        <v>0.21251892983341747</v>
      </c>
      <c r="O42" s="220">
        <f>'Quarterly Model'!AS78</f>
        <v>0.17909690512430237</v>
      </c>
      <c r="P42" s="220">
        <f>'Quarterly Model'!AT78</f>
        <v>0.19917770671539517</v>
      </c>
      <c r="Q42" s="221">
        <f>'Quarterly Model'!AU78</f>
        <v>0.20182226660009986</v>
      </c>
      <c r="R42" s="220">
        <f>'Quarterly Model'!AV78</f>
        <v>0.21790065604498593</v>
      </c>
      <c r="S42" s="220">
        <f>'Quarterly Model'!AW78</f>
        <v>0.22023549934583514</v>
      </c>
      <c r="T42" s="220">
        <f>'Quarterly Model'!AX78</f>
        <v>0.19929140832595216</v>
      </c>
      <c r="U42" s="220">
        <f>'Quarterly Model'!AY78</f>
        <v>0.20813771517996871</v>
      </c>
      <c r="V42" s="221">
        <f>'Quarterly Model'!AZ78</f>
        <v>0.21182958477508651</v>
      </c>
      <c r="W42" s="220">
        <f>'Quarterly Model'!BA78</f>
        <v>0.21108490566037735</v>
      </c>
      <c r="X42" s="220">
        <f>'Quarterly Model'!BB78</f>
        <v>0.19924528301886793</v>
      </c>
      <c r="Y42" s="220">
        <f>'Quarterly Model'!BC78</f>
        <v>0.18372703412073491</v>
      </c>
      <c r="Z42" s="220">
        <f>'Quarterly Model'!BD78</f>
        <v>0.20764844012076483</v>
      </c>
      <c r="AA42" s="221">
        <f>'Quarterly Model'!BE78</f>
        <v>0.20051650986902786</v>
      </c>
      <c r="AB42" s="220">
        <f>'Quarterly Model'!BF78</f>
        <v>0.21613445378151261</v>
      </c>
      <c r="AC42" s="220">
        <f>'Quarterly Model'!BG78</f>
        <v>0.21014030612244897</v>
      </c>
      <c r="AD42" s="220">
        <f>'Quarterly Model'!BH78</f>
        <v>0.19944427292374189</v>
      </c>
      <c r="AE42" s="220">
        <f>'Quarterly Model'!BI78</f>
        <v>0.21781376518218623</v>
      </c>
      <c r="AF42" s="221">
        <f>'Quarterly Model'!BJ78</f>
        <v>0.21103025660666411</v>
      </c>
      <c r="AG42" s="220">
        <f>'Quarterly Model'!BK78</f>
        <v>0.22496607869742197</v>
      </c>
      <c r="AH42" s="220">
        <f>'Quarterly Model'!BL78</f>
        <v>0.21817768817239636</v>
      </c>
      <c r="AI42" s="220">
        <f>'Quarterly Model'!BM78</f>
        <v>0.21461643634560523</v>
      </c>
      <c r="AJ42" s="220">
        <f>'Quarterly Model'!BN78</f>
        <v>0.23244042345435842</v>
      </c>
      <c r="AK42" s="221">
        <f>'Quarterly Model'!BO78</f>
        <v>0.22288081722743402</v>
      </c>
      <c r="AL42" s="220">
        <f>'Quarterly Model'!BP78</f>
        <v>0.22644491240247264</v>
      </c>
      <c r="AM42" s="220">
        <f>'Quarterly Model'!BQ78</f>
        <v>0.22863292970988133</v>
      </c>
      <c r="AN42" s="220">
        <f>'Quarterly Model'!BR78</f>
        <v>0.22273255661291891</v>
      </c>
      <c r="AO42" s="220">
        <f>'Quarterly Model'!BS78</f>
        <v>0.24066292897626101</v>
      </c>
      <c r="AP42" s="221">
        <f>'Quarterly Model'!BT78</f>
        <v>0.23010788856004197</v>
      </c>
      <c r="AQ42" s="220">
        <f>'Quarterly Model'!BU78</f>
        <v>0.23299754179545892</v>
      </c>
      <c r="AR42" s="220">
        <f>'Quarterly Model'!BV78</f>
        <v>0.23644445660935082</v>
      </c>
      <c r="AS42" s="220">
        <f>'Quarterly Model'!BW78</f>
        <v>0.22924152317640634</v>
      </c>
      <c r="AT42" s="220">
        <f>'Quarterly Model'!BX78</f>
        <v>0.24887002219871393</v>
      </c>
      <c r="AU42" s="221">
        <f>'Quarterly Model'!BY78</f>
        <v>0.23741578324554896</v>
      </c>
      <c r="AV42" s="220">
        <f>'Quarterly Model'!BZ78</f>
        <v>0.24453568834867065</v>
      </c>
      <c r="AW42" s="220">
        <f>'Quarterly Model'!CA78</f>
        <v>0.24858449729290275</v>
      </c>
      <c r="AX42" s="220">
        <f>'Quarterly Model'!CB78</f>
        <v>0.24486856967787388</v>
      </c>
      <c r="AY42" s="220">
        <f>'Quarterly Model'!CC78</f>
        <v>0.26524640552585138</v>
      </c>
      <c r="AZ42" s="221">
        <f>'Quarterly Model'!CD78</f>
        <v>0.2514931077065734</v>
      </c>
    </row>
    <row r="43" spans="2:52" ht="4.5" customHeight="1">
      <c r="B43" s="1145"/>
      <c r="C43" s="139"/>
      <c r="D43" s="139"/>
      <c r="E43" s="139"/>
      <c r="F43" s="139"/>
      <c r="G43" s="1119"/>
      <c r="H43" s="139"/>
      <c r="I43" s="139"/>
      <c r="J43" s="139"/>
      <c r="K43" s="139"/>
      <c r="L43" s="1119"/>
      <c r="M43" s="139"/>
      <c r="N43" s="139"/>
      <c r="O43" s="139"/>
      <c r="P43" s="139"/>
      <c r="Q43" s="1119"/>
      <c r="R43" s="139"/>
      <c r="S43" s="139"/>
      <c r="T43" s="139"/>
      <c r="U43" s="139"/>
      <c r="V43" s="1119"/>
      <c r="W43" s="139"/>
      <c r="X43" s="139"/>
      <c r="Y43" s="139"/>
      <c r="Z43" s="139"/>
      <c r="AA43" s="1119"/>
      <c r="AB43" s="139"/>
      <c r="AC43" s="139"/>
      <c r="AD43" s="139"/>
      <c r="AE43" s="139"/>
      <c r="AF43" s="1119"/>
      <c r="AG43" s="139"/>
      <c r="AH43" s="139"/>
      <c r="AI43" s="139"/>
      <c r="AJ43" s="139"/>
      <c r="AK43" s="1119"/>
      <c r="AL43" s="139"/>
      <c r="AM43" s="139"/>
      <c r="AN43" s="139"/>
      <c r="AO43" s="139"/>
      <c r="AP43" s="1119"/>
      <c r="AQ43" s="139"/>
      <c r="AR43" s="139"/>
      <c r="AS43" s="139"/>
      <c r="AT43" s="139"/>
      <c r="AU43" s="1119"/>
      <c r="AV43" s="139"/>
      <c r="AW43" s="139"/>
      <c r="AX43" s="139"/>
      <c r="AY43" s="139"/>
      <c r="AZ43" s="1119"/>
    </row>
    <row r="44" spans="2:52">
      <c r="B44" s="1146" t="str">
        <f>'Quarterly Model'!B88</f>
        <v>EBITDA (MS method)</v>
      </c>
      <c r="C44" s="1142">
        <f>'Quarterly Model'!AG88</f>
        <v>0</v>
      </c>
      <c r="D44" s="1142">
        <f>'Quarterly Model'!AH88</f>
        <v>0</v>
      </c>
      <c r="E44" s="1142">
        <f>'Quarterly Model'!AI88</f>
        <v>0</v>
      </c>
      <c r="F44" s="1147">
        <f>'Quarterly Model'!AJ88</f>
        <v>0</v>
      </c>
      <c r="G44" s="1143">
        <f>'Quarterly Model'!AK88</f>
        <v>1281</v>
      </c>
      <c r="H44" s="1144">
        <f>'Quarterly Model'!AL88</f>
        <v>0</v>
      </c>
      <c r="I44" s="1144">
        <f>'Quarterly Model'!AM88</f>
        <v>0</v>
      </c>
      <c r="J44" s="1144">
        <f>'Quarterly Model'!AN88</f>
        <v>0</v>
      </c>
      <c r="K44" s="1147">
        <f>'Quarterly Model'!AO88</f>
        <v>0</v>
      </c>
      <c r="L44" s="1143">
        <f>'Quarterly Model'!AP88</f>
        <v>1540</v>
      </c>
      <c r="M44" s="1144">
        <f>'Quarterly Model'!AQ88</f>
        <v>446</v>
      </c>
      <c r="N44" s="1144">
        <f>'Quarterly Model'!AR88</f>
        <v>454</v>
      </c>
      <c r="O44" s="1144">
        <f>'Quarterly Model'!AS88</f>
        <v>393</v>
      </c>
      <c r="P44" s="1144">
        <f>'Quarterly Model'!AT88</f>
        <v>473</v>
      </c>
      <c r="Q44" s="1143">
        <f>'Quarterly Model'!AU88</f>
        <v>1836</v>
      </c>
      <c r="R44" s="1144">
        <f>'Quarterly Model'!AV88</f>
        <v>510</v>
      </c>
      <c r="S44" s="1144">
        <f>'Quarterly Model'!AW88</f>
        <v>548</v>
      </c>
      <c r="T44" s="1144">
        <f>'Quarterly Model'!AX88</f>
        <v>487</v>
      </c>
      <c r="U44" s="1144">
        <f>'Quarterly Model'!AY88</f>
        <v>576</v>
      </c>
      <c r="V44" s="1143">
        <f>'Quarterly Model'!AZ88</f>
        <v>2213</v>
      </c>
      <c r="W44" s="1144">
        <f>'Quarterly Model'!BA88</f>
        <v>582</v>
      </c>
      <c r="X44" s="1144">
        <f>'Quarterly Model'!BB88</f>
        <v>546</v>
      </c>
      <c r="Y44" s="1144">
        <f>'Quarterly Model'!BC88</f>
        <v>531</v>
      </c>
      <c r="Z44" s="1144">
        <f>'Quarterly Model'!BD88</f>
        <v>647</v>
      </c>
      <c r="AA44" s="1143">
        <f>'Quarterly Model'!BE88</f>
        <v>2439</v>
      </c>
      <c r="AB44" s="1144">
        <f>'Quarterly Model'!BF88</f>
        <v>654</v>
      </c>
      <c r="AC44" s="1144">
        <f>'Quarterly Model'!BG88</f>
        <v>643</v>
      </c>
      <c r="AD44" s="1144">
        <f>'Quarterly Model'!BH88</f>
        <v>614</v>
      </c>
      <c r="AE44" s="1144">
        <f>'Quarterly Model'!BI88</f>
        <v>748</v>
      </c>
      <c r="AF44" s="1143">
        <f>'Quarterly Model'!BJ88</f>
        <v>2788</v>
      </c>
      <c r="AG44" s="1144">
        <f>'Quarterly Model'!BK88</f>
        <v>708</v>
      </c>
      <c r="AH44" s="1144">
        <f>'Quarterly Model'!BL88</f>
        <v>705.23813268272079</v>
      </c>
      <c r="AI44" s="1144">
        <f>'Quarterly Model'!BM88</f>
        <v>669.39540775058845</v>
      </c>
      <c r="AJ44" s="1144">
        <f>'Quarterly Model'!BN88</f>
        <v>833.01682170470667</v>
      </c>
      <c r="AK44" s="1143">
        <f>'Quarterly Model'!BO88</f>
        <v>2989.6503621380161</v>
      </c>
      <c r="AL44" s="1144">
        <f>'Quarterly Model'!BP88</f>
        <v>807.01849269477088</v>
      </c>
      <c r="AM44" s="1144">
        <f>'Quarterly Model'!BQ88</f>
        <v>844.73046043322927</v>
      </c>
      <c r="AN44" s="1144">
        <f>'Quarterly Model'!BR88</f>
        <v>841.11287808352495</v>
      </c>
      <c r="AO44" s="1144">
        <f>'Quarterly Model'!BS88</f>
        <v>1046.3630411438005</v>
      </c>
      <c r="AP44" s="1143">
        <f>'Quarterly Model'!BT88</f>
        <v>3599.2248723553275</v>
      </c>
      <c r="AQ44" s="1144">
        <f>'Quarterly Model'!BU88</f>
        <v>955.52587910360171</v>
      </c>
      <c r="AR44" s="1144">
        <f>'Quarterly Model'!BV88</f>
        <v>1009.6665483561328</v>
      </c>
      <c r="AS44" s="1144">
        <f>'Quarterly Model'!BW88</f>
        <v>984.58172470689806</v>
      </c>
      <c r="AT44" s="1144">
        <f>'Quarterly Model'!BX88</f>
        <v>1238.8348046072201</v>
      </c>
      <c r="AU44" s="1143">
        <f>'Quarterly Model'!BY88</f>
        <v>4248.6089567738527</v>
      </c>
      <c r="AV44" s="1144">
        <f>'Quarterly Model'!BZ88</f>
        <v>1169.6738184290627</v>
      </c>
      <c r="AW44" s="1144">
        <f>'Quarterly Model'!CA88</f>
        <v>1240.5350833884586</v>
      </c>
      <c r="AX44" s="1144">
        <f>'Quarterly Model'!CB88</f>
        <v>1239.9372322645718</v>
      </c>
      <c r="AY44" s="1144">
        <f>'Quarterly Model'!CC88</f>
        <v>1559.8235312476027</v>
      </c>
      <c r="AZ44" s="1143">
        <f>'Quarterly Model'!CD88</f>
        <v>5269.9696653296987</v>
      </c>
    </row>
    <row r="45" spans="2:52">
      <c r="B45" s="1148" t="str">
        <f>'Quarterly Model'!B89</f>
        <v>YoY % change</v>
      </c>
      <c r="C45" s="217">
        <f>'Quarterly Model'!AG89</f>
        <v>0</v>
      </c>
      <c r="D45" s="217">
        <f>'Quarterly Model'!AH89</f>
        <v>0</v>
      </c>
      <c r="E45" s="217">
        <f>'Quarterly Model'!AI89</f>
        <v>0</v>
      </c>
      <c r="F45" s="217">
        <f>'Quarterly Model'!AJ89</f>
        <v>0</v>
      </c>
      <c r="G45" s="140">
        <f>'Quarterly Model'!AK89</f>
        <v>0</v>
      </c>
      <c r="H45" s="217">
        <f>'Quarterly Model'!AL89</f>
        <v>0</v>
      </c>
      <c r="I45" s="217">
        <f>'Quarterly Model'!AM89</f>
        <v>0</v>
      </c>
      <c r="J45" s="217">
        <f>'Quarterly Model'!AN89</f>
        <v>0</v>
      </c>
      <c r="K45" s="217">
        <f>'Quarterly Model'!AO89</f>
        <v>0</v>
      </c>
      <c r="L45" s="140">
        <f>'Quarterly Model'!AP89</f>
        <v>0.20218579234972678</v>
      </c>
      <c r="M45" s="217" t="str">
        <f>'Quarterly Model'!AQ89</f>
        <v>NM</v>
      </c>
      <c r="N45" s="217" t="str">
        <f>'Quarterly Model'!AR89</f>
        <v>NM</v>
      </c>
      <c r="O45" s="217" t="str">
        <f>'Quarterly Model'!AS89</f>
        <v>NM</v>
      </c>
      <c r="P45" s="217" t="str">
        <f>'Quarterly Model'!AT89</f>
        <v>NM</v>
      </c>
      <c r="Q45" s="140">
        <f>'Quarterly Model'!AU89</f>
        <v>0.19220779220779227</v>
      </c>
      <c r="R45" s="217">
        <f>'Quarterly Model'!AV89</f>
        <v>0.1434977578475336</v>
      </c>
      <c r="S45" s="217">
        <f>'Quarterly Model'!AW89</f>
        <v>0.20704845814977979</v>
      </c>
      <c r="T45" s="217">
        <f>'Quarterly Model'!AX89</f>
        <v>0.23918575063613234</v>
      </c>
      <c r="U45" s="217">
        <f>'Quarterly Model'!AY89</f>
        <v>0.21775898520084569</v>
      </c>
      <c r="V45" s="140">
        <f>'Quarterly Model'!AZ89</f>
        <v>0.20533769063180829</v>
      </c>
      <c r="W45" s="217">
        <f>'Quarterly Model'!BA89</f>
        <v>0.14117647058823524</v>
      </c>
      <c r="X45" s="217">
        <f>'Quarterly Model'!BB89</f>
        <v>-3.6496350364964014E-3</v>
      </c>
      <c r="Y45" s="217">
        <f>'Quarterly Model'!BC89</f>
        <v>9.034907597535935E-2</v>
      </c>
      <c r="Z45" s="217">
        <f>'Quarterly Model'!BD89</f>
        <v>0.12326388888888884</v>
      </c>
      <c r="AA45" s="140">
        <f>'Quarterly Model'!BE89</f>
        <v>0.10212381382738367</v>
      </c>
      <c r="AB45" s="217">
        <f>'Quarterly Model'!BF89</f>
        <v>0.12371134020618557</v>
      </c>
      <c r="AC45" s="217">
        <f>'Quarterly Model'!BG89</f>
        <v>0.17765567765567769</v>
      </c>
      <c r="AD45" s="217">
        <f>'Quarterly Model'!BH89</f>
        <v>0.15630885122410554</v>
      </c>
      <c r="AE45" s="217">
        <f>'Quarterly Model'!BI89</f>
        <v>0.15610510046367843</v>
      </c>
      <c r="AF45" s="140">
        <f>'Quarterly Model'!BJ89</f>
        <v>0.1430914309143092</v>
      </c>
      <c r="AG45" s="217">
        <f>'Quarterly Model'!BK89</f>
        <v>8.256880733944949E-2</v>
      </c>
      <c r="AH45" s="217">
        <f>'Quarterly Model'!BL89</f>
        <v>9.6793363425693224E-2</v>
      </c>
      <c r="AI45" s="217">
        <f>'Quarterly Model'!BM89</f>
        <v>9.0220533795746682E-2</v>
      </c>
      <c r="AJ45" s="217">
        <f>'Quarterly Model'!BN89</f>
        <v>0.11365885254639929</v>
      </c>
      <c r="AK45" s="140">
        <f>'Quarterly Model'!BO89</f>
        <v>7.2327963464137834E-2</v>
      </c>
      <c r="AL45" s="217">
        <f>'Quarterly Model'!BP89</f>
        <v>0.13985662809995891</v>
      </c>
      <c r="AM45" s="217">
        <f>'Quarterly Model'!BQ89</f>
        <v>0.19779464734823771</v>
      </c>
      <c r="AN45" s="217">
        <f>'Quarterly Model'!BR89</f>
        <v>0.25652621506617379</v>
      </c>
      <c r="AO45" s="217">
        <f>'Quarterly Model'!BS89</f>
        <v>0.25611273851888927</v>
      </c>
      <c r="AP45" s="140">
        <f>'Quarterly Model'!BT89</f>
        <v>0.20389491625414702</v>
      </c>
      <c r="AQ45" s="217">
        <f>'Quarterly Model'!BU89</f>
        <v>0.18401980593150924</v>
      </c>
      <c r="AR45" s="217">
        <f>'Quarterly Model'!BV89</f>
        <v>0.19525291871008688</v>
      </c>
      <c r="AS45" s="217">
        <f>'Quarterly Model'!BW89</f>
        <v>0.17057026513524165</v>
      </c>
      <c r="AT45" s="217">
        <f>'Quarterly Model'!BX89</f>
        <v>0.18394357970922304</v>
      </c>
      <c r="AU45" s="140">
        <f>'Quarterly Model'!BY89</f>
        <v>0.180423315421681</v>
      </c>
      <c r="AV45" s="217">
        <f>'Quarterly Model'!BZ89</f>
        <v>0.224115268888748</v>
      </c>
      <c r="AW45" s="217">
        <f>'Quarterly Model'!CA89</f>
        <v>0.22865819948993016</v>
      </c>
      <c r="AX45" s="217">
        <f>'Quarterly Model'!CB89</f>
        <v>0.25935430360917056</v>
      </c>
      <c r="AY45" s="217">
        <f>'Quarterly Model'!CC89</f>
        <v>0.25910535080757113</v>
      </c>
      <c r="AZ45" s="140">
        <f>'Quarterly Model'!CD89</f>
        <v>0.24039885029367536</v>
      </c>
    </row>
    <row r="46" spans="2:52">
      <c r="B46" s="1149" t="str">
        <f>'Quarterly Model'!B90</f>
        <v>EBITDA Margin on Net Revenue</v>
      </c>
      <c r="C46" s="220">
        <f>'Quarterly Model'!AG90</f>
        <v>0</v>
      </c>
      <c r="D46" s="220">
        <f>'Quarterly Model'!AH90</f>
        <v>0</v>
      </c>
      <c r="E46" s="220">
        <f>'Quarterly Model'!AI90</f>
        <v>0</v>
      </c>
      <c r="F46" s="220">
        <f>'Quarterly Model'!AJ90</f>
        <v>0</v>
      </c>
      <c r="G46" s="221">
        <f>'Quarterly Model'!AK90</f>
        <v>0.22624514305898977</v>
      </c>
      <c r="H46" s="220">
        <f>'Quarterly Model'!AL90</f>
        <v>0</v>
      </c>
      <c r="I46" s="220">
        <f>'Quarterly Model'!AM90</f>
        <v>0</v>
      </c>
      <c r="J46" s="220">
        <f>'Quarterly Model'!AN90</f>
        <v>0</v>
      </c>
      <c r="K46" s="220">
        <f>'Quarterly Model'!AO90</f>
        <v>0</v>
      </c>
      <c r="L46" s="221">
        <f>'Quarterly Model'!AP90</f>
        <v>0.22892819979188345</v>
      </c>
      <c r="M46" s="220">
        <f>'Quarterly Model'!AQ90</f>
        <v>0.23837520042757884</v>
      </c>
      <c r="N46" s="220">
        <f>'Quarterly Model'!AR90</f>
        <v>0.22917718324078748</v>
      </c>
      <c r="O46" s="220">
        <f>'Quarterly Model'!AS90</f>
        <v>0.19939117199391171</v>
      </c>
      <c r="P46" s="220">
        <f>'Quarterly Model'!AT90</f>
        <v>0.21608040201005024</v>
      </c>
      <c r="Q46" s="221">
        <f>'Quarterly Model'!AU90</f>
        <v>0.2291562656015976</v>
      </c>
      <c r="R46" s="220">
        <f>'Quarterly Model'!AV90</f>
        <v>0.23898781630740393</v>
      </c>
      <c r="S46" s="220">
        <f>'Quarterly Model'!AW90</f>
        <v>0.23898822503270825</v>
      </c>
      <c r="T46" s="220">
        <f>'Quarterly Model'!AX90</f>
        <v>0.21567759078830823</v>
      </c>
      <c r="U46" s="220">
        <f>'Quarterly Model'!AY90</f>
        <v>0.22535211267605634</v>
      </c>
      <c r="V46" s="221">
        <f>'Quarterly Model'!AZ90</f>
        <v>0.23929498269896193</v>
      </c>
      <c r="W46" s="220">
        <f>'Quarterly Model'!BA90</f>
        <v>0.22877358490566038</v>
      </c>
      <c r="X46" s="220">
        <f>'Quarterly Model'!BB90</f>
        <v>0.2060377358490566</v>
      </c>
      <c r="Y46" s="220">
        <f>'Quarterly Model'!BC90</f>
        <v>0.19910011248593926</v>
      </c>
      <c r="Z46" s="220">
        <f>'Quarterly Model'!BD90</f>
        <v>0.21704126132170412</v>
      </c>
      <c r="AA46" s="221">
        <f>'Quarterly Model'!BE90</f>
        <v>0.22495849474266741</v>
      </c>
      <c r="AB46" s="220">
        <f>'Quarterly Model'!BF90</f>
        <v>0.21983193277310925</v>
      </c>
      <c r="AC46" s="220">
        <f>'Quarterly Model'!BG90</f>
        <v>0.20503826530612246</v>
      </c>
      <c r="AD46" s="220">
        <f>'Quarterly Model'!BH90</f>
        <v>0.18956468045693114</v>
      </c>
      <c r="AE46" s="220">
        <f>'Quarterly Model'!BI90</f>
        <v>0.20188933873144399</v>
      </c>
      <c r="AF46" s="221">
        <f>'Quarterly Model'!BJ90</f>
        <v>0.2135580237456913</v>
      </c>
      <c r="AG46" s="220">
        <f>'Quarterly Model'!BK90</f>
        <v>0.1921302578018996</v>
      </c>
      <c r="AH46" s="220">
        <f>'Quarterly Model'!BL90</f>
        <v>0.18457670333501658</v>
      </c>
      <c r="AI46" s="220">
        <f>'Quarterly Model'!BM90</f>
        <v>0.1828064697830272</v>
      </c>
      <c r="AJ46" s="220">
        <f>'Quarterly Model'!BN90</f>
        <v>0.19639231183141342</v>
      </c>
      <c r="AK46" s="221">
        <f>'Quarterly Model'!BO90</f>
        <v>0.19401714325927896</v>
      </c>
      <c r="AL46" s="220">
        <f>'Quarterly Model'!BP90</f>
        <v>0.1976754477881339</v>
      </c>
      <c r="AM46" s="220">
        <f>'Quarterly Model'!BQ90</f>
        <v>0.19902656130047661</v>
      </c>
      <c r="AN46" s="220">
        <f>'Quarterly Model'!BR90</f>
        <v>0.19261746201353533</v>
      </c>
      <c r="AO46" s="220">
        <f>'Quarterly Model'!BS90</f>
        <v>0.20674393351362177</v>
      </c>
      <c r="AP46" s="221">
        <f>'Quarterly Model'!BT90</f>
        <v>0.20271886013960344</v>
      </c>
      <c r="AQ46" s="220">
        <f>'Quarterly Model'!BU90</f>
        <v>0.20020178172945868</v>
      </c>
      <c r="AR46" s="220">
        <f>'Quarterly Model'!BV90</f>
        <v>0.20275751633497507</v>
      </c>
      <c r="AS46" s="220">
        <f>'Quarterly Model'!BW90</f>
        <v>0.19554678175318485</v>
      </c>
      <c r="AT46" s="220">
        <f>'Quarterly Model'!BX90</f>
        <v>0.21153116064962454</v>
      </c>
      <c r="AU46" s="221">
        <f>'Quarterly Model'!BY90</f>
        <v>0.20580337289367157</v>
      </c>
      <c r="AV46" s="220">
        <f>'Quarterly Model'!BZ90</f>
        <v>0.21324422784691319</v>
      </c>
      <c r="AW46" s="220">
        <f>'Quarterly Model'!CA90</f>
        <v>0.21640197997901303</v>
      </c>
      <c r="AX46" s="220">
        <f>'Quarterly Model'!CB90</f>
        <v>0.2124884314546257</v>
      </c>
      <c r="AY46" s="220">
        <f>'Quarterly Model'!CC90</f>
        <v>0.22945941271965553</v>
      </c>
      <c r="AZ46" s="221">
        <f>'Quarterly Model'!CD90</f>
        <v>0.22095547360248255</v>
      </c>
    </row>
    <row r="47" spans="2:52" ht="5.25" customHeight="1">
      <c r="B47" s="236"/>
      <c r="C47" s="139"/>
      <c r="D47" s="139"/>
      <c r="E47" s="139"/>
      <c r="F47" s="139"/>
      <c r="G47" s="1135"/>
      <c r="H47" s="139"/>
      <c r="I47" s="139"/>
      <c r="J47" s="139"/>
      <c r="K47" s="139"/>
      <c r="L47" s="1134"/>
      <c r="M47" s="139"/>
      <c r="N47" s="139"/>
      <c r="O47" s="139"/>
      <c r="P47" s="139"/>
      <c r="Q47" s="1134"/>
      <c r="R47" s="139"/>
      <c r="S47" s="139"/>
      <c r="T47" s="139"/>
      <c r="U47" s="139"/>
      <c r="V47" s="1134"/>
      <c r="W47" s="139"/>
      <c r="X47" s="139"/>
      <c r="Y47" s="139"/>
      <c r="Z47" s="139"/>
      <c r="AA47" s="1134"/>
      <c r="AB47" s="139"/>
      <c r="AC47" s="139"/>
      <c r="AD47" s="139"/>
      <c r="AE47" s="139"/>
      <c r="AF47" s="1134"/>
      <c r="AG47" s="139"/>
      <c r="AH47" s="139"/>
      <c r="AI47" s="139"/>
      <c r="AJ47" s="139"/>
      <c r="AK47" s="1134"/>
      <c r="AL47" s="139"/>
      <c r="AM47" s="139"/>
      <c r="AN47" s="139"/>
      <c r="AO47" s="139"/>
      <c r="AP47" s="1134"/>
      <c r="AQ47" s="139"/>
      <c r="AR47" s="139"/>
      <c r="AS47" s="139"/>
      <c r="AT47" s="139"/>
      <c r="AU47" s="1134"/>
      <c r="AV47" s="139"/>
      <c r="AW47" s="139"/>
      <c r="AX47" s="139"/>
      <c r="AY47" s="139"/>
      <c r="AZ47" s="1134"/>
    </row>
    <row r="48" spans="2:52">
      <c r="B48" s="1150" t="str">
        <f>'Quarterly Model'!B96</f>
        <v>Other Income (Expense), net</v>
      </c>
      <c r="C48" s="1126">
        <f>'Quarterly Model'!AG96</f>
        <v>0</v>
      </c>
      <c r="D48" s="1126">
        <f>'Quarterly Model'!AH96</f>
        <v>0</v>
      </c>
      <c r="E48" s="1126">
        <f>'Quarterly Model'!AI96</f>
        <v>0</v>
      </c>
      <c r="F48" s="1126">
        <f>'Quarterly Model'!AJ96</f>
        <v>0</v>
      </c>
      <c r="G48" s="1151">
        <f>'Quarterly Model'!AK96</f>
        <v>11</v>
      </c>
      <c r="H48" s="1128">
        <f>'Quarterly Model'!AL96</f>
        <v>0</v>
      </c>
      <c r="I48" s="1128">
        <f>'Quarterly Model'!AM96</f>
        <v>0</v>
      </c>
      <c r="J48" s="1128">
        <f>'Quarterly Model'!AN96</f>
        <v>0</v>
      </c>
      <c r="K48" s="1128">
        <f>'Quarterly Model'!AO96</f>
        <v>0</v>
      </c>
      <c r="L48" s="1151">
        <f>'Quarterly Model'!AP96</f>
        <v>0</v>
      </c>
      <c r="M48" s="324">
        <f>'Quarterly Model'!AQ96</f>
        <v>-4</v>
      </c>
      <c r="N48" s="324">
        <f>'Quarterly Model'!AR96</f>
        <v>-3</v>
      </c>
      <c r="O48" s="324">
        <f>'Quarterly Model'!AS96</f>
        <v>1</v>
      </c>
      <c r="P48" s="324">
        <f>'Quarterly Model'!AT96</f>
        <v>-1</v>
      </c>
      <c r="Q48" s="1151">
        <f>'Quarterly Model'!AU96</f>
        <v>-7</v>
      </c>
      <c r="R48" s="324">
        <f>'Quarterly Model'!AV96</f>
        <v>-1</v>
      </c>
      <c r="S48" s="324">
        <f>'Quarterly Model'!AW96</f>
        <v>1</v>
      </c>
      <c r="T48" s="324">
        <f>'Quarterly Model'!AX96</f>
        <v>8</v>
      </c>
      <c r="U48" s="324">
        <f>'Quarterly Model'!AY96</f>
        <v>7</v>
      </c>
      <c r="V48" s="1151">
        <f>'Quarterly Model'!AZ96</f>
        <v>15</v>
      </c>
      <c r="W48" s="324">
        <f>'Quarterly Model'!BA96</f>
        <v>15</v>
      </c>
      <c r="X48" s="324">
        <f>'Quarterly Model'!BB96</f>
        <v>9</v>
      </c>
      <c r="Y48" s="324">
        <f>'Quarterly Model'!BC96</f>
        <v>12</v>
      </c>
      <c r="Z48" s="324">
        <f>'Quarterly Model'!BD96</f>
        <v>9</v>
      </c>
      <c r="AA48" s="1151">
        <f>'Quarterly Model'!BE96</f>
        <v>45</v>
      </c>
      <c r="AB48" s="324">
        <f>'Quarterly Model'!BF96</f>
        <v>7</v>
      </c>
      <c r="AC48" s="324">
        <f>'Quarterly Model'!BG96</f>
        <v>17</v>
      </c>
      <c r="AD48" s="324">
        <f>'Quarterly Model'!BH96</f>
        <v>28</v>
      </c>
      <c r="AE48" s="324">
        <f>'Quarterly Model'!BI96</f>
        <v>21</v>
      </c>
      <c r="AF48" s="1151">
        <f>'Quarterly Model'!BJ96</f>
        <v>73</v>
      </c>
      <c r="AG48" s="324">
        <f>'Quarterly Model'!BK96</f>
        <v>14</v>
      </c>
      <c r="AH48" s="324">
        <f>'Quarterly Model'!BL96</f>
        <v>3</v>
      </c>
      <c r="AI48" s="324">
        <f>'Quarterly Model'!BM96</f>
        <v>3</v>
      </c>
      <c r="AJ48" s="324">
        <f>'Quarterly Model'!BN96</f>
        <v>3</v>
      </c>
      <c r="AK48" s="1151">
        <f>'Quarterly Model'!BO96</f>
        <v>23</v>
      </c>
      <c r="AL48" s="324">
        <f>'Quarterly Model'!BP96</f>
        <v>0</v>
      </c>
      <c r="AM48" s="324">
        <f>'Quarterly Model'!BQ96</f>
        <v>0</v>
      </c>
      <c r="AN48" s="324">
        <f>'Quarterly Model'!BR96</f>
        <v>0</v>
      </c>
      <c r="AO48" s="324">
        <f>'Quarterly Model'!BS96</f>
        <v>0</v>
      </c>
      <c r="AP48" s="1151">
        <f>'Quarterly Model'!BT96</f>
        <v>0</v>
      </c>
      <c r="AQ48" s="324">
        <f>'Quarterly Model'!BU96</f>
        <v>0</v>
      </c>
      <c r="AR48" s="324">
        <f>'Quarterly Model'!BV96</f>
        <v>0</v>
      </c>
      <c r="AS48" s="324">
        <f>'Quarterly Model'!BW96</f>
        <v>0</v>
      </c>
      <c r="AT48" s="324">
        <f>'Quarterly Model'!BX96</f>
        <v>0</v>
      </c>
      <c r="AU48" s="1151">
        <f>'Quarterly Model'!BY96</f>
        <v>0</v>
      </c>
      <c r="AV48" s="324">
        <f>'Quarterly Model'!BZ96</f>
        <v>0</v>
      </c>
      <c r="AW48" s="324">
        <f>'Quarterly Model'!CA96</f>
        <v>0</v>
      </c>
      <c r="AX48" s="324">
        <f>'Quarterly Model'!CB96</f>
        <v>0</v>
      </c>
      <c r="AY48" s="324">
        <f>'Quarterly Model'!CC96</f>
        <v>0</v>
      </c>
      <c r="AZ48" s="1151">
        <f>'Quarterly Model'!CD96</f>
        <v>0</v>
      </c>
    </row>
    <row r="49" spans="2:52">
      <c r="B49" s="1150" t="str">
        <f>'Quarterly Model'!B98</f>
        <v>Income before income taxes (PayPal method)</v>
      </c>
      <c r="C49" s="1126">
        <f>'Quarterly Model'!AG98</f>
        <v>0</v>
      </c>
      <c r="D49" s="1126">
        <f>'Quarterly Model'!AH98</f>
        <v>0</v>
      </c>
      <c r="E49" s="1126">
        <f>'Quarterly Model'!AI98</f>
        <v>0</v>
      </c>
      <c r="F49" s="1126">
        <f>'Quarterly Model'!AJ98</f>
        <v>0</v>
      </c>
      <c r="G49" s="1152">
        <f>'Quarterly Model'!AK98</f>
        <v>1178</v>
      </c>
      <c r="H49" s="1128">
        <f>'Quarterly Model'!AL98</f>
        <v>0</v>
      </c>
      <c r="I49" s="1128">
        <f>'Quarterly Model'!AM98</f>
        <v>0</v>
      </c>
      <c r="J49" s="1128">
        <f>'Quarterly Model'!AN98</f>
        <v>0</v>
      </c>
      <c r="K49" s="1128">
        <f>'Quarterly Model'!AO98</f>
        <v>0</v>
      </c>
      <c r="L49" s="1152">
        <f>'Quarterly Model'!AP98</f>
        <v>1411</v>
      </c>
      <c r="M49" s="1128">
        <f>'Quarterly Model'!AQ98</f>
        <v>403</v>
      </c>
      <c r="N49" s="1128">
        <f>'Quarterly Model'!AR98</f>
        <v>418</v>
      </c>
      <c r="O49" s="1128">
        <f>'Quarterly Model'!AS98</f>
        <v>354</v>
      </c>
      <c r="P49" s="1128">
        <f>'Quarterly Model'!AT98</f>
        <v>435</v>
      </c>
      <c r="Q49" s="1152">
        <f>'Quarterly Model'!AU98</f>
        <v>1610</v>
      </c>
      <c r="R49" s="1128">
        <f>'Quarterly Model'!AV98</f>
        <v>464</v>
      </c>
      <c r="S49" s="1128">
        <f>'Quarterly Model'!AW98</f>
        <v>506</v>
      </c>
      <c r="T49" s="1128">
        <f>'Quarterly Model'!AX98</f>
        <v>458</v>
      </c>
      <c r="U49" s="1128">
        <f>'Quarterly Model'!AY98</f>
        <v>539</v>
      </c>
      <c r="V49" s="1152">
        <f>'Quarterly Model'!AZ98</f>
        <v>1974</v>
      </c>
      <c r="W49" s="1128">
        <f>'Quarterly Model'!BA98</f>
        <v>552</v>
      </c>
      <c r="X49" s="1128">
        <f>'Quarterly Model'!BB98</f>
        <v>537</v>
      </c>
      <c r="Y49" s="1128">
        <f>'Quarterly Model'!BC98</f>
        <v>502</v>
      </c>
      <c r="Z49" s="1128">
        <f>'Quarterly Model'!BD98</f>
        <v>628</v>
      </c>
      <c r="AA49" s="1152">
        <f>'Quarterly Model'!BE98</f>
        <v>2219</v>
      </c>
      <c r="AB49" s="1128">
        <f>'Quarterly Model'!BF98</f>
        <v>650</v>
      </c>
      <c r="AC49" s="1128">
        <f>'Quarterly Model'!BG98</f>
        <v>676</v>
      </c>
      <c r="AD49" s="1128">
        <f>'Quarterly Model'!BH98</f>
        <v>674</v>
      </c>
      <c r="AE49" s="1128">
        <f>'Quarterly Model'!BI98</f>
        <v>828</v>
      </c>
      <c r="AF49" s="1152">
        <f>'Quarterly Model'!BJ98</f>
        <v>2828</v>
      </c>
      <c r="AG49" s="1128">
        <f>'Quarterly Model'!BK98</f>
        <v>843</v>
      </c>
      <c r="AH49" s="1128">
        <f>'Quarterly Model'!BL98</f>
        <v>836.62213442753125</v>
      </c>
      <c r="AI49" s="1128">
        <f>'Quarterly Model'!BM98</f>
        <v>788.87621700729949</v>
      </c>
      <c r="AJ49" s="1128">
        <f>'Quarterly Model'!BN98</f>
        <v>988.91834362568329</v>
      </c>
      <c r="AK49" s="1152">
        <f>'Quarterly Model'!BO98</f>
        <v>3457.416695060514</v>
      </c>
      <c r="AL49" s="1128">
        <f>'Quarterly Model'!BP98</f>
        <v>924.47106573046426</v>
      </c>
      <c r="AM49" s="1128">
        <f>'Quarterly Model'!BQ98</f>
        <v>970.38907129811173</v>
      </c>
      <c r="AN49" s="1128">
        <f>'Quarterly Model'!BR98</f>
        <v>972.61805745539914</v>
      </c>
      <c r="AO49" s="1128">
        <f>'Quarterly Model'!BS98</f>
        <v>1218.0323261460205</v>
      </c>
      <c r="AP49" s="1152">
        <f>'Quarterly Model'!BT98</f>
        <v>4085.5105206299977</v>
      </c>
      <c r="AQ49" s="1128">
        <f>'Quarterly Model'!BU98</f>
        <v>1112.0539439251374</v>
      </c>
      <c r="AR49" s="1128">
        <f>'Quarterly Model'!BV98</f>
        <v>1177.4165648601625</v>
      </c>
      <c r="AS49" s="1128">
        <f>'Quarterly Model'!BW98</f>
        <v>1154.2353816302907</v>
      </c>
      <c r="AT49" s="1128">
        <f>'Quarterly Model'!BX98</f>
        <v>1457.5102995525758</v>
      </c>
      <c r="AU49" s="1152">
        <f>'Quarterly Model'!BY98</f>
        <v>4901.2161899681669</v>
      </c>
      <c r="AV49" s="1128">
        <f>'Quarterly Model'!BZ98</f>
        <v>1341.3117682993325</v>
      </c>
      <c r="AW49" s="1128">
        <f>'Quarterly Model'!CA98</f>
        <v>1425.022960086761</v>
      </c>
      <c r="AX49" s="1128">
        <f>'Quarterly Model'!CB98</f>
        <v>1428.8855843891063</v>
      </c>
      <c r="AY49" s="1128">
        <f>'Quarterly Model'!CC98</f>
        <v>1803.0970271137032</v>
      </c>
      <c r="AZ49" s="1152">
        <f>'Quarterly Model'!CD98</f>
        <v>5998.3173398889057</v>
      </c>
    </row>
    <row r="50" spans="2:52">
      <c r="B50" s="1150" t="str">
        <f>'Quarterly Model'!B101</f>
        <v>Income tax expense/(benefit)</v>
      </c>
      <c r="C50" s="1126">
        <f>'Quarterly Model'!AG101</f>
        <v>0</v>
      </c>
      <c r="D50" s="1126">
        <f>'Quarterly Model'!AH101</f>
        <v>0</v>
      </c>
      <c r="E50" s="1126">
        <f>'Quarterly Model'!AI101</f>
        <v>0</v>
      </c>
      <c r="F50" s="1126">
        <f>'Quarterly Model'!AJ101</f>
        <v>0</v>
      </c>
      <c r="G50" s="1153">
        <f>'Quarterly Model'!AK101</f>
        <v>217</v>
      </c>
      <c r="H50" s="1128">
        <f>'Quarterly Model'!AL101</f>
        <v>0</v>
      </c>
      <c r="I50" s="1128">
        <f>'Quarterly Model'!AM101</f>
        <v>0</v>
      </c>
      <c r="J50" s="1128">
        <f>'Quarterly Model'!AN101</f>
        <v>0</v>
      </c>
      <c r="K50" s="1128">
        <f>'Quarterly Model'!AO101</f>
        <v>0</v>
      </c>
      <c r="L50" s="1153">
        <f>'Quarterly Model'!AP101</f>
        <v>225</v>
      </c>
      <c r="M50" s="1128">
        <f>'Quarterly Model'!AQ101</f>
        <v>69.999999999999986</v>
      </c>
      <c r="N50" s="1128">
        <f>'Quarterly Model'!AR101</f>
        <v>72</v>
      </c>
      <c r="O50" s="1128">
        <f>'Quarterly Model'!AS101</f>
        <v>66</v>
      </c>
      <c r="P50" s="1128">
        <f>'Quarterly Model'!AT101</f>
        <v>87</v>
      </c>
      <c r="Q50" s="1153">
        <f>'Quarterly Model'!AU101</f>
        <v>295</v>
      </c>
      <c r="R50" s="1128">
        <f>'Quarterly Model'!AV101</f>
        <v>111</v>
      </c>
      <c r="S50" s="1128">
        <f>'Quarterly Model'!AW101</f>
        <v>109.74664107485604</v>
      </c>
      <c r="T50" s="1128">
        <f>'Quarterly Model'!AX101</f>
        <v>81</v>
      </c>
      <c r="U50" s="1128">
        <f>'Quarterly Model'!AY101</f>
        <v>96</v>
      </c>
      <c r="V50" s="1127">
        <f>'Quarterly Model'!AZ101</f>
        <v>397.74664107485603</v>
      </c>
      <c r="W50" s="1128">
        <f>'Quarterly Model'!BA101</f>
        <v>100</v>
      </c>
      <c r="X50" s="1128">
        <f>'Quarterly Model'!BB101</f>
        <v>101</v>
      </c>
      <c r="Y50" s="1128">
        <f>'Quarterly Model'!BC101</f>
        <v>77</v>
      </c>
      <c r="Z50" s="1128">
        <f>'Quarterly Model'!BD101</f>
        <v>116</v>
      </c>
      <c r="AA50" s="1127">
        <f>'Quarterly Model'!BE101</f>
        <v>394</v>
      </c>
      <c r="AB50" s="1128">
        <f>'Quarterly Model'!BF101</f>
        <v>116</v>
      </c>
      <c r="AC50" s="1128">
        <f>'Quarterly Model'!BG101</f>
        <v>122</v>
      </c>
      <c r="AD50" s="1128">
        <f>'Quarterly Model'!BH101</f>
        <v>114</v>
      </c>
      <c r="AE50" s="1128">
        <f>'Quarterly Model'!BI101</f>
        <v>158</v>
      </c>
      <c r="AF50" s="1127">
        <f>'Quarterly Model'!BJ101</f>
        <v>510</v>
      </c>
      <c r="AG50" s="1128">
        <f>'Quarterly Model'!BK101</f>
        <v>151</v>
      </c>
      <c r="AH50" s="1128">
        <f>'Quarterly Model'!BL101</f>
        <v>150.59198419695562</v>
      </c>
      <c r="AI50" s="1128">
        <f>'Quarterly Model'!BM101</f>
        <v>141.99771906131392</v>
      </c>
      <c r="AJ50" s="1128">
        <f>'Quarterly Model'!BN101</f>
        <v>178.00530185262298</v>
      </c>
      <c r="AK50" s="1127">
        <f>'Quarterly Model'!BO101</f>
        <v>621.59500511089254</v>
      </c>
      <c r="AL50" s="1128">
        <f>'Quarterly Model'!BP101</f>
        <v>180.27185781744055</v>
      </c>
      <c r="AM50" s="1128">
        <f>'Quarterly Model'!BQ101</f>
        <v>189.22586890313178</v>
      </c>
      <c r="AN50" s="1128">
        <f>'Quarterly Model'!BR101</f>
        <v>189.66052120380283</v>
      </c>
      <c r="AO50" s="1128">
        <f>'Quarterly Model'!BS101</f>
        <v>237.516303598474</v>
      </c>
      <c r="AP50" s="1127">
        <f>'Quarterly Model'!BT101</f>
        <v>796.67455152284924</v>
      </c>
      <c r="AQ50" s="1128">
        <f>'Quarterly Model'!BU101</f>
        <v>222.41078878502751</v>
      </c>
      <c r="AR50" s="1128">
        <f>'Quarterly Model'!BV101</f>
        <v>235.48331297203251</v>
      </c>
      <c r="AS50" s="1128">
        <f>'Quarterly Model'!BW101</f>
        <v>230.84707632605816</v>
      </c>
      <c r="AT50" s="1128">
        <f>'Quarterly Model'!BX101</f>
        <v>291.50205991051519</v>
      </c>
      <c r="AU50" s="1127">
        <f>'Quarterly Model'!BY101</f>
        <v>980.24323799363333</v>
      </c>
      <c r="AV50" s="1128">
        <f>'Quarterly Model'!BZ101</f>
        <v>274.96891250136315</v>
      </c>
      <c r="AW50" s="1128">
        <f>'Quarterly Model'!CA101</f>
        <v>292.12970681778597</v>
      </c>
      <c r="AX50" s="1128">
        <f>'Quarterly Model'!CB101</f>
        <v>292.92154479976676</v>
      </c>
      <c r="AY50" s="1128">
        <f>'Quarterly Model'!CC101</f>
        <v>369.63489055830917</v>
      </c>
      <c r="AZ50" s="1127">
        <f>'Quarterly Model'!CD101</f>
        <v>1229.6550546772251</v>
      </c>
    </row>
    <row r="51" spans="2:52">
      <c r="B51" s="236" t="str">
        <f>'Quarterly Model'!B102</f>
        <v>Effective Tax Rate</v>
      </c>
      <c r="C51" s="258">
        <f>'Quarterly Model'!AG102</f>
        <v>0</v>
      </c>
      <c r="D51" s="258">
        <f>'Quarterly Model'!AH102</f>
        <v>0</v>
      </c>
      <c r="E51" s="258">
        <f>'Quarterly Model'!AI102</f>
        <v>0</v>
      </c>
      <c r="F51" s="258">
        <f>'Quarterly Model'!AJ102</f>
        <v>0</v>
      </c>
      <c r="G51" s="1154">
        <f>'Quarterly Model'!AK102</f>
        <v>0.18421052631578946</v>
      </c>
      <c r="H51" s="258">
        <f>'Quarterly Model'!AL102</f>
        <v>0</v>
      </c>
      <c r="I51" s="258">
        <f>'Quarterly Model'!AM102</f>
        <v>0</v>
      </c>
      <c r="J51" s="258">
        <f>'Quarterly Model'!AN102</f>
        <v>0</v>
      </c>
      <c r="K51" s="258">
        <f>'Quarterly Model'!AO102</f>
        <v>0</v>
      </c>
      <c r="L51" s="1155">
        <f>'Quarterly Model'!AP102</f>
        <v>0.15946137491141035</v>
      </c>
      <c r="M51" s="139">
        <f>'Quarterly Model'!AQ102</f>
        <v>0.17369727047146399</v>
      </c>
      <c r="N51" s="139">
        <f>'Quarterly Model'!AR102</f>
        <v>0.17224880382775121</v>
      </c>
      <c r="O51" s="139">
        <f>'Quarterly Model'!AS102</f>
        <v>0.1864406779661017</v>
      </c>
      <c r="P51" s="139">
        <f>'Quarterly Model'!AT102</f>
        <v>0.2</v>
      </c>
      <c r="Q51" s="1119">
        <f>'Quarterly Model'!AU102</f>
        <v>0.18322981366459629</v>
      </c>
      <c r="R51" s="139">
        <f>'Quarterly Model'!AV102</f>
        <v>0.23922413793103448</v>
      </c>
      <c r="S51" s="1156">
        <f>'Quarterly Model'!AW102</f>
        <v>0.21689059500959693</v>
      </c>
      <c r="T51" s="1156">
        <f>'Quarterly Model'!AX102</f>
        <v>0.17685589519650655</v>
      </c>
      <c r="U51" s="1156">
        <f>'Quarterly Model'!AY102</f>
        <v>0.17810760667903525</v>
      </c>
      <c r="V51" s="1119">
        <f>'Quarterly Model'!AZ102</f>
        <v>0.20149272597510437</v>
      </c>
      <c r="W51" s="1156">
        <f>'Quarterly Model'!BA102</f>
        <v>0.18115942028985507</v>
      </c>
      <c r="X51" s="1156">
        <f>'Quarterly Model'!BB102</f>
        <v>0.18808193668528864</v>
      </c>
      <c r="Y51" s="1156">
        <f>'Quarterly Model'!BC102</f>
        <v>0.15338645418326693</v>
      </c>
      <c r="Z51" s="1156">
        <f>'Quarterly Model'!BD102</f>
        <v>0.18471337579617833</v>
      </c>
      <c r="AA51" s="1119">
        <f>'Quarterly Model'!BE102</f>
        <v>0.1775574583145561</v>
      </c>
      <c r="AB51" s="1156">
        <f>'Quarterly Model'!BF102</f>
        <v>0.17846153846153845</v>
      </c>
      <c r="AC51" s="1156">
        <f>'Quarterly Model'!BG102</f>
        <v>0.18047337278106509</v>
      </c>
      <c r="AD51" s="1156">
        <f>'Quarterly Model'!BH102</f>
        <v>0.16913946587537093</v>
      </c>
      <c r="AE51" s="1156">
        <f>'Quarterly Model'!BI102</f>
        <v>0.19082125603864733</v>
      </c>
      <c r="AF51" s="1119">
        <f>'Quarterly Model'!BJ102</f>
        <v>0.18033946251768035</v>
      </c>
      <c r="AG51" s="1156">
        <f>'Quarterly Model'!BK102</f>
        <v>0.17912218268090155</v>
      </c>
      <c r="AH51" s="1156">
        <f>'Quarterly Model'!BL102</f>
        <v>0.18</v>
      </c>
      <c r="AI51" s="1156">
        <f>'Quarterly Model'!BM102</f>
        <v>0.18</v>
      </c>
      <c r="AJ51" s="1156">
        <f>'Quarterly Model'!BN102</f>
        <v>0.18</v>
      </c>
      <c r="AK51" s="1119">
        <f>'Quarterly Model'!BO102</f>
        <v>0.17978596736660143</v>
      </c>
      <c r="AL51" s="1156">
        <f>'Quarterly Model'!BP102</f>
        <v>0.19500000000000001</v>
      </c>
      <c r="AM51" s="1156">
        <f>'Quarterly Model'!BQ102</f>
        <v>0.19500000000000001</v>
      </c>
      <c r="AN51" s="1156">
        <f>'Quarterly Model'!BR102</f>
        <v>0.19500000000000001</v>
      </c>
      <c r="AO51" s="1156">
        <f>'Quarterly Model'!BS102</f>
        <v>0.19500000000000001</v>
      </c>
      <c r="AP51" s="1119">
        <f>'Quarterly Model'!BT102</f>
        <v>0.19499999999999992</v>
      </c>
      <c r="AQ51" s="1156">
        <f>'Quarterly Model'!BU102</f>
        <v>0.2</v>
      </c>
      <c r="AR51" s="1156">
        <f>'Quarterly Model'!BV102</f>
        <v>0.2</v>
      </c>
      <c r="AS51" s="1156">
        <f>'Quarterly Model'!BW102</f>
        <v>0.2</v>
      </c>
      <c r="AT51" s="1156">
        <f>'Quarterly Model'!BX102</f>
        <v>0.2</v>
      </c>
      <c r="AU51" s="1119">
        <f>'Quarterly Model'!BY102</f>
        <v>0.19999999999999998</v>
      </c>
      <c r="AV51" s="1156">
        <f>'Quarterly Model'!BZ102</f>
        <v>0.20499999999999999</v>
      </c>
      <c r="AW51" s="1156">
        <f>'Quarterly Model'!CA102</f>
        <v>0.20499999999999999</v>
      </c>
      <c r="AX51" s="1156">
        <f>'Quarterly Model'!CB102</f>
        <v>0.20499999999999999</v>
      </c>
      <c r="AY51" s="1156">
        <f>'Quarterly Model'!CC102</f>
        <v>0.20499999999999999</v>
      </c>
      <c r="AZ51" s="1119">
        <f>'Quarterly Model'!CD102</f>
        <v>0.2049999999999999</v>
      </c>
    </row>
    <row r="52" spans="2:52" ht="5.25" customHeight="1">
      <c r="B52" s="260"/>
      <c r="C52" s="258"/>
      <c r="D52" s="258"/>
      <c r="E52" s="258"/>
      <c r="F52" s="258"/>
      <c r="G52" s="1154"/>
      <c r="H52" s="258"/>
      <c r="I52" s="258"/>
      <c r="J52" s="258"/>
      <c r="K52" s="258"/>
      <c r="L52" s="1155"/>
      <c r="M52" s="258"/>
      <c r="N52" s="258"/>
      <c r="O52" s="258"/>
      <c r="P52" s="258"/>
      <c r="Q52" s="1155"/>
      <c r="R52" s="258"/>
      <c r="S52" s="258"/>
      <c r="T52" s="258"/>
      <c r="U52" s="258"/>
      <c r="V52" s="1155"/>
      <c r="W52" s="258"/>
      <c r="X52" s="258"/>
      <c r="Y52" s="258"/>
      <c r="Z52" s="258"/>
      <c r="AA52" s="1155"/>
      <c r="AB52" s="258"/>
      <c r="AC52" s="258"/>
      <c r="AD52" s="258"/>
      <c r="AE52" s="258"/>
      <c r="AF52" s="1155"/>
      <c r="AG52" s="258"/>
      <c r="AH52" s="258"/>
      <c r="AI52" s="258"/>
      <c r="AJ52" s="258"/>
      <c r="AK52" s="1155"/>
      <c r="AL52" s="258"/>
      <c r="AM52" s="258"/>
      <c r="AN52" s="258"/>
      <c r="AO52" s="258"/>
      <c r="AP52" s="1155"/>
      <c r="AQ52" s="258"/>
      <c r="AR52" s="258"/>
      <c r="AS52" s="258"/>
      <c r="AT52" s="258"/>
      <c r="AU52" s="1155"/>
      <c r="AV52" s="258"/>
      <c r="AW52" s="258"/>
      <c r="AX52" s="258"/>
      <c r="AY52" s="258"/>
      <c r="AZ52" s="1155"/>
    </row>
    <row r="53" spans="2:52">
      <c r="B53" s="1130" t="str">
        <f>'Quarterly Model'!B104</f>
        <v>Adjusted Net Income (PayPal Method)</v>
      </c>
      <c r="C53" s="1131">
        <f>'Quarterly Model'!AG104</f>
        <v>0</v>
      </c>
      <c r="D53" s="1131">
        <f>'Quarterly Model'!AH104</f>
        <v>0</v>
      </c>
      <c r="E53" s="1131">
        <f>'Quarterly Model'!AI104</f>
        <v>0</v>
      </c>
      <c r="F53" s="1131">
        <f>'Quarterly Model'!AJ104</f>
        <v>0</v>
      </c>
      <c r="G53" s="1157">
        <f>'Quarterly Model'!AK104</f>
        <v>961</v>
      </c>
      <c r="H53" s="1132">
        <f>'Quarterly Model'!AL104</f>
        <v>0</v>
      </c>
      <c r="I53" s="1132">
        <f>'Quarterly Model'!AM104</f>
        <v>0</v>
      </c>
      <c r="J53" s="1132">
        <f>'Quarterly Model'!AN104</f>
        <v>0</v>
      </c>
      <c r="K53" s="1132">
        <f>'Quarterly Model'!AO104</f>
        <v>0</v>
      </c>
      <c r="L53" s="1157">
        <f>'Quarterly Model'!AP104</f>
        <v>1186</v>
      </c>
      <c r="M53" s="1132">
        <f>'Quarterly Model'!AQ104</f>
        <v>333</v>
      </c>
      <c r="N53" s="1132">
        <f>'Quarterly Model'!AR104</f>
        <v>346</v>
      </c>
      <c r="O53" s="1132">
        <f>'Quarterly Model'!AS104</f>
        <v>288</v>
      </c>
      <c r="P53" s="1132">
        <f>'Quarterly Model'!AT104</f>
        <v>348</v>
      </c>
      <c r="Q53" s="1157">
        <f>'Quarterly Model'!AU104</f>
        <v>1315</v>
      </c>
      <c r="R53" s="1132">
        <f>'Quarterly Model'!AV104</f>
        <v>353</v>
      </c>
      <c r="S53" s="1132">
        <f>'Quarterly Model'!AW104</f>
        <v>396.25335892514397</v>
      </c>
      <c r="T53" s="1132">
        <f>'Quarterly Model'!AX104</f>
        <v>377</v>
      </c>
      <c r="U53" s="1132">
        <f>'Quarterly Model'!AY104</f>
        <v>443</v>
      </c>
      <c r="V53" s="1157">
        <f>'Quarterly Model'!AZ104</f>
        <v>1576.2533589251439</v>
      </c>
      <c r="W53" s="1132">
        <f>'Quarterly Model'!BA104</f>
        <v>452</v>
      </c>
      <c r="X53" s="1132">
        <f>'Quarterly Model'!BB104</f>
        <v>436</v>
      </c>
      <c r="Y53" s="1132">
        <f>'Quarterly Model'!BC104</f>
        <v>425</v>
      </c>
      <c r="Z53" s="1132">
        <f>'Quarterly Model'!BD104</f>
        <v>512</v>
      </c>
      <c r="AA53" s="1157">
        <f>'Quarterly Model'!BE104</f>
        <v>1825</v>
      </c>
      <c r="AB53" s="1132">
        <f>'Quarterly Model'!BF104</f>
        <v>534</v>
      </c>
      <c r="AC53" s="1132">
        <f>'Quarterly Model'!BG104</f>
        <v>554</v>
      </c>
      <c r="AD53" s="1132">
        <f>'Quarterly Model'!BH104</f>
        <v>560</v>
      </c>
      <c r="AE53" s="1132">
        <f>'Quarterly Model'!BI104</f>
        <v>670</v>
      </c>
      <c r="AF53" s="1157">
        <f>'Quarterly Model'!BJ104</f>
        <v>2318</v>
      </c>
      <c r="AG53" s="1132">
        <f>'Quarterly Model'!BK104</f>
        <v>692</v>
      </c>
      <c r="AH53" s="1132">
        <f>'Quarterly Model'!BL104</f>
        <v>686.0301502305756</v>
      </c>
      <c r="AI53" s="1132">
        <f>'Quarterly Model'!BM104</f>
        <v>646.8784979459856</v>
      </c>
      <c r="AJ53" s="1132">
        <f>'Quarterly Model'!BN104</f>
        <v>810.91304177306029</v>
      </c>
      <c r="AK53" s="1157">
        <f>'Quarterly Model'!BO104</f>
        <v>2835.8216899496215</v>
      </c>
      <c r="AL53" s="1132">
        <f>'Quarterly Model'!BP104</f>
        <v>744.19920791302366</v>
      </c>
      <c r="AM53" s="1132">
        <f>'Quarterly Model'!BQ104</f>
        <v>781.16320239497998</v>
      </c>
      <c r="AN53" s="1132">
        <f>'Quarterly Model'!BR104</f>
        <v>782.95753625159637</v>
      </c>
      <c r="AO53" s="1132">
        <f>'Quarterly Model'!BS104</f>
        <v>980.51602254754653</v>
      </c>
      <c r="AP53" s="1157">
        <f>'Quarterly Model'!BT104</f>
        <v>3288.8359691071482</v>
      </c>
      <c r="AQ53" s="1132">
        <f>'Quarterly Model'!BU104</f>
        <v>889.64315514010991</v>
      </c>
      <c r="AR53" s="1132">
        <f>'Quarterly Model'!BV104</f>
        <v>941.93325188812992</v>
      </c>
      <c r="AS53" s="1132">
        <f>'Quarterly Model'!BW104</f>
        <v>923.38830530423252</v>
      </c>
      <c r="AT53" s="1132">
        <f>'Quarterly Model'!BX104</f>
        <v>1166.0082396420607</v>
      </c>
      <c r="AU53" s="1157">
        <f>'Quarterly Model'!BY104</f>
        <v>3920.9729519745333</v>
      </c>
      <c r="AV53" s="1132">
        <f>'Quarterly Model'!BZ104</f>
        <v>1066.3428557979694</v>
      </c>
      <c r="AW53" s="1132">
        <f>'Quarterly Model'!CA104</f>
        <v>1132.8932532689751</v>
      </c>
      <c r="AX53" s="1132">
        <f>'Quarterly Model'!CB104</f>
        <v>1135.9640395893396</v>
      </c>
      <c r="AY53" s="1132">
        <f>'Quarterly Model'!CC104</f>
        <v>1433.462136555394</v>
      </c>
      <c r="AZ53" s="1157">
        <f>'Quarterly Model'!CD104</f>
        <v>4768.6622852116807</v>
      </c>
    </row>
    <row r="54" spans="2:52" ht="13.5" thickBot="1">
      <c r="B54" s="265" t="str">
        <f>'Quarterly Model'!B105</f>
        <v>Adjusted EPS (PayPal Method)</v>
      </c>
      <c r="C54" s="209">
        <f>'Quarterly Model'!AG105</f>
        <v>0</v>
      </c>
      <c r="D54" s="209">
        <f>'Quarterly Model'!AH105</f>
        <v>0</v>
      </c>
      <c r="E54" s="209">
        <f>'Quarterly Model'!AI105</f>
        <v>0</v>
      </c>
      <c r="F54" s="209">
        <f>'Quarterly Model'!AJ105</f>
        <v>0</v>
      </c>
      <c r="G54" s="268" t="str">
        <f>'Quarterly Model'!AK105</f>
        <v>NM</v>
      </c>
      <c r="H54" s="269">
        <f>'Quarterly Model'!AL105</f>
        <v>0</v>
      </c>
      <c r="I54" s="269">
        <f>'Quarterly Model'!AM105</f>
        <v>0</v>
      </c>
      <c r="J54" s="269">
        <f>'Quarterly Model'!AN105</f>
        <v>0</v>
      </c>
      <c r="K54" s="269">
        <f>'Quarterly Model'!AO105</f>
        <v>0</v>
      </c>
      <c r="L54" s="268">
        <f>'Quarterly Model'!AP105</f>
        <v>0.90327494287890331</v>
      </c>
      <c r="M54" s="269">
        <f>'Quarterly Model'!AQ105</f>
        <v>0.2609717868338558</v>
      </c>
      <c r="N54" s="269">
        <f>'Quarterly Model'!AR105</f>
        <v>0.27308602999210735</v>
      </c>
      <c r="O54" s="269">
        <f>'Quarterly Model'!AS105</f>
        <v>0.23021582733812951</v>
      </c>
      <c r="P54" s="269">
        <f>'Quarterly Model'!AT105</f>
        <v>0.28041901692183724</v>
      </c>
      <c r="Q54" s="268">
        <f>'Quarterly Model'!AU105</f>
        <v>1.0596293311845286</v>
      </c>
      <c r="R54" s="269">
        <f>'Quarterly Model'!AV105</f>
        <v>0.28722538649308382</v>
      </c>
      <c r="S54" s="269">
        <f>'Quarterly Model'!AW105</f>
        <v>0.3237364043506078</v>
      </c>
      <c r="T54" s="269">
        <f>'Quarterly Model'!AX105</f>
        <v>0.30725346373268131</v>
      </c>
      <c r="U54" s="269">
        <f>'Quarterly Model'!AY105</f>
        <v>0.36016260162601627</v>
      </c>
      <c r="V54" s="268">
        <f>'Quarterly Model'!AZ105</f>
        <v>1.284116789348386</v>
      </c>
      <c r="W54" s="269">
        <f>'Quarterly Model'!BA105</f>
        <v>0.36897959183673468</v>
      </c>
      <c r="X54" s="269">
        <f>'Quarterly Model'!BB105</f>
        <v>0.35884773662551439</v>
      </c>
      <c r="Y54" s="269">
        <f>'Quarterly Model'!BC105</f>
        <v>0.35008237232289952</v>
      </c>
      <c r="Z54" s="269">
        <f>'Quarterly Model'!BD105</f>
        <v>0.42105263157894735</v>
      </c>
      <c r="AA54" s="268">
        <f>'Quarterly Model'!BE105</f>
        <v>1.4989733059548254</v>
      </c>
      <c r="AB54" s="269">
        <f>'Quarterly Model'!BF105</f>
        <v>0.43914473684210525</v>
      </c>
      <c r="AC54" s="269">
        <f>'Quarterly Model'!BG105</f>
        <v>0.45596707818930043</v>
      </c>
      <c r="AD54" s="269">
        <f>'Quarterly Model'!BH105</f>
        <v>0.45789043336058871</v>
      </c>
      <c r="AE54" s="269">
        <f>'Quarterly Model'!BI105</f>
        <v>0.5456026058631922</v>
      </c>
      <c r="AF54" s="268">
        <f>'Quarterly Model'!BJ105</f>
        <v>1.8992216304793117</v>
      </c>
      <c r="AG54" s="269">
        <f>'Quarterly Model'!BK105</f>
        <v>0.5686113393590797</v>
      </c>
      <c r="AH54" s="269">
        <f>'Quarterly Model'!BL105</f>
        <v>0.56484484358631881</v>
      </c>
      <c r="AI54" s="269">
        <f>'Quarterly Model'!BM105</f>
        <v>0.53373415967349835</v>
      </c>
      <c r="AJ54" s="269">
        <f>'Quarterly Model'!BN105</f>
        <v>0.67013238667715447</v>
      </c>
      <c r="AK54" s="268">
        <f>'Quarterly Model'!BO105</f>
        <v>2.3370817911138912</v>
      </c>
      <c r="AL54" s="269">
        <f>'Quarterly Model'!BP105</f>
        <v>0.61619901691097034</v>
      </c>
      <c r="AM54" s="269">
        <f>'Quarterly Model'!BQ105</f>
        <v>0.64796005900006559</v>
      </c>
      <c r="AN54" s="269">
        <f>'Quarterly Model'!BR105</f>
        <v>0.65052421642650482</v>
      </c>
      <c r="AO54" s="269">
        <f>'Quarterly Model'!BS105</f>
        <v>0.815586773862087</v>
      </c>
      <c r="AP54" s="268">
        <f>'Quarterly Model'!BT105</f>
        <v>2.7298344863937456</v>
      </c>
      <c r="AQ54" s="269">
        <f>'Quarterly Model'!BU105</f>
        <v>0.74175111226941148</v>
      </c>
      <c r="AR54" s="269">
        <f>'Quarterly Model'!BV105</f>
        <v>0.78705437373751608</v>
      </c>
      <c r="AS54" s="269">
        <f>'Quarterly Model'!BW105</f>
        <v>0.77316825452093652</v>
      </c>
      <c r="AT54" s="269">
        <f>'Quarterly Model'!BX105</f>
        <v>0.97777973332372359</v>
      </c>
      <c r="AU54" s="268">
        <f>'Quarterly Model'!BY105</f>
        <v>3.2791163914250228</v>
      </c>
      <c r="AV54" s="269">
        <f>'Quarterly Model'!BZ105</f>
        <v>0.89590545737426419</v>
      </c>
      <c r="AW54" s="269">
        <f>'Quarterly Model'!CA105</f>
        <v>0.9534498055262921</v>
      </c>
      <c r="AX54" s="269">
        <f>'Quarterly Model'!CB105</f>
        <v>0.95757802576335316</v>
      </c>
      <c r="AY54" s="269">
        <f>'Quarterly Model'!CC105</f>
        <v>1.2096056827521238</v>
      </c>
      <c r="AZ54" s="268">
        <f>'Quarterly Model'!CD105</f>
        <v>4.0158853943045703</v>
      </c>
    </row>
    <row r="55" spans="2:52" ht="13.5" thickTop="1">
      <c r="B55" s="138" t="str">
        <f>'Quarterly Model'!B106</f>
        <v>YoY % change</v>
      </c>
      <c r="C55" s="273">
        <f>'Quarterly Model'!AG106</f>
        <v>0</v>
      </c>
      <c r="D55" s="273">
        <f>'Quarterly Model'!AH106</f>
        <v>0</v>
      </c>
      <c r="E55" s="273">
        <f>'Quarterly Model'!AI106</f>
        <v>0</v>
      </c>
      <c r="F55" s="273">
        <f>'Quarterly Model'!AJ106</f>
        <v>0</v>
      </c>
      <c r="G55" s="1119">
        <f>'Quarterly Model'!AK106</f>
        <v>0</v>
      </c>
      <c r="H55" s="243">
        <f>'Quarterly Model'!AL106</f>
        <v>0</v>
      </c>
      <c r="I55" s="139">
        <f>'Quarterly Model'!AM106</f>
        <v>0</v>
      </c>
      <c r="J55" s="139">
        <f>'Quarterly Model'!AN106</f>
        <v>0</v>
      </c>
      <c r="K55" s="139">
        <f>'Quarterly Model'!AO106</f>
        <v>0</v>
      </c>
      <c r="L55" s="1119" t="str">
        <f>'Quarterly Model'!AP106</f>
        <v>NM</v>
      </c>
      <c r="M55" s="139" t="str">
        <f>'Quarterly Model'!AQ106</f>
        <v>NM</v>
      </c>
      <c r="N55" s="139" t="str">
        <f>'Quarterly Model'!AR106</f>
        <v>NM</v>
      </c>
      <c r="O55" s="139" t="str">
        <f>'Quarterly Model'!AS106</f>
        <v>NM</v>
      </c>
      <c r="P55" s="139" t="str">
        <f>'Quarterly Model'!AT106</f>
        <v>NM</v>
      </c>
      <c r="Q55" s="1119">
        <f>'Quarterly Model'!AU106</f>
        <v>0.17309722752553625</v>
      </c>
      <c r="R55" s="139">
        <f>'Quarterly Model'!AV106</f>
        <v>0.10059937887439929</v>
      </c>
      <c r="S55" s="139">
        <f>'Quarterly Model'!AW106</f>
        <v>0.18547405870583833</v>
      </c>
      <c r="T55" s="139">
        <f>'Quarterly Model'!AX106</f>
        <v>0.33463223308883427</v>
      </c>
      <c r="U55" s="139">
        <f>'Quarterly Model'!AY106</f>
        <v>0.28437295579852351</v>
      </c>
      <c r="V55" s="1119">
        <f>'Quarterly Model'!AZ106</f>
        <v>0.21185470386414229</v>
      </c>
      <c r="W55" s="139">
        <f>'Quarterly Model'!BA106</f>
        <v>0.28463432965254087</v>
      </c>
      <c r="X55" s="139">
        <f>'Quarterly Model'!BB106</f>
        <v>0.10845654613770561</v>
      </c>
      <c r="Y55" s="139">
        <f>'Quarterly Model'!BC106</f>
        <v>0.13939276084933083</v>
      </c>
      <c r="Z55" s="139">
        <f>'Quarterly Model'!BD106</f>
        <v>0.16906261138172729</v>
      </c>
      <c r="AA55" s="1119">
        <f>'Quarterly Model'!BE106</f>
        <v>0.16731851681143928</v>
      </c>
      <c r="AB55" s="139">
        <f>'Quarterly Model'!BF106</f>
        <v>0.19015996157428972</v>
      </c>
      <c r="AC55" s="139">
        <f>'Quarterly Model'!BG106</f>
        <v>0.27064220183486243</v>
      </c>
      <c r="AD55" s="139">
        <f>'Quarterly Model'!BH106</f>
        <v>0.30795055552883444</v>
      </c>
      <c r="AE55" s="139">
        <f>'Quarterly Model'!BI106</f>
        <v>0.29580618892508159</v>
      </c>
      <c r="AF55" s="1119">
        <f>'Quarterly Model'!BJ106</f>
        <v>0.26701497814167796</v>
      </c>
      <c r="AG55" s="139">
        <f>'Quarterly Model'!BK106</f>
        <v>0.2948153345704887</v>
      </c>
      <c r="AH55" s="139">
        <f>'Quarterly Model'!BL106</f>
        <v>0.23878426887613236</v>
      </c>
      <c r="AI55" s="139">
        <f>'Quarterly Model'!BM106</f>
        <v>0.16563728085837237</v>
      </c>
      <c r="AJ55" s="139">
        <f>'Quarterly Model'!BN106</f>
        <v>0.22824264304409803</v>
      </c>
      <c r="AK55" s="1119">
        <f>'Quarterly Model'!BO106</f>
        <v>0.23054716395793973</v>
      </c>
      <c r="AL55" s="139">
        <f>'Quarterly Model'!BP106</f>
        <v>8.369104563677876E-2</v>
      </c>
      <c r="AM55" s="139">
        <f>'Quarterly Model'!BQ106</f>
        <v>0.14714698444626095</v>
      </c>
      <c r="AN55" s="139">
        <f>'Quarterly Model'!BR106</f>
        <v>0.21881690470111659</v>
      </c>
      <c r="AO55" s="139">
        <f>'Quarterly Model'!BS106</f>
        <v>0.2170532122856601</v>
      </c>
      <c r="AP55" s="1119">
        <f>'Quarterly Model'!BT106</f>
        <v>0.16805261021380935</v>
      </c>
      <c r="AQ55" s="139">
        <f>'Quarterly Model'!BU106</f>
        <v>0.2037525083825007</v>
      </c>
      <c r="AR55" s="139">
        <f>'Quarterly Model'!BV106</f>
        <v>0.21466495165165167</v>
      </c>
      <c r="AS55" s="139">
        <f>'Quarterly Model'!BW106</f>
        <v>0.18853108769439308</v>
      </c>
      <c r="AT55" s="139">
        <f>'Quarterly Model'!BX106</f>
        <v>0.19886658864463502</v>
      </c>
      <c r="AU55" s="1119">
        <f>'Quarterly Model'!BY106</f>
        <v>0.20121436217801891</v>
      </c>
      <c r="AV55" s="139">
        <f>'Quarterly Model'!BZ106</f>
        <v>0.20782489241332236</v>
      </c>
      <c r="AW55" s="139">
        <f>'Quarterly Model'!CA106</f>
        <v>0.21141542101927158</v>
      </c>
      <c r="AX55" s="139">
        <f>'Quarterly Model'!CB106</f>
        <v>0.23851182477309418</v>
      </c>
      <c r="AY55" s="139">
        <f>'Quarterly Model'!CC106</f>
        <v>0.2370942468201549</v>
      </c>
      <c r="AZ55" s="1119">
        <f>'Quarterly Model'!CD106</f>
        <v>0.2246852245947164</v>
      </c>
    </row>
    <row r="56" spans="2:52" ht="5.25" customHeight="1">
      <c r="B56" s="276"/>
      <c r="C56" s="273"/>
      <c r="D56" s="273"/>
      <c r="E56" s="273"/>
      <c r="F56" s="273"/>
      <c r="G56" s="1119"/>
      <c r="H56" s="243"/>
      <c r="I56" s="139"/>
      <c r="J56" s="139"/>
      <c r="K56" s="139"/>
      <c r="L56" s="1119"/>
      <c r="M56" s="139"/>
      <c r="N56" s="139"/>
      <c r="O56" s="139"/>
      <c r="P56" s="139"/>
      <c r="Q56" s="1119"/>
      <c r="R56" s="139"/>
      <c r="S56" s="139"/>
      <c r="T56" s="139"/>
      <c r="U56" s="139"/>
      <c r="V56" s="1119"/>
      <c r="W56" s="139"/>
      <c r="X56" s="139"/>
      <c r="Y56" s="139"/>
      <c r="Z56" s="139"/>
      <c r="AA56" s="1119"/>
      <c r="AB56" s="139"/>
      <c r="AC56" s="139"/>
      <c r="AD56" s="139"/>
      <c r="AE56" s="139"/>
      <c r="AF56" s="1119"/>
      <c r="AG56" s="139"/>
      <c r="AH56" s="139"/>
      <c r="AI56" s="139"/>
      <c r="AJ56" s="139"/>
      <c r="AK56" s="1119"/>
      <c r="AL56" s="139"/>
      <c r="AM56" s="139"/>
      <c r="AN56" s="139"/>
      <c r="AO56" s="139"/>
      <c r="AP56" s="1119"/>
      <c r="AQ56" s="139"/>
      <c r="AR56" s="139"/>
      <c r="AS56" s="139"/>
      <c r="AT56" s="139"/>
      <c r="AU56" s="1119"/>
      <c r="AV56" s="139"/>
      <c r="AW56" s="139"/>
      <c r="AX56" s="139"/>
      <c r="AY56" s="139"/>
      <c r="AZ56" s="1119"/>
    </row>
    <row r="57" spans="2:52">
      <c r="B57" s="1125" t="str">
        <f>'Quarterly Model'!B80</f>
        <v>Stock-based compensation expense</v>
      </c>
      <c r="C57" s="1158">
        <f>'Quarterly Model'!AG80</f>
        <v>0</v>
      </c>
      <c r="D57" s="1158">
        <f>'Quarterly Model'!AH80</f>
        <v>0</v>
      </c>
      <c r="E57" s="1158">
        <f>'Quarterly Model'!AI80</f>
        <v>0</v>
      </c>
      <c r="F57" s="1158">
        <f>'Quarterly Model'!AJ80</f>
        <v>0</v>
      </c>
      <c r="G57" s="1127">
        <f>'Quarterly Model'!AK80</f>
        <v>210</v>
      </c>
      <c r="H57" s="1128">
        <f>'Quarterly Model'!AL80</f>
        <v>0</v>
      </c>
      <c r="I57" s="1128">
        <f>'Quarterly Model'!AM80</f>
        <v>0</v>
      </c>
      <c r="J57" s="1128">
        <f>'Quarterly Model'!AN80</f>
        <v>0</v>
      </c>
      <c r="K57" s="1128">
        <f>'Quarterly Model'!AO80</f>
        <v>0</v>
      </c>
      <c r="L57" s="1127">
        <f>'Quarterly Model'!AP80</f>
        <v>269</v>
      </c>
      <c r="M57" s="1159">
        <f>'Quarterly Model'!AQ80</f>
        <v>73</v>
      </c>
      <c r="N57" s="1126">
        <f>'Quarterly Model'!AR80</f>
        <v>79</v>
      </c>
      <c r="O57" s="1126">
        <f>'Quarterly Model'!AS80</f>
        <v>76</v>
      </c>
      <c r="P57" s="1126">
        <f>'Quarterly Model'!AT80</f>
        <v>81</v>
      </c>
      <c r="Q57" s="1153">
        <f>'Quarterly Model'!AU80</f>
        <v>309</v>
      </c>
      <c r="R57" s="1140">
        <f>'Quarterly Model'!AV80</f>
        <v>82</v>
      </c>
      <c r="S57" s="1128">
        <f>'Quarterly Model'!AW80</f>
        <v>89</v>
      </c>
      <c r="T57" s="1128">
        <f>'Quarterly Model'!AX80</f>
        <v>94</v>
      </c>
      <c r="U57" s="1128">
        <f>'Quarterly Model'!AY80</f>
        <v>90</v>
      </c>
      <c r="V57" s="1127">
        <f>'Quarterly Model'!AZ80</f>
        <v>355</v>
      </c>
      <c r="W57" s="1128">
        <f>'Quarterly Model'!BA80</f>
        <v>95</v>
      </c>
      <c r="X57" s="1128">
        <f>'Quarterly Model'!BB80</f>
        <v>122</v>
      </c>
      <c r="Y57" s="1128">
        <f>'Quarterly Model'!BC80</f>
        <v>109</v>
      </c>
      <c r="Z57" s="1128">
        <f>'Quarterly Model'!BD80</f>
        <v>127</v>
      </c>
      <c r="AA57" s="1127">
        <f>'Quarterly Model'!BE80</f>
        <v>453</v>
      </c>
      <c r="AB57" s="1128">
        <f>'Quarterly Model'!BF80</f>
        <v>147</v>
      </c>
      <c r="AC57" s="1128">
        <f>'Quarterly Model'!BG80</f>
        <v>192</v>
      </c>
      <c r="AD57" s="1128">
        <f>'Quarterly Model'!BH80</f>
        <v>197</v>
      </c>
      <c r="AE57" s="1128">
        <f>'Quarterly Model'!BI80</f>
        <v>223</v>
      </c>
      <c r="AF57" s="1127">
        <f>'Quarterly Model'!BJ80</f>
        <v>759</v>
      </c>
      <c r="AG57" s="1128">
        <f>'Quarterly Model'!BK80</f>
        <v>241</v>
      </c>
      <c r="AH57" s="1128">
        <f>'Quarterly Model'!BL80</f>
        <v>249.88400174481046</v>
      </c>
      <c r="AI57" s="1128">
        <f>'Quarterly Model'!BM80</f>
        <v>239.48080925671104</v>
      </c>
      <c r="AJ57" s="1128">
        <f>'Quarterly Model'!BN80</f>
        <v>277.40152192097662</v>
      </c>
      <c r="AK57" s="1127">
        <f>'Quarterly Model'!BO80</f>
        <v>1007.7663329224981</v>
      </c>
      <c r="AL57" s="1128">
        <f>'Quarterly Model'!BP80</f>
        <v>244.95257303569332</v>
      </c>
      <c r="AM57" s="1128">
        <f>'Quarterly Model'!BQ80</f>
        <v>254.65861086488249</v>
      </c>
      <c r="AN57" s="1128">
        <f>'Quarterly Model'!BR80</f>
        <v>262.00517937187425</v>
      </c>
      <c r="AO57" s="1128">
        <f>'Quarterly Model'!BS80</f>
        <v>303.66928500221997</v>
      </c>
      <c r="AP57" s="1127">
        <f>'Quarterly Model'!BT80</f>
        <v>1065.2856482746702</v>
      </c>
      <c r="AQ57" s="1128">
        <f>'Quarterly Model'!BU80</f>
        <v>293.52806482153574</v>
      </c>
      <c r="AR57" s="1128">
        <f>'Quarterly Model'!BV80</f>
        <v>306.25001650402959</v>
      </c>
      <c r="AS57" s="1128">
        <f>'Quarterly Model'!BW80</f>
        <v>309.65365692339259</v>
      </c>
      <c r="AT57" s="1128">
        <f>'Quarterly Model'!BX80</f>
        <v>360.17549494535558</v>
      </c>
      <c r="AU57" s="1127">
        <f>'Quarterly Model'!BY80</f>
        <v>1269.6072331943137</v>
      </c>
      <c r="AV57" s="1128">
        <f>'Quarterly Model'!BZ80</f>
        <v>318.13794987026972</v>
      </c>
      <c r="AW57" s="1128">
        <f>'Quarterly Model'!CA80</f>
        <v>332.48787669830244</v>
      </c>
      <c r="AX57" s="1128">
        <f>'Quarterly Model'!CB80</f>
        <v>338.44835212453449</v>
      </c>
      <c r="AY57" s="1128">
        <f>'Quarterly Model'!CC80</f>
        <v>394.27349586610052</v>
      </c>
      <c r="AZ57" s="1127">
        <f>'Quarterly Model'!CD80</f>
        <v>1383.3476745592072</v>
      </c>
    </row>
    <row r="58" spans="2:52">
      <c r="B58" s="1130" t="str">
        <f>'Quarterly Model'!B114</f>
        <v>Adjusted Net Income (SBC Burdened)</v>
      </c>
      <c r="C58" s="1131">
        <f>'Quarterly Model'!AG114</f>
        <v>0</v>
      </c>
      <c r="D58" s="1131">
        <f>'Quarterly Model'!AH114</f>
        <v>0</v>
      </c>
      <c r="E58" s="1131">
        <f>'Quarterly Model'!AI114</f>
        <v>0</v>
      </c>
      <c r="F58" s="1131">
        <f>'Quarterly Model'!AJ114</f>
        <v>0</v>
      </c>
      <c r="G58" s="1157">
        <f>'Quarterly Model'!AK114</f>
        <v>0</v>
      </c>
      <c r="H58" s="1132">
        <f>'Quarterly Model'!AL114</f>
        <v>0</v>
      </c>
      <c r="I58" s="1132">
        <f>'Quarterly Model'!AM114</f>
        <v>0</v>
      </c>
      <c r="J58" s="1132">
        <f>'Quarterly Model'!AN114</f>
        <v>0</v>
      </c>
      <c r="K58" s="1132">
        <f>'Quarterly Model'!AO114</f>
        <v>0</v>
      </c>
      <c r="L58" s="1157">
        <f>'Quarterly Model'!AP114</f>
        <v>959.89510985116931</v>
      </c>
      <c r="M58" s="1132">
        <f>'Quarterly Model'!AQ114</f>
        <v>272.6799007444169</v>
      </c>
      <c r="N58" s="1132">
        <f>'Quarterly Model'!AR114</f>
        <v>280.60765550239233</v>
      </c>
      <c r="O58" s="1132">
        <f>'Quarterly Model'!AS114</f>
        <v>226.16949152542372</v>
      </c>
      <c r="P58" s="1132">
        <f>'Quarterly Model'!AT114</f>
        <v>283.2</v>
      </c>
      <c r="Q58" s="1157">
        <f>'Quarterly Model'!AU114</f>
        <v>1062.657047772233</v>
      </c>
      <c r="R58" s="1132">
        <f>'Quarterly Model'!AV114</f>
        <v>290.61637931034483</v>
      </c>
      <c r="S58" s="1132">
        <f>'Quarterly Model'!AW114</f>
        <v>326.55662188099808</v>
      </c>
      <c r="T58" s="1132">
        <f>'Quarterly Model'!AX114</f>
        <v>299.62445414847161</v>
      </c>
      <c r="U58" s="1132">
        <f>'Quarterly Model'!AY114</f>
        <v>369.02968460111316</v>
      </c>
      <c r="V58" s="1157">
        <f>'Quarterly Model'!AZ114</f>
        <v>1285.8271399409277</v>
      </c>
      <c r="W58" s="1132">
        <f>'Quarterly Model'!BA114</f>
        <v>374.21014492753625</v>
      </c>
      <c r="X58" s="1132">
        <f>'Quarterly Model'!BB114</f>
        <v>336.94599627560524</v>
      </c>
      <c r="Y58" s="1132">
        <f>'Quarterly Model'!BC114</f>
        <v>332.71912350597609</v>
      </c>
      <c r="Z58" s="1132">
        <f>'Quarterly Model'!BD114</f>
        <v>408.45859872611464</v>
      </c>
      <c r="AA58" s="1157">
        <f>'Quarterly Model'!BE114</f>
        <v>1452.3338634352322</v>
      </c>
      <c r="AB58" s="1132">
        <f>'Quarterly Model'!BF114</f>
        <v>413.23384615384617</v>
      </c>
      <c r="AC58" s="1132">
        <f>'Quarterly Model'!BG114</f>
        <v>396.6508875739645</v>
      </c>
      <c r="AD58" s="1132">
        <f>'Quarterly Model'!BH114</f>
        <v>396.32047477744806</v>
      </c>
      <c r="AE58" s="1132">
        <f>'Quarterly Model'!BI114</f>
        <v>489.55314009661834</v>
      </c>
      <c r="AF58" s="1157">
        <f>'Quarterly Model'!BJ114</f>
        <v>1695.7583486018771</v>
      </c>
      <c r="AG58" s="1132">
        <f>'Quarterly Model'!BK114</f>
        <v>494.16844602609729</v>
      </c>
      <c r="AH58" s="1132">
        <f>'Quarterly Model'!BL114</f>
        <v>481.12526879983102</v>
      </c>
      <c r="AI58" s="1132">
        <f>'Quarterly Model'!BM114</f>
        <v>450.50423435548254</v>
      </c>
      <c r="AJ58" s="1132">
        <f>'Quarterly Model'!BN114</f>
        <v>583.44379379785948</v>
      </c>
      <c r="AK58" s="1157">
        <f>'Quarterly Model'!BO114</f>
        <v>2009.2417429792706</v>
      </c>
      <c r="AL58" s="1132">
        <f>'Quarterly Model'!BP114</f>
        <v>547.01238661929051</v>
      </c>
      <c r="AM58" s="1132">
        <f>'Quarterly Model'!BQ114</f>
        <v>576.16302064874958</v>
      </c>
      <c r="AN58" s="1132">
        <f>'Quarterly Model'!BR114</f>
        <v>572.04336685723752</v>
      </c>
      <c r="AO58" s="1132">
        <f>'Quarterly Model'!BS114</f>
        <v>736.06224812075936</v>
      </c>
      <c r="AP58" s="1157">
        <f>'Quarterly Model'!BT114</f>
        <v>2431.2810222460371</v>
      </c>
      <c r="AQ58" s="1132">
        <f>'Quarterly Model'!BU114</f>
        <v>654.82070328288137</v>
      </c>
      <c r="AR58" s="1132">
        <f>'Quarterly Model'!BV114</f>
        <v>696.9332386849062</v>
      </c>
      <c r="AS58" s="1132">
        <f>'Quarterly Model'!BW114</f>
        <v>675.66537976551842</v>
      </c>
      <c r="AT58" s="1132">
        <f>'Quarterly Model'!BX114</f>
        <v>877.86784368577605</v>
      </c>
      <c r="AU58" s="1157">
        <f>'Quarterly Model'!BY114</f>
        <v>2905.2871654190822</v>
      </c>
      <c r="AV58" s="1132">
        <f>'Quarterly Model'!BZ114</f>
        <v>813.42318565110486</v>
      </c>
      <c r="AW58" s="1132">
        <f>'Quarterly Model'!CA114</f>
        <v>868.56539129382463</v>
      </c>
      <c r="AX58" s="1132">
        <f>'Quarterly Model'!CB114</f>
        <v>866.89759965033454</v>
      </c>
      <c r="AY58" s="1132">
        <f>'Quarterly Model'!CC114</f>
        <v>1120.0147073418441</v>
      </c>
      <c r="AZ58" s="1157">
        <f>'Quarterly Model'!CD114</f>
        <v>3668.9008839371081</v>
      </c>
    </row>
    <row r="59" spans="2:52" ht="13.5" thickBot="1">
      <c r="B59" s="265" t="str">
        <f>'Quarterly Model'!B115</f>
        <v>Adjusted EPS (SBC Burdened)</v>
      </c>
      <c r="C59" s="209">
        <f>'Quarterly Model'!AG115</f>
        <v>0</v>
      </c>
      <c r="D59" s="209">
        <f>'Quarterly Model'!AH115</f>
        <v>0</v>
      </c>
      <c r="E59" s="209">
        <f>'Quarterly Model'!AI115</f>
        <v>0</v>
      </c>
      <c r="F59" s="209">
        <f>'Quarterly Model'!AJ115</f>
        <v>0</v>
      </c>
      <c r="G59" s="268">
        <f>'Quarterly Model'!AK115</f>
        <v>0</v>
      </c>
      <c r="H59" s="269">
        <f>'Quarterly Model'!AL115</f>
        <v>0</v>
      </c>
      <c r="I59" s="269">
        <f>'Quarterly Model'!AM115</f>
        <v>0</v>
      </c>
      <c r="J59" s="269">
        <f>'Quarterly Model'!AN115</f>
        <v>0</v>
      </c>
      <c r="K59" s="269">
        <f>'Quarterly Model'!AO115</f>
        <v>0</v>
      </c>
      <c r="L59" s="268">
        <f>'Quarterly Model'!AP115</f>
        <v>0.73107015220957294</v>
      </c>
      <c r="M59" s="269">
        <f>'Quarterly Model'!AQ115</f>
        <v>0.2136989817746214</v>
      </c>
      <c r="N59" s="269">
        <f>'Quarterly Model'!AR115</f>
        <v>0.22147407695532148</v>
      </c>
      <c r="O59" s="269">
        <f>'Quarterly Model'!AS115</f>
        <v>0.1807909604519774</v>
      </c>
      <c r="P59" s="269">
        <f>'Quarterly Model'!AT115</f>
        <v>0.22820306204673649</v>
      </c>
      <c r="Q59" s="268">
        <f>'Quarterly Model'!AU115</f>
        <v>0.85629093293491776</v>
      </c>
      <c r="R59" s="269">
        <f>'Quarterly Model'!AV115</f>
        <v>0.23646572767318538</v>
      </c>
      <c r="S59" s="269">
        <f>'Quarterly Model'!AW115</f>
        <v>0.2667946257197697</v>
      </c>
      <c r="T59" s="269">
        <f>'Quarterly Model'!AX115</f>
        <v>0.24419270916745853</v>
      </c>
      <c r="U59" s="269">
        <f>'Quarterly Model'!AY115</f>
        <v>0.30002413382204324</v>
      </c>
      <c r="V59" s="268">
        <f>'Quarterly Model'!AZ115</f>
        <v>1.0475170182818148</v>
      </c>
      <c r="W59" s="269">
        <f>'Quarterly Model'!BA115</f>
        <v>0.30547766932860104</v>
      </c>
      <c r="X59" s="269">
        <f>'Quarterly Model'!BB115</f>
        <v>0.27732180763424302</v>
      </c>
      <c r="Y59" s="269">
        <f>'Quarterly Model'!BC115</f>
        <v>0.27406847076274798</v>
      </c>
      <c r="Z59" s="269">
        <f>'Quarterly Model'!BD115</f>
        <v>0.33590345289976531</v>
      </c>
      <c r="AA59" s="268">
        <f>'Quarterly Model'!BE115</f>
        <v>1.1928820233554269</v>
      </c>
      <c r="AB59" s="269">
        <f>'Quarterly Model'!BF115</f>
        <v>0.33983046558704455</v>
      </c>
      <c r="AC59" s="269">
        <f>'Quarterly Model'!BG115</f>
        <v>0.32646163586334526</v>
      </c>
      <c r="AD59" s="269">
        <f>'Quarterly Model'!BH115</f>
        <v>0.32405598918842848</v>
      </c>
      <c r="AE59" s="269">
        <f>'Quarterly Model'!BI115</f>
        <v>0.39865890887346772</v>
      </c>
      <c r="AF59" s="268">
        <f>'Quarterly Model'!BJ115</f>
        <v>1.3893964347413987</v>
      </c>
      <c r="AG59" s="269">
        <f>'Quarterly Model'!BK115</f>
        <v>0.40605459821372003</v>
      </c>
      <c r="AH59" s="269">
        <f>'Quarterly Model'!BL115</f>
        <v>0.39613583617181675</v>
      </c>
      <c r="AI59" s="269">
        <f>'Quarterly Model'!BM115</f>
        <v>0.37170736037226237</v>
      </c>
      <c r="AJ59" s="269">
        <f>'Quarterly Model'!BN115</f>
        <v>0.48215352558006208</v>
      </c>
      <c r="AK59" s="268">
        <f>'Quarterly Model'!BO115</f>
        <v>1.6558736073233895</v>
      </c>
      <c r="AL59" s="269">
        <f>'Quarterly Model'!BP115</f>
        <v>0.45292777967095665</v>
      </c>
      <c r="AM59" s="269">
        <f>'Quarterly Model'!BQ115</f>
        <v>0.4779162967592685</v>
      </c>
      <c r="AN59" s="269">
        <f>'Quarterly Model'!BR115</f>
        <v>0.4752851154206198</v>
      </c>
      <c r="AO59" s="269">
        <f>'Quarterly Model'!BS115</f>
        <v>0.61225173327279792</v>
      </c>
      <c r="AP59" s="268">
        <f>'Quarterly Model'!BT115</f>
        <v>2.0180376409723104</v>
      </c>
      <c r="AQ59" s="269">
        <f>'Quarterly Model'!BU115</f>
        <v>0.54596495481451823</v>
      </c>
      <c r="AR59" s="269">
        <f>'Quarterly Model'!BV115</f>
        <v>0.58233887869493528</v>
      </c>
      <c r="AS59" s="269">
        <f>'Quarterly Model'!BW115</f>
        <v>0.56574576406554478</v>
      </c>
      <c r="AT59" s="269">
        <f>'Quarterly Model'!BX115</f>
        <v>0.73615379112247847</v>
      </c>
      <c r="AU59" s="268">
        <f>'Quarterly Model'!BY115</f>
        <v>2.4296966295380682</v>
      </c>
      <c r="AV59" s="269">
        <f>'Quarterly Model'!BZ115</f>
        <v>0.68341084409877084</v>
      </c>
      <c r="AW59" s="269">
        <f>'Quarterly Model'!CA115</f>
        <v>0.7309898801377599</v>
      </c>
      <c r="AX59" s="269">
        <f>'Quarterly Model'!CB115</f>
        <v>0.73076441073984444</v>
      </c>
      <c r="AY59" s="269">
        <f>'Quarterly Model'!CC115</f>
        <v>0.94510773617095678</v>
      </c>
      <c r="AZ59" s="268">
        <f>'Quarterly Model'!CD115</f>
        <v>3.0897313736487679</v>
      </c>
    </row>
    <row r="60" spans="2:52" ht="13.5" thickTop="1">
      <c r="B60" s="138" t="str">
        <f>'Quarterly Model'!B116</f>
        <v>YoY % change</v>
      </c>
      <c r="C60" s="280">
        <f>'Quarterly Model'!AG116</f>
        <v>0</v>
      </c>
      <c r="D60" s="139">
        <f>'Quarterly Model'!AH116</f>
        <v>0</v>
      </c>
      <c r="E60" s="139">
        <f>'Quarterly Model'!AI116</f>
        <v>0</v>
      </c>
      <c r="F60" s="139">
        <f>'Quarterly Model'!AJ116</f>
        <v>0</v>
      </c>
      <c r="G60" s="1119">
        <f>'Quarterly Model'!AK116</f>
        <v>0</v>
      </c>
      <c r="H60" s="243">
        <f>'Quarterly Model'!AL116</f>
        <v>0</v>
      </c>
      <c r="I60" s="139">
        <f>'Quarterly Model'!AM116</f>
        <v>0</v>
      </c>
      <c r="J60" s="139">
        <f>'Quarterly Model'!AN116</f>
        <v>0</v>
      </c>
      <c r="K60" s="139">
        <f>'Quarterly Model'!AO116</f>
        <v>0</v>
      </c>
      <c r="L60" s="1119">
        <f>'Quarterly Model'!AP116</f>
        <v>0</v>
      </c>
      <c r="M60" s="139" t="str">
        <f>'Quarterly Model'!AQ116</f>
        <v>NM</v>
      </c>
      <c r="N60" s="139" t="str">
        <f>'Quarterly Model'!AR116</f>
        <v>NM</v>
      </c>
      <c r="O60" s="139" t="str">
        <f>'Quarterly Model'!AS116</f>
        <v>NM</v>
      </c>
      <c r="P60" s="139" t="str">
        <f>'Quarterly Model'!AT116</f>
        <v>NM</v>
      </c>
      <c r="Q60" s="1119">
        <f>'Quarterly Model'!AU116</f>
        <v>0.17128421991635112</v>
      </c>
      <c r="R60" s="139">
        <f>'Quarterly Model'!AV116</f>
        <v>0.10653652024685378</v>
      </c>
      <c r="S60" s="139">
        <f>'Quarterly Model'!AW116</f>
        <v>0.20463139247484419</v>
      </c>
      <c r="T60" s="139">
        <f>'Quarterly Model'!AX116</f>
        <v>0.350690922582505</v>
      </c>
      <c r="U60" s="139">
        <f>'Quarterly Model'!AY116</f>
        <v>0.31472439997583224</v>
      </c>
      <c r="V60" s="1119">
        <f>'Quarterly Model'!AZ116</f>
        <v>0.22331905896921489</v>
      </c>
      <c r="W60" s="139">
        <f>'Quarterly Model'!BA116</f>
        <v>0.29184754312809202</v>
      </c>
      <c r="X60" s="139">
        <f>'Quarterly Model'!BB116</f>
        <v>3.9457998398853222E-2</v>
      </c>
      <c r="Y60" s="139">
        <f>'Quarterly Model'!BC116</f>
        <v>0.12234501880562587</v>
      </c>
      <c r="Z60" s="139">
        <f>'Quarterly Model'!BD116</f>
        <v>0.1195881098652003</v>
      </c>
      <c r="AA60" s="1119">
        <f>'Quarterly Model'!BE116</f>
        <v>0.13877101998022567</v>
      </c>
      <c r="AB60" s="139">
        <f>'Quarterly Model'!BF116</f>
        <v>0.11245599828604935</v>
      </c>
      <c r="AC60" s="139">
        <f>'Quarterly Model'!BG116</f>
        <v>0.17719424465137013</v>
      </c>
      <c r="AD60" s="139">
        <f>'Quarterly Model'!BH116</f>
        <v>0.1823906204408059</v>
      </c>
      <c r="AE60" s="139">
        <f>'Quarterly Model'!BI116</f>
        <v>0.18682587342270884</v>
      </c>
      <c r="AF60" s="1119">
        <f>'Quarterly Model'!BJ116</f>
        <v>0.16473918420968525</v>
      </c>
      <c r="AG60" s="139">
        <f>'Quarterly Model'!BK116</f>
        <v>0.19487403082674115</v>
      </c>
      <c r="AH60" s="139">
        <f>'Quarterly Model'!BL116</f>
        <v>0.21342232181191623</v>
      </c>
      <c r="AI60" s="139">
        <f>'Quarterly Model'!BM116</f>
        <v>0.14704672270731001</v>
      </c>
      <c r="AJ60" s="139">
        <f>'Quarterly Model'!BN116</f>
        <v>0.20943873283186831</v>
      </c>
      <c r="AK60" s="1119">
        <f>'Quarterly Model'!BO116</f>
        <v>0.19179347659085422</v>
      </c>
      <c r="AL60" s="139">
        <f>'Quarterly Model'!BP116</f>
        <v>0.11543566225684199</v>
      </c>
      <c r="AM60" s="139">
        <f>'Quarterly Model'!BQ116</f>
        <v>0.20644549954824321</v>
      </c>
      <c r="AN60" s="139">
        <f>'Quarterly Model'!BR116</f>
        <v>0.27865403295922087</v>
      </c>
      <c r="AO60" s="139">
        <f>'Quarterly Model'!BS116</f>
        <v>0.26982734915444051</v>
      </c>
      <c r="AP60" s="1119">
        <f>'Quarterly Model'!BT116</f>
        <v>0.21871478115671827</v>
      </c>
      <c r="AQ60" s="139">
        <f>'Quarterly Model'!BU116</f>
        <v>0.20541282588396603</v>
      </c>
      <c r="AR60" s="139">
        <f>'Quarterly Model'!BV116</f>
        <v>0.21849554544122518</v>
      </c>
      <c r="AS60" s="139">
        <f>'Quarterly Model'!BW116</f>
        <v>0.19032922704694588</v>
      </c>
      <c r="AT60" s="139">
        <f>'Quarterly Model'!BX116</f>
        <v>0.20237110181356432</v>
      </c>
      <c r="AU60" s="1119">
        <f>'Quarterly Model'!BY116</f>
        <v>0.20398974737032982</v>
      </c>
      <c r="AV60" s="139">
        <f>'Quarterly Model'!BZ116</f>
        <v>0.25174855651851757</v>
      </c>
      <c r="AW60" s="139">
        <f>'Quarterly Model'!CA116</f>
        <v>0.25526545947947454</v>
      </c>
      <c r="AX60" s="139">
        <f>'Quarterly Model'!CB116</f>
        <v>0.29168339765983875</v>
      </c>
      <c r="AY60" s="139">
        <f>'Quarterly Model'!CC116</f>
        <v>0.28384550561081512</v>
      </c>
      <c r="AZ60" s="1119">
        <f>'Quarterly Model'!CD116</f>
        <v>0.27165315047425698</v>
      </c>
    </row>
    <row r="61" spans="2:52" ht="5.25" customHeight="1">
      <c r="B61" s="236"/>
      <c r="C61" s="280"/>
      <c r="D61" s="139"/>
      <c r="E61" s="139"/>
      <c r="F61" s="139"/>
      <c r="G61" s="1119"/>
      <c r="H61" s="243"/>
      <c r="I61" s="139"/>
      <c r="J61" s="139"/>
      <c r="K61" s="139"/>
      <c r="L61" s="1119"/>
      <c r="M61" s="139"/>
      <c r="N61" s="139"/>
      <c r="O61" s="139"/>
      <c r="P61" s="139"/>
      <c r="Q61" s="1119"/>
      <c r="R61" s="139"/>
      <c r="S61" s="139"/>
      <c r="T61" s="139"/>
      <c r="U61" s="139"/>
      <c r="V61" s="1119"/>
      <c r="W61" s="139"/>
      <c r="X61" s="139"/>
      <c r="Y61" s="139"/>
      <c r="Z61" s="139"/>
      <c r="AA61" s="1119"/>
      <c r="AB61" s="139"/>
      <c r="AC61" s="139"/>
      <c r="AD61" s="139"/>
      <c r="AE61" s="139"/>
      <c r="AF61" s="1119"/>
      <c r="AG61" s="139"/>
      <c r="AH61" s="139"/>
      <c r="AI61" s="139"/>
      <c r="AJ61" s="139"/>
      <c r="AK61" s="1119"/>
      <c r="AL61" s="139"/>
      <c r="AM61" s="139"/>
      <c r="AN61" s="139"/>
      <c r="AO61" s="139"/>
      <c r="AP61" s="1119"/>
      <c r="AQ61" s="139"/>
      <c r="AR61" s="139"/>
      <c r="AS61" s="139"/>
      <c r="AT61" s="139"/>
      <c r="AU61" s="1119"/>
      <c r="AV61" s="139"/>
      <c r="AW61" s="139"/>
      <c r="AX61" s="139"/>
      <c r="AY61" s="139"/>
      <c r="AZ61" s="1119"/>
    </row>
    <row r="62" spans="2:52">
      <c r="B62" s="1125" t="str">
        <f>'Quarterly Model'!B123</f>
        <v>Amortization of acquired intangibles</v>
      </c>
      <c r="C62" s="1158">
        <f>'Quarterly Model'!AG123</f>
        <v>0</v>
      </c>
      <c r="D62" s="1158">
        <f>'Quarterly Model'!AH123</f>
        <v>0</v>
      </c>
      <c r="E62" s="1158">
        <f>'Quarterly Model'!AI123</f>
        <v>0</v>
      </c>
      <c r="F62" s="1158">
        <f>'Quarterly Model'!AJ123</f>
        <v>0</v>
      </c>
      <c r="G62" s="1160">
        <f>'Quarterly Model'!AK123</f>
        <v>0</v>
      </c>
      <c r="H62" s="1158">
        <f>'Quarterly Model'!AL123</f>
        <v>0</v>
      </c>
      <c r="I62" s="1158">
        <f>'Quarterly Model'!AM123</f>
        <v>0</v>
      </c>
      <c r="J62" s="1158">
        <f>'Quarterly Model'!AN123</f>
        <v>0</v>
      </c>
      <c r="K62" s="1158">
        <f>'Quarterly Model'!AO123</f>
        <v>0</v>
      </c>
      <c r="L62" s="1160">
        <f>'Quarterly Model'!AP123</f>
        <v>0</v>
      </c>
      <c r="M62" s="1140">
        <f>'Quarterly Model'!AQ123</f>
        <v>21</v>
      </c>
      <c r="N62" s="1128">
        <f>'Quarterly Model'!AR123</f>
        <v>16</v>
      </c>
      <c r="O62" s="1128">
        <f>'Quarterly Model'!AS123</f>
        <v>16</v>
      </c>
      <c r="P62" s="1128">
        <f>'Quarterly Model'!AT123</f>
        <v>17</v>
      </c>
      <c r="Q62" s="1153">
        <f>'Quarterly Model'!AU123</f>
        <v>70</v>
      </c>
      <c r="R62" s="1140">
        <f>'Quarterly Model'!AV123</f>
        <v>16</v>
      </c>
      <c r="S62" s="1128">
        <f>'Quarterly Model'!AW123</f>
        <v>20</v>
      </c>
      <c r="T62" s="1128">
        <f>'Quarterly Model'!AX123</f>
        <v>20</v>
      </c>
      <c r="U62" s="1128">
        <f>'Quarterly Model'!AY123</f>
        <v>29</v>
      </c>
      <c r="V62" s="1127">
        <f>'Quarterly Model'!AZ123</f>
        <v>85</v>
      </c>
      <c r="W62" s="1128">
        <f>'Quarterly Model'!BA123</f>
        <v>34</v>
      </c>
      <c r="X62" s="1128">
        <f>'Quarterly Model'!BB123</f>
        <v>35</v>
      </c>
      <c r="Y62" s="1128">
        <f>'Quarterly Model'!BC123</f>
        <v>32</v>
      </c>
      <c r="Z62" s="1128">
        <f>'Quarterly Model'!BD123</f>
        <v>32</v>
      </c>
      <c r="AA62" s="1127">
        <f>'Quarterly Model'!BE123</f>
        <v>133</v>
      </c>
      <c r="AB62" s="1128">
        <f>'Quarterly Model'!BF123</f>
        <v>23</v>
      </c>
      <c r="AC62" s="1128">
        <f>'Quarterly Model'!BG123</f>
        <v>22</v>
      </c>
      <c r="AD62" s="1128">
        <f>'Quarterly Model'!BH123</f>
        <v>26</v>
      </c>
      <c r="AE62" s="1128">
        <f>'Quarterly Model'!BI123</f>
        <v>58</v>
      </c>
      <c r="AF62" s="1127">
        <f>'Quarterly Model'!BJ123</f>
        <v>129</v>
      </c>
      <c r="AG62" s="1128">
        <f>'Quarterly Model'!BK123</f>
        <v>29</v>
      </c>
      <c r="AH62" s="1128">
        <f>'Quarterly Model'!BL123</f>
        <v>15</v>
      </c>
      <c r="AI62" s="1128">
        <f>'Quarterly Model'!BM123</f>
        <v>15</v>
      </c>
      <c r="AJ62" s="1128">
        <f>'Quarterly Model'!BN123</f>
        <v>15</v>
      </c>
      <c r="AK62" s="1127">
        <f>'Quarterly Model'!BO123</f>
        <v>74</v>
      </c>
      <c r="AL62" s="1128">
        <f>'Quarterly Model'!BP123</f>
        <v>15</v>
      </c>
      <c r="AM62" s="1128">
        <f>'Quarterly Model'!BQ123</f>
        <v>15</v>
      </c>
      <c r="AN62" s="1128">
        <f>'Quarterly Model'!BR123</f>
        <v>15</v>
      </c>
      <c r="AO62" s="1128">
        <f>'Quarterly Model'!BS123</f>
        <v>15</v>
      </c>
      <c r="AP62" s="1127">
        <f>'Quarterly Model'!BT123</f>
        <v>60</v>
      </c>
      <c r="AQ62" s="1128">
        <f>'Quarterly Model'!BU123</f>
        <v>15</v>
      </c>
      <c r="AR62" s="1128">
        <f>'Quarterly Model'!BV123</f>
        <v>15</v>
      </c>
      <c r="AS62" s="1128">
        <f>'Quarterly Model'!BW123</f>
        <v>15</v>
      </c>
      <c r="AT62" s="1128">
        <f>'Quarterly Model'!BX123</f>
        <v>15</v>
      </c>
      <c r="AU62" s="1127">
        <f>'Quarterly Model'!BY123</f>
        <v>60</v>
      </c>
      <c r="AV62" s="1128">
        <f>'Quarterly Model'!BZ123</f>
        <v>15</v>
      </c>
      <c r="AW62" s="1128">
        <f>'Quarterly Model'!CA123</f>
        <v>15</v>
      </c>
      <c r="AX62" s="1128">
        <f>'Quarterly Model'!CB123</f>
        <v>15</v>
      </c>
      <c r="AY62" s="1128">
        <f>'Quarterly Model'!CC123</f>
        <v>15</v>
      </c>
      <c r="AZ62" s="1127">
        <f>'Quarterly Model'!CD123</f>
        <v>60</v>
      </c>
    </row>
    <row r="63" spans="2:52">
      <c r="B63" s="1161" t="str">
        <f>'Quarterly Model'!B137</f>
        <v>Net Income (GAAP)</v>
      </c>
      <c r="C63" s="1162">
        <f>'Quarterly Model'!AG137</f>
        <v>0</v>
      </c>
      <c r="D63" s="1162">
        <f>'Quarterly Model'!AH137</f>
        <v>0</v>
      </c>
      <c r="E63" s="1162">
        <f>'Quarterly Model'!AI137</f>
        <v>0</v>
      </c>
      <c r="F63" s="1162">
        <f>'Quarterly Model'!AJ137</f>
        <v>0</v>
      </c>
      <c r="G63" s="1163">
        <f>'Quarterly Model'!AK137</f>
        <v>27</v>
      </c>
      <c r="H63" s="1164">
        <f>'Quarterly Model'!AL137</f>
        <v>0</v>
      </c>
      <c r="I63" s="1164">
        <f>'Quarterly Model'!AM137</f>
        <v>0</v>
      </c>
      <c r="J63" s="1164">
        <f>'Quarterly Model'!AN137</f>
        <v>0</v>
      </c>
      <c r="K63" s="1164">
        <f>'Quarterly Model'!AO137</f>
        <v>0</v>
      </c>
      <c r="L63" s="1163">
        <f>'Quarterly Model'!AP137</f>
        <v>1180</v>
      </c>
      <c r="M63" s="1164">
        <f>'Quarterly Model'!AQ137</f>
        <v>-382</v>
      </c>
      <c r="N63" s="1164">
        <f>'Quarterly Model'!AR137</f>
        <v>281</v>
      </c>
      <c r="O63" s="1164">
        <f>'Quarterly Model'!AS137</f>
        <v>234</v>
      </c>
      <c r="P63" s="1164">
        <f>'Quarterly Model'!AT137</f>
        <v>286</v>
      </c>
      <c r="Q63" s="1163">
        <f>'Quarterly Model'!AU137</f>
        <v>419</v>
      </c>
      <c r="R63" s="1164">
        <f>'Quarterly Model'!AV137</f>
        <v>255</v>
      </c>
      <c r="S63" s="1164">
        <f>'Quarterly Model'!AW137</f>
        <v>307</v>
      </c>
      <c r="T63" s="1164">
        <f>'Quarterly Model'!AX137</f>
        <v>301</v>
      </c>
      <c r="U63" s="1164">
        <f>'Quarterly Model'!AY137</f>
        <v>361</v>
      </c>
      <c r="V63" s="1163">
        <f>'Quarterly Model'!AZ137</f>
        <v>1213</v>
      </c>
      <c r="W63" s="1164">
        <f>'Quarterly Model'!BA137</f>
        <v>366</v>
      </c>
      <c r="X63" s="1164">
        <f>'Quarterly Model'!BB137</f>
        <v>323</v>
      </c>
      <c r="Y63" s="1164">
        <f>'Quarterly Model'!BC137</f>
        <v>323</v>
      </c>
      <c r="Z63" s="1164">
        <f>'Quarterly Model'!BD137</f>
        <v>390</v>
      </c>
      <c r="AA63" s="1163">
        <f>'Quarterly Model'!BE137</f>
        <v>1402</v>
      </c>
      <c r="AB63" s="1164">
        <f>'Quarterly Model'!BF137</f>
        <v>384</v>
      </c>
      <c r="AC63" s="1164">
        <f>'Quarterly Model'!BG137</f>
        <v>411</v>
      </c>
      <c r="AD63" s="1164">
        <f>'Quarterly Model'!BH137</f>
        <v>380</v>
      </c>
      <c r="AE63" s="1164">
        <f>'Quarterly Model'!BI137</f>
        <v>620</v>
      </c>
      <c r="AF63" s="1163">
        <f>'Quarterly Model'!BJ137</f>
        <v>1795</v>
      </c>
      <c r="AG63" s="1164">
        <f>'Quarterly Model'!BK137</f>
        <v>511</v>
      </c>
      <c r="AH63" s="1164">
        <f>'Quarterly Model'!BL137</f>
        <v>451.67312481934943</v>
      </c>
      <c r="AI63" s="1164">
        <f>'Quarterly Model'!BM137</f>
        <v>422.17237212296487</v>
      </c>
      <c r="AJ63" s="1164">
        <f>'Quarterly Model'!BN137</f>
        <v>550.24828914671821</v>
      </c>
      <c r="AK63" s="1163">
        <f>'Quarterly Model'!BO137</f>
        <v>1935.0937860890328</v>
      </c>
      <c r="AL63" s="1164">
        <f>'Quarterly Model'!BP137</f>
        <v>524.96960922886899</v>
      </c>
      <c r="AM63" s="1164">
        <f>'Quarterly Model'!BQ137</f>
        <v>553.57706374225108</v>
      </c>
      <c r="AN63" s="1164">
        <f>'Quarterly Model'!BR137</f>
        <v>549.53417368598468</v>
      </c>
      <c r="AO63" s="1164">
        <f>'Quarterly Model'!BS137</f>
        <v>710.49680250360234</v>
      </c>
      <c r="AP63" s="1163">
        <f>'Quarterly Model'!BT137</f>
        <v>2338.5776491607076</v>
      </c>
      <c r="AQ63" s="1164">
        <f>'Quarterly Model'!BU137</f>
        <v>634.7854444918454</v>
      </c>
      <c r="AR63" s="1164">
        <f>'Quarterly Model'!BV137</f>
        <v>676.37157320134497</v>
      </c>
      <c r="AS63" s="1164">
        <f>'Quarterly Model'!BW137</f>
        <v>655.36956251844947</v>
      </c>
      <c r="AT63" s="1164">
        <f>'Quarterly Model'!BX137</f>
        <v>855.04449563970388</v>
      </c>
      <c r="AU63" s="1163">
        <f>'Quarterly Model'!BY137</f>
        <v>2821.5710758513437</v>
      </c>
      <c r="AV63" s="1164">
        <f>'Quarterly Model'!BZ137</f>
        <v>796.45731655895952</v>
      </c>
      <c r="AW63" s="1164">
        <f>'Quarterly Model'!CA137</f>
        <v>851.25271587688235</v>
      </c>
      <c r="AX63" s="1164">
        <f>'Quarterly Model'!CB137</f>
        <v>849.59541348901166</v>
      </c>
      <c r="AY63" s="1164">
        <f>'Quarterly Model'!CC137</f>
        <v>1101.1205896856061</v>
      </c>
      <c r="AZ63" s="1163">
        <f>'Quarterly Model'!CD137</f>
        <v>3598.4260356104596</v>
      </c>
    </row>
    <row r="64" spans="2:52" ht="13.5" thickBot="1">
      <c r="B64" s="305" t="str">
        <f>'Quarterly Model'!B138</f>
        <v>Diluted EPS (GAAP)</v>
      </c>
      <c r="C64" s="306">
        <f>'Quarterly Model'!AG138</f>
        <v>0</v>
      </c>
      <c r="D64" s="306">
        <f>'Quarterly Model'!AH138</f>
        <v>0</v>
      </c>
      <c r="E64" s="306">
        <f>'Quarterly Model'!AI138</f>
        <v>0</v>
      </c>
      <c r="F64" s="306">
        <f>'Quarterly Model'!AJ138</f>
        <v>0</v>
      </c>
      <c r="G64" s="1165" t="str">
        <f>'Quarterly Model'!AK138</f>
        <v>NM</v>
      </c>
      <c r="H64" s="307">
        <f>'Quarterly Model'!AL138</f>
        <v>0</v>
      </c>
      <c r="I64" s="307">
        <f>'Quarterly Model'!AM138</f>
        <v>0</v>
      </c>
      <c r="J64" s="307">
        <f>'Quarterly Model'!AN138</f>
        <v>0</v>
      </c>
      <c r="K64" s="307">
        <f>'Quarterly Model'!AO138</f>
        <v>0</v>
      </c>
      <c r="L64" s="1165">
        <f>'Quarterly Model'!AP138</f>
        <v>0.89870525514089872</v>
      </c>
      <c r="M64" s="307">
        <f>'Quarterly Model'!AQ138</f>
        <v>-0.29937304075235111</v>
      </c>
      <c r="N64" s="307">
        <f>'Quarterly Model'!AR138</f>
        <v>0.22178374112075769</v>
      </c>
      <c r="O64" s="307">
        <f>'Quarterly Model'!AS138</f>
        <v>0.18705035971223022</v>
      </c>
      <c r="P64" s="307">
        <f>'Quarterly Model'!AT138</f>
        <v>0.23045930701047543</v>
      </c>
      <c r="Q64" s="1165">
        <f>'Quarterly Model'!AU138</f>
        <v>0.33763094278807415</v>
      </c>
      <c r="R64" s="307">
        <f>'Quarterly Model'!AV138</f>
        <v>0.20748576078112285</v>
      </c>
      <c r="S64" s="307">
        <f>'Quarterly Model'!AW138</f>
        <v>0.25081699346405228</v>
      </c>
      <c r="T64" s="307">
        <f>'Quarterly Model'!AX138</f>
        <v>0.24531377343113284</v>
      </c>
      <c r="U64" s="307">
        <f>'Quarterly Model'!AY138</f>
        <v>0.29349593495934961</v>
      </c>
      <c r="V64" s="1165">
        <f>'Quarterly Model'!AZ138</f>
        <v>0.98818737270875767</v>
      </c>
      <c r="W64" s="307">
        <f>'Quarterly Model'!BA138</f>
        <v>0.29877551020408161</v>
      </c>
      <c r="X64" s="307">
        <f>'Quarterly Model'!BB138</f>
        <v>0.26584362139917694</v>
      </c>
      <c r="Y64" s="307">
        <f>'Quarterly Model'!BC138</f>
        <v>0.26606260296540363</v>
      </c>
      <c r="Z64" s="307">
        <f>'Quarterly Model'!BD138</f>
        <v>0.32072368421052633</v>
      </c>
      <c r="AA64" s="1165">
        <f>'Quarterly Model'!BE138</f>
        <v>1.1515400410677619</v>
      </c>
      <c r="AB64" s="307">
        <f>'Quarterly Model'!BF138</f>
        <v>0.31578947368421051</v>
      </c>
      <c r="AC64" s="307">
        <f>'Quarterly Model'!BG138</f>
        <v>0.33827160493827163</v>
      </c>
      <c r="AD64" s="307">
        <f>'Quarterly Model'!BH138</f>
        <v>0.3107113654946852</v>
      </c>
      <c r="AE64" s="307">
        <f>'Quarterly Model'!BI138</f>
        <v>0.50488599348534202</v>
      </c>
      <c r="AF64" s="1165">
        <f>'Quarterly Model'!BJ138</f>
        <v>1.4707087259319951</v>
      </c>
      <c r="AG64" s="307">
        <f>'Quarterly Model'!BK138</f>
        <v>0.41988496302382911</v>
      </c>
      <c r="AH64" s="307">
        <f>'Quarterly Model'!BL138</f>
        <v>0.37188633102347085</v>
      </c>
      <c r="AI64" s="307">
        <f>'Quarterly Model'!BM138</f>
        <v>0.34833097249003475</v>
      </c>
      <c r="AJ64" s="307">
        <f>'Quarterly Model'!BN138</f>
        <v>0.45472101233526041</v>
      </c>
      <c r="AK64" s="1165">
        <f>'Quarterly Model'!BO138</f>
        <v>1.5947661545838094</v>
      </c>
      <c r="AL64" s="307">
        <f>'Quarterly Model'!BP138</f>
        <v>0.4346762985976893</v>
      </c>
      <c r="AM64" s="307">
        <f>'Quarterly Model'!BQ138</f>
        <v>0.45918167392393955</v>
      </c>
      <c r="AN64" s="307">
        <f>'Quarterly Model'!BR138</f>
        <v>0.45658323878983309</v>
      </c>
      <c r="AO64" s="307">
        <f>'Quarterly Model'!BS138</f>
        <v>0.59098656387855408</v>
      </c>
      <c r="AP64" s="1165">
        <f>'Quarterly Model'!BT138</f>
        <v>1.9410910047671426</v>
      </c>
      <c r="AQ64" s="307">
        <f>'Quarterly Model'!BU138</f>
        <v>0.52926030710606042</v>
      </c>
      <c r="AR64" s="307">
        <f>'Quarterly Model'!BV138</f>
        <v>0.56515809787238225</v>
      </c>
      <c r="AS64" s="307">
        <f>'Quarterly Model'!BW138</f>
        <v>0.54875174161057982</v>
      </c>
      <c r="AT64" s="307">
        <f>'Quarterly Model'!BX138</f>
        <v>0.71701481216218099</v>
      </c>
      <c r="AU64" s="1165">
        <f>'Quarterly Model'!BY138</f>
        <v>2.3596847205323366</v>
      </c>
      <c r="AV64" s="307">
        <f>'Quarterly Model'!BZ138</f>
        <v>0.66915669063761596</v>
      </c>
      <c r="AW64" s="307">
        <f>'Quarterly Model'!CA138</f>
        <v>0.71641942792455005</v>
      </c>
      <c r="AX64" s="307">
        <f>'Quarterly Model'!CB138</f>
        <v>0.71617927187247399</v>
      </c>
      <c r="AY64" s="307">
        <f>'Quarterly Model'!CC138</f>
        <v>0.92916421627967327</v>
      </c>
      <c r="AZ64" s="1165">
        <f>'Quarterly Model'!CD138</f>
        <v>3.0303816237328429</v>
      </c>
    </row>
    <row r="65" spans="2:52" ht="13.5" thickTop="1">
      <c r="B65" s="236" t="str">
        <f>'Quarterly Model'!B139</f>
        <v>YoY % change</v>
      </c>
      <c r="C65" s="139">
        <f>'Quarterly Model'!AG139</f>
        <v>0</v>
      </c>
      <c r="D65" s="139">
        <f>'Quarterly Model'!AH139</f>
        <v>0</v>
      </c>
      <c r="E65" s="139">
        <f>'Quarterly Model'!AI139</f>
        <v>0</v>
      </c>
      <c r="F65" s="139">
        <f>'Quarterly Model'!AJ139</f>
        <v>0</v>
      </c>
      <c r="G65" s="1119">
        <f>'Quarterly Model'!AK139</f>
        <v>0</v>
      </c>
      <c r="H65" s="139">
        <f>'Quarterly Model'!AL139</f>
        <v>0</v>
      </c>
      <c r="I65" s="139">
        <f>'Quarterly Model'!AM139</f>
        <v>0</v>
      </c>
      <c r="J65" s="139">
        <f>'Quarterly Model'!AN139</f>
        <v>0</v>
      </c>
      <c r="K65" s="139">
        <f>'Quarterly Model'!AO139</f>
        <v>0</v>
      </c>
      <c r="L65" s="1119" t="str">
        <f>'Quarterly Model'!AP139</f>
        <v>NM</v>
      </c>
      <c r="M65" s="139">
        <f>'Quarterly Model'!AQ139</f>
        <v>0</v>
      </c>
      <c r="N65" s="309">
        <f>'Quarterly Model'!AR139</f>
        <v>0</v>
      </c>
      <c r="O65" s="309">
        <f>'Quarterly Model'!AS139</f>
        <v>0</v>
      </c>
      <c r="P65" s="139">
        <f>'Quarterly Model'!AT139</f>
        <v>0</v>
      </c>
      <c r="Q65" s="1119">
        <f>'Quarterly Model'!AU139</f>
        <v>-0.62431404416886327</v>
      </c>
      <c r="R65" s="139">
        <f>'Quarterly Model'!AV139</f>
        <v>-1.6930676197819705</v>
      </c>
      <c r="S65" s="139">
        <f>'Quarterly Model'!AW139</f>
        <v>0.13090793850161653</v>
      </c>
      <c r="T65" s="139">
        <f>'Quarterly Model'!AX139</f>
        <v>0.3114851733433639</v>
      </c>
      <c r="U65" s="139">
        <f>'Quarterly Model'!AY139</f>
        <v>0.27352606742850649</v>
      </c>
      <c r="V65" s="1119">
        <f>'Quarterly Model'!AZ139</f>
        <v>1.9268270394548166</v>
      </c>
      <c r="W65" s="139">
        <f>'Quarterly Model'!BA139</f>
        <v>0.43998079231692677</v>
      </c>
      <c r="X65" s="139">
        <f>'Quarterly Model'!BB139</f>
        <v>5.991072505730477E-2</v>
      </c>
      <c r="Y65" s="139">
        <f>'Quarterly Model'!BC139</f>
        <v>8.4580776872259955E-2</v>
      </c>
      <c r="Z65" s="139">
        <f>'Quarterly Model'!BD139</f>
        <v>9.2770447587111837E-2</v>
      </c>
      <c r="AA65" s="1119">
        <f>'Quarterly Model'!BE139</f>
        <v>0.16530535895356779</v>
      </c>
      <c r="AB65" s="139">
        <f>'Quarterly Model'!BF139</f>
        <v>5.6945642795513507E-2</v>
      </c>
      <c r="AC65" s="139">
        <f>'Quarterly Model'!BG139</f>
        <v>0.27244582043343679</v>
      </c>
      <c r="AD65" s="139">
        <f>'Quarterly Model'!BH139</f>
        <v>0.16781299600788802</v>
      </c>
      <c r="AE65" s="139">
        <f>'Quarterly Model'!BI139</f>
        <v>0.57420863609788686</v>
      </c>
      <c r="AF65" s="1119">
        <f>'Quarterly Model'!BJ139</f>
        <v>0.27716681442382596</v>
      </c>
      <c r="AG65" s="139">
        <f>'Quarterly Model'!BK139</f>
        <v>0.32963571624212551</v>
      </c>
      <c r="AH65" s="139">
        <f>'Quarterly Model'!BL139</f>
        <v>9.937200047084449E-2</v>
      </c>
      <c r="AI65" s="139">
        <f>'Quarterly Model'!BM139</f>
        <v>0.12107573514555914</v>
      </c>
      <c r="AJ65" s="139">
        <f>'Quarterly Model'!BN139</f>
        <v>-9.9359027181129433E-2</v>
      </c>
      <c r="AK65" s="1119">
        <f>'Quarterly Model'!BO139</f>
        <v>8.4352140205871562E-2</v>
      </c>
      <c r="AL65" s="139">
        <f>'Quarterly Model'!BP139</f>
        <v>3.5227114272774696E-2</v>
      </c>
      <c r="AM65" s="139">
        <f>'Quarterly Model'!BQ139</f>
        <v>0.23473662680804264</v>
      </c>
      <c r="AN65" s="139">
        <f>'Quarterly Model'!BR139</f>
        <v>0.31077416264755287</v>
      </c>
      <c r="AO65" s="139">
        <f>'Quarterly Model'!BS139</f>
        <v>0.29966847329858304</v>
      </c>
      <c r="AP65" s="1119">
        <f>'Quarterly Model'!BT139</f>
        <v>0.2171634061758192</v>
      </c>
      <c r="AQ65" s="139">
        <f>'Quarterly Model'!BU139</f>
        <v>0.21759642477289165</v>
      </c>
      <c r="AR65" s="139">
        <f>'Quarterly Model'!BV139</f>
        <v>0.23079410605136008</v>
      </c>
      <c r="AS65" s="139">
        <f>'Quarterly Model'!BW139</f>
        <v>0.20186571689542943</v>
      </c>
      <c r="AT65" s="139">
        <f>'Quarterly Model'!BX139</f>
        <v>0.21325061513500887</v>
      </c>
      <c r="AU65" s="1119">
        <f>'Quarterly Model'!BY139</f>
        <v>0.21564868145654481</v>
      </c>
      <c r="AV65" s="139">
        <f>'Quarterly Model'!BZ139</f>
        <v>0.2643243440954306</v>
      </c>
      <c r="AW65" s="139">
        <f>'Quarterly Model'!CA139</f>
        <v>0.2676442762151201</v>
      </c>
      <c r="AX65" s="139">
        <f>'Quarterly Model'!CB139</f>
        <v>0.30510614831124983</v>
      </c>
      <c r="AY65" s="139">
        <f>'Quarterly Model'!CC139</f>
        <v>0.29587869109391063</v>
      </c>
      <c r="AZ65" s="1119">
        <f>'Quarterly Model'!CD139</f>
        <v>0.28423157439829483</v>
      </c>
    </row>
    <row r="66" spans="2:52" ht="5.25" customHeight="1">
      <c r="B66" s="338"/>
      <c r="C66" s="339"/>
      <c r="D66" s="339"/>
      <c r="E66" s="339"/>
      <c r="F66" s="1166"/>
      <c r="G66" s="1167"/>
      <c r="H66" s="341"/>
      <c r="I66" s="341"/>
      <c r="J66" s="341"/>
      <c r="K66" s="1166"/>
      <c r="L66" s="1167"/>
      <c r="M66" s="1166"/>
      <c r="N66" s="1166"/>
      <c r="O66" s="1166"/>
      <c r="P66" s="1166"/>
      <c r="Q66" s="1167"/>
      <c r="R66" s="1166"/>
      <c r="S66" s="1166"/>
      <c r="T66" s="1166"/>
      <c r="U66" s="1166"/>
      <c r="V66" s="1167"/>
      <c r="W66" s="1166"/>
      <c r="X66" s="1166"/>
      <c r="Y66" s="1166"/>
      <c r="Z66" s="1166"/>
      <c r="AA66" s="1167"/>
      <c r="AB66" s="1166"/>
      <c r="AC66" s="1166"/>
      <c r="AD66" s="1166"/>
      <c r="AE66" s="1166"/>
      <c r="AF66" s="1167"/>
      <c r="AG66" s="1166"/>
      <c r="AH66" s="1166"/>
      <c r="AI66" s="1166"/>
      <c r="AJ66" s="1166"/>
      <c r="AK66" s="1167"/>
      <c r="AL66" s="1166"/>
      <c r="AM66" s="1166"/>
      <c r="AN66" s="1166"/>
      <c r="AO66" s="1166"/>
      <c r="AP66" s="1167"/>
      <c r="AQ66" s="1166"/>
      <c r="AR66" s="1166"/>
      <c r="AS66" s="1166"/>
      <c r="AT66" s="1166"/>
      <c r="AU66" s="1167"/>
      <c r="AV66" s="1166"/>
      <c r="AW66" s="1166"/>
      <c r="AX66" s="1166"/>
      <c r="AY66" s="1166"/>
      <c r="AZ66" s="1167"/>
    </row>
    <row r="67" spans="2:52">
      <c r="B67" s="150"/>
      <c r="C67" s="343"/>
      <c r="D67" s="343"/>
      <c r="E67" s="343"/>
      <c r="F67" s="343"/>
      <c r="G67" s="343"/>
      <c r="H67" s="343"/>
      <c r="I67" s="343"/>
      <c r="J67" s="343"/>
      <c r="K67" s="343"/>
      <c r="L67" s="97"/>
      <c r="M67" s="344"/>
      <c r="N67" s="344"/>
      <c r="O67" s="344"/>
      <c r="P67" s="343"/>
      <c r="Q67" s="345"/>
      <c r="R67" s="343"/>
      <c r="S67" s="343"/>
      <c r="T67" s="343"/>
      <c r="U67" s="343"/>
      <c r="V67" s="97"/>
      <c r="W67" s="343"/>
      <c r="X67" s="343"/>
      <c r="Y67" s="343"/>
      <c r="Z67" s="343"/>
      <c r="AA67" s="97"/>
      <c r="AB67" s="343"/>
      <c r="AC67" s="343"/>
      <c r="AD67" s="343"/>
      <c r="AE67" s="343"/>
      <c r="AF67" s="97"/>
      <c r="AG67" s="343"/>
      <c r="AH67" s="343"/>
      <c r="AI67" s="343"/>
      <c r="AJ67" s="343"/>
      <c r="AK67" s="97"/>
      <c r="AL67" s="343"/>
      <c r="AM67" s="343"/>
      <c r="AN67" s="343"/>
      <c r="AO67" s="343"/>
      <c r="AP67" s="97"/>
      <c r="AQ67" s="343"/>
      <c r="AR67" s="343"/>
      <c r="AS67" s="343"/>
      <c r="AT67" s="343"/>
      <c r="AU67" s="97"/>
      <c r="AV67" s="343"/>
      <c r="AW67" s="343"/>
      <c r="AX67" s="343"/>
      <c r="AY67" s="343"/>
      <c r="AZ67" s="97"/>
    </row>
    <row r="68" spans="2:52">
      <c r="B68" s="1337" t="s">
        <v>536</v>
      </c>
      <c r="C68" s="1107"/>
      <c r="D68" s="1107"/>
      <c r="E68" s="1107"/>
      <c r="F68" s="1107"/>
      <c r="G68" s="1108"/>
      <c r="H68" s="1107"/>
      <c r="I68" s="1107"/>
      <c r="J68" s="1107"/>
      <c r="K68" s="1107"/>
      <c r="L68" s="1108"/>
      <c r="M68" s="1107"/>
      <c r="N68" s="1107"/>
      <c r="O68" s="1107"/>
      <c r="P68" s="1107"/>
      <c r="Q68" s="1108"/>
      <c r="R68" s="1107"/>
      <c r="S68" s="1107"/>
      <c r="T68" s="1107"/>
      <c r="U68" s="1107"/>
      <c r="V68" s="1108"/>
      <c r="W68" s="1107"/>
      <c r="X68" s="1107"/>
      <c r="Y68" s="1107"/>
      <c r="Z68" s="1107"/>
      <c r="AA68" s="1108"/>
      <c r="AB68" s="1107"/>
      <c r="AC68" s="1107"/>
      <c r="AD68" s="1107"/>
      <c r="AE68" s="1107"/>
      <c r="AF68" s="1110"/>
      <c r="AG68" s="1107"/>
      <c r="AH68" s="1107"/>
      <c r="AI68" s="1107"/>
      <c r="AJ68" s="1107"/>
      <c r="AK68" s="1110"/>
      <c r="AL68" s="1107"/>
      <c r="AM68" s="1107"/>
      <c r="AN68" s="1107"/>
      <c r="AO68" s="1107"/>
      <c r="AP68" s="1110"/>
      <c r="AQ68" s="1107"/>
      <c r="AR68" s="1107"/>
      <c r="AS68" s="1107"/>
      <c r="AT68" s="1107"/>
      <c r="AU68" s="1110"/>
      <c r="AV68" s="1107"/>
      <c r="AW68" s="1107"/>
      <c r="AX68" s="1107"/>
      <c r="AY68" s="1107"/>
      <c r="AZ68" s="1110"/>
    </row>
    <row r="69" spans="2:52">
      <c r="B69" s="1339"/>
      <c r="C69" s="1111" t="str">
        <f>'Quarterly Model'!AG158</f>
        <v>1Q12A</v>
      </c>
      <c r="D69" s="1111" t="str">
        <f>'Quarterly Model'!AH158</f>
        <v>2Q12A</v>
      </c>
      <c r="E69" s="1111" t="str">
        <f>'Quarterly Model'!AI158</f>
        <v>3Q12A</v>
      </c>
      <c r="F69" s="1111" t="str">
        <f>'Quarterly Model'!AJ158</f>
        <v>4Q12A</v>
      </c>
      <c r="G69" s="1112" t="str">
        <f>'Quarterly Model'!AK158</f>
        <v>2012A</v>
      </c>
      <c r="H69" s="1111" t="str">
        <f>'Quarterly Model'!AL158</f>
        <v>1Q13A</v>
      </c>
      <c r="I69" s="1111" t="str">
        <f>'Quarterly Model'!AM158</f>
        <v>2Q13A</v>
      </c>
      <c r="J69" s="1111" t="str">
        <f>'Quarterly Model'!AN158</f>
        <v>3Q13A</v>
      </c>
      <c r="K69" s="1111" t="str">
        <f>'Quarterly Model'!AO158</f>
        <v>4Q13A</v>
      </c>
      <c r="L69" s="1112" t="str">
        <f>'Quarterly Model'!AP158</f>
        <v>2013A</v>
      </c>
      <c r="M69" s="1111" t="str">
        <f>'Quarterly Model'!AQ158</f>
        <v>1Q14A</v>
      </c>
      <c r="N69" s="1111" t="str">
        <f>'Quarterly Model'!AR158</f>
        <v>2Q14A</v>
      </c>
      <c r="O69" s="1111" t="str">
        <f>'Quarterly Model'!AS158</f>
        <v>3Q14A</v>
      </c>
      <c r="P69" s="1111" t="str">
        <f>'Quarterly Model'!AT158</f>
        <v>4Q14A</v>
      </c>
      <c r="Q69" s="1112" t="str">
        <f>'Quarterly Model'!AU158</f>
        <v>2014A</v>
      </c>
      <c r="R69" s="1111" t="str">
        <f>'Quarterly Model'!AV158</f>
        <v>1Q15A</v>
      </c>
      <c r="S69" s="1111" t="str">
        <f>'Quarterly Model'!AW158</f>
        <v>2Q15A</v>
      </c>
      <c r="T69" s="1111" t="str">
        <f>'Quarterly Model'!AX158</f>
        <v>3Q15A</v>
      </c>
      <c r="U69" s="1111" t="str">
        <f>'Quarterly Model'!AY158</f>
        <v>4Q15A</v>
      </c>
      <c r="V69" s="1112" t="str">
        <f>'Quarterly Model'!AZ158</f>
        <v>2015A</v>
      </c>
      <c r="W69" s="1111" t="str">
        <f>'Quarterly Model'!BA158</f>
        <v>1Q16A</v>
      </c>
      <c r="X69" s="1111" t="str">
        <f>'Quarterly Model'!BB158</f>
        <v>2Q16A</v>
      </c>
      <c r="Y69" s="1111" t="str">
        <f>'Quarterly Model'!BC158</f>
        <v>3Q16A</v>
      </c>
      <c r="Z69" s="1111" t="str">
        <f>'Quarterly Model'!BD158</f>
        <v>4Q16A</v>
      </c>
      <c r="AA69" s="1112" t="str">
        <f>'Quarterly Model'!BE158</f>
        <v>2016A</v>
      </c>
      <c r="AB69" s="1111" t="str">
        <f>'Quarterly Model'!BF158</f>
        <v>1Q17A</v>
      </c>
      <c r="AC69" s="1111" t="str">
        <f>'Quarterly Model'!BG158</f>
        <v>2Q17A</v>
      </c>
      <c r="AD69" s="1111" t="str">
        <f>'Quarterly Model'!BH158</f>
        <v>3Q17A</v>
      </c>
      <c r="AE69" s="1111" t="str">
        <f>'Quarterly Model'!BI158</f>
        <v>4Q17A</v>
      </c>
      <c r="AF69" s="1113" t="str">
        <f>'Quarterly Model'!BJ158</f>
        <v>2017A</v>
      </c>
      <c r="AG69" s="1111" t="str">
        <f>'Quarterly Model'!BK158</f>
        <v>1Q18A</v>
      </c>
      <c r="AH69" s="1111" t="str">
        <f>'Quarterly Model'!BL158</f>
        <v>2Q18E</v>
      </c>
      <c r="AI69" s="1111" t="str">
        <f>'Quarterly Model'!BM158</f>
        <v>3Q18E</v>
      </c>
      <c r="AJ69" s="1111" t="str">
        <f>'Quarterly Model'!BN158</f>
        <v>4Q18E</v>
      </c>
      <c r="AK69" s="1113" t="str">
        <f>'Quarterly Model'!BO158</f>
        <v>2018E</v>
      </c>
      <c r="AL69" s="1111" t="str">
        <f>'Quarterly Model'!BP158</f>
        <v>1Q19E</v>
      </c>
      <c r="AM69" s="1111" t="str">
        <f>'Quarterly Model'!BQ158</f>
        <v>2Q19E</v>
      </c>
      <c r="AN69" s="1111" t="str">
        <f>'Quarterly Model'!BR158</f>
        <v>3Q19E</v>
      </c>
      <c r="AO69" s="1111" t="str">
        <f>'Quarterly Model'!BS158</f>
        <v>4Q19E</v>
      </c>
      <c r="AP69" s="1113" t="str">
        <f>'Quarterly Model'!BT158</f>
        <v>2019E</v>
      </c>
      <c r="AQ69" s="1111" t="str">
        <f>'Quarterly Model'!BU158</f>
        <v>1Q20E</v>
      </c>
      <c r="AR69" s="1111" t="str">
        <f>'Quarterly Model'!BV158</f>
        <v>2Q20E</v>
      </c>
      <c r="AS69" s="1111" t="str">
        <f>'Quarterly Model'!BW158</f>
        <v>3Q20E</v>
      </c>
      <c r="AT69" s="1111" t="str">
        <f>'Quarterly Model'!BX158</f>
        <v>4Q20E</v>
      </c>
      <c r="AU69" s="1113" t="str">
        <f>'Quarterly Model'!BY158</f>
        <v>2020E</v>
      </c>
      <c r="AV69" s="1111" t="str">
        <f>'Quarterly Model'!BZ158</f>
        <v>1Q21E</v>
      </c>
      <c r="AW69" s="1111" t="str">
        <f>'Quarterly Model'!CA158</f>
        <v>2Q21E</v>
      </c>
      <c r="AX69" s="1111" t="str">
        <f>'Quarterly Model'!CB158</f>
        <v>3Q21E</v>
      </c>
      <c r="AY69" s="1111" t="str">
        <f>'Quarterly Model'!CC158</f>
        <v>4Q21E</v>
      </c>
      <c r="AZ69" s="1113" t="str">
        <f>'Quarterly Model'!CD158</f>
        <v>2021E</v>
      </c>
    </row>
    <row r="70" spans="2:52" ht="15">
      <c r="B70" s="1168" t="str">
        <f>'Quarterly Model'!B159</f>
        <v>Cash Flow from Operating Activities</v>
      </c>
      <c r="C70" s="229">
        <f>'Quarterly Model'!AG159</f>
        <v>0</v>
      </c>
      <c r="D70" s="229">
        <f>'Quarterly Model'!AH159</f>
        <v>0</v>
      </c>
      <c r="E70" s="229">
        <f>'Quarterly Model'!AI159</f>
        <v>0</v>
      </c>
      <c r="F70" s="117">
        <f>'Quarterly Model'!AJ159</f>
        <v>0</v>
      </c>
      <c r="G70" s="1169"/>
      <c r="H70" s="232"/>
      <c r="I70" s="232"/>
      <c r="J70" s="232"/>
      <c r="K70" s="117"/>
      <c r="L70" s="1169"/>
      <c r="M70" s="115"/>
      <c r="N70" s="115"/>
      <c r="O70" s="115"/>
      <c r="P70" s="115"/>
      <c r="Q70" s="1169"/>
      <c r="R70" s="115"/>
      <c r="S70" s="115"/>
      <c r="T70" s="115"/>
      <c r="U70" s="115"/>
      <c r="V70" s="1169"/>
      <c r="W70" s="115"/>
      <c r="X70" s="115"/>
      <c r="Y70" s="115"/>
      <c r="Z70" s="115"/>
      <c r="AA70" s="1169"/>
      <c r="AB70" s="115"/>
      <c r="AC70" s="115"/>
      <c r="AD70" s="115"/>
      <c r="AE70" s="115"/>
      <c r="AF70" s="1170"/>
      <c r="AG70" s="115"/>
      <c r="AH70" s="115"/>
      <c r="AI70" s="115"/>
      <c r="AJ70" s="115"/>
      <c r="AK70" s="1170"/>
      <c r="AL70" s="115"/>
      <c r="AM70" s="115"/>
      <c r="AN70" s="115"/>
      <c r="AO70" s="115"/>
      <c r="AP70" s="1170"/>
      <c r="AQ70" s="115"/>
      <c r="AR70" s="115"/>
      <c r="AS70" s="115"/>
      <c r="AT70" s="115"/>
      <c r="AU70" s="1170"/>
      <c r="AV70" s="115"/>
      <c r="AW70" s="115"/>
      <c r="AX70" s="115"/>
      <c r="AY70" s="115"/>
      <c r="AZ70" s="1170"/>
    </row>
    <row r="71" spans="2:52">
      <c r="B71" s="363" t="str">
        <f>'Quarterly Model'!B160</f>
        <v>Net income</v>
      </c>
      <c r="C71" s="229">
        <f>'Quarterly Model'!AG160</f>
        <v>0</v>
      </c>
      <c r="D71" s="229">
        <f>'Quarterly Model'!AH160</f>
        <v>0</v>
      </c>
      <c r="E71" s="229">
        <f>'Quarterly Model'!AI160</f>
        <v>0</v>
      </c>
      <c r="F71" s="229">
        <f>'Quarterly Model'!AJ160</f>
        <v>0</v>
      </c>
      <c r="G71" s="1127">
        <f>'Quarterly Model'!AK160</f>
        <v>778</v>
      </c>
      <c r="H71" s="313">
        <f>'Quarterly Model'!AL160</f>
        <v>0</v>
      </c>
      <c r="I71" s="313">
        <f>'Quarterly Model'!AM160</f>
        <v>0</v>
      </c>
      <c r="J71" s="313">
        <f>'Quarterly Model'!AN160</f>
        <v>0</v>
      </c>
      <c r="K71" s="313">
        <f>'Quarterly Model'!AO160</f>
        <v>0</v>
      </c>
      <c r="L71" s="1127">
        <f>'Quarterly Model'!AP160</f>
        <v>955</v>
      </c>
      <c r="M71" s="313">
        <f>'Quarterly Model'!AQ160</f>
        <v>0</v>
      </c>
      <c r="N71" s="313">
        <f>'Quarterly Model'!AR160</f>
        <v>-101</v>
      </c>
      <c r="O71" s="313">
        <f>'Quarterly Model'!AS160</f>
        <v>234</v>
      </c>
      <c r="P71" s="313">
        <f>'Quarterly Model'!AT160</f>
        <v>0</v>
      </c>
      <c r="Q71" s="1118">
        <f>'Quarterly Model'!AU160</f>
        <v>419</v>
      </c>
      <c r="R71" s="1171">
        <f>'Quarterly Model'!AV160</f>
        <v>255</v>
      </c>
      <c r="S71" s="313">
        <f>'Quarterly Model'!AW160</f>
        <v>305</v>
      </c>
      <c r="T71" s="313">
        <f>'Quarterly Model'!AX160</f>
        <v>301</v>
      </c>
      <c r="U71" s="313">
        <f>'Quarterly Model'!AY160</f>
        <v>367</v>
      </c>
      <c r="V71" s="1118">
        <f>'Quarterly Model'!AZ160</f>
        <v>1228</v>
      </c>
      <c r="W71" s="313">
        <f>'Quarterly Model'!BA160</f>
        <v>365</v>
      </c>
      <c r="X71" s="313">
        <f>'Quarterly Model'!BB160</f>
        <v>323</v>
      </c>
      <c r="Y71" s="313">
        <f>'Quarterly Model'!BC160</f>
        <v>323</v>
      </c>
      <c r="Z71" s="313">
        <f>'Quarterly Model'!BD160</f>
        <v>390</v>
      </c>
      <c r="AA71" s="1118">
        <f>'Quarterly Model'!BE160</f>
        <v>1401</v>
      </c>
      <c r="AB71" s="313">
        <f>'Quarterly Model'!BF160</f>
        <v>384</v>
      </c>
      <c r="AC71" s="313">
        <f>'Quarterly Model'!BG160</f>
        <v>411</v>
      </c>
      <c r="AD71" s="313">
        <f>'Quarterly Model'!BH160</f>
        <v>380</v>
      </c>
      <c r="AE71" s="313">
        <f>'Quarterly Model'!BI160</f>
        <v>620</v>
      </c>
      <c r="AF71" s="1118">
        <f>'Quarterly Model'!BJ160</f>
        <v>1795</v>
      </c>
      <c r="AG71" s="313">
        <f>'Quarterly Model'!BK160</f>
        <v>511</v>
      </c>
      <c r="AH71" s="313">
        <f>'Quarterly Model'!BL160</f>
        <v>451.67312481934943</v>
      </c>
      <c r="AI71" s="313">
        <f>'Quarterly Model'!BM160</f>
        <v>422.17237212296487</v>
      </c>
      <c r="AJ71" s="313">
        <f>'Quarterly Model'!BN160</f>
        <v>550.24828914671821</v>
      </c>
      <c r="AK71" s="1118">
        <f>'Quarterly Model'!BO160</f>
        <v>1935.0937860890324</v>
      </c>
      <c r="AL71" s="313">
        <f>'Quarterly Model'!BP160</f>
        <v>524.96960922886899</v>
      </c>
      <c r="AM71" s="313">
        <f>'Quarterly Model'!BQ160</f>
        <v>553.57706374225108</v>
      </c>
      <c r="AN71" s="313">
        <f>'Quarterly Model'!BR160</f>
        <v>549.53417368598468</v>
      </c>
      <c r="AO71" s="313">
        <f>'Quarterly Model'!BS160</f>
        <v>710.49680250360234</v>
      </c>
      <c r="AP71" s="1118">
        <f>'Quarterly Model'!BT160</f>
        <v>2338.5776491607071</v>
      </c>
      <c r="AQ71" s="313">
        <f>'Quarterly Model'!BU160</f>
        <v>634.7854444918454</v>
      </c>
      <c r="AR71" s="313">
        <f>'Quarterly Model'!BV160</f>
        <v>676.37157320134497</v>
      </c>
      <c r="AS71" s="313">
        <f>'Quarterly Model'!BW160</f>
        <v>655.36956251844947</v>
      </c>
      <c r="AT71" s="313">
        <f>'Quarterly Model'!BX160</f>
        <v>855.04449563970388</v>
      </c>
      <c r="AU71" s="1118">
        <f>'Quarterly Model'!BY160</f>
        <v>2821.5710758513442</v>
      </c>
      <c r="AV71" s="313">
        <f>'Quarterly Model'!BZ160</f>
        <v>796.45731655895952</v>
      </c>
      <c r="AW71" s="313">
        <f>'Quarterly Model'!CA160</f>
        <v>851.25271587688235</v>
      </c>
      <c r="AX71" s="313">
        <f>'Quarterly Model'!CB160</f>
        <v>849.59541348901166</v>
      </c>
      <c r="AY71" s="313">
        <f>'Quarterly Model'!CC160</f>
        <v>1101.1205896856061</v>
      </c>
      <c r="AZ71" s="1118">
        <f>'Quarterly Model'!CD160</f>
        <v>3598.4260356104596</v>
      </c>
    </row>
    <row r="72" spans="2:52">
      <c r="B72" s="372" t="str">
        <f>'Quarterly Model'!B161</f>
        <v xml:space="preserve">Adjustments </v>
      </c>
      <c r="C72" s="142">
        <f>'Quarterly Model'!AG161</f>
        <v>0</v>
      </c>
      <c r="D72" s="142">
        <f>'Quarterly Model'!AH161</f>
        <v>0</v>
      </c>
      <c r="E72" s="142">
        <f>'Quarterly Model'!AI161</f>
        <v>0</v>
      </c>
      <c r="F72" s="142">
        <f>'Quarterly Model'!AJ161</f>
        <v>0</v>
      </c>
      <c r="G72" s="1127"/>
      <c r="H72" s="1128"/>
      <c r="I72" s="1128"/>
      <c r="J72" s="1128"/>
      <c r="K72" s="1128"/>
      <c r="L72" s="1127"/>
      <c r="M72" s="1128"/>
      <c r="N72" s="1128"/>
      <c r="O72" s="1128"/>
      <c r="P72" s="1128"/>
      <c r="Q72" s="1127"/>
      <c r="R72" s="1126"/>
      <c r="S72" s="1128"/>
      <c r="T72" s="1128"/>
      <c r="U72" s="1128"/>
      <c r="V72" s="1127"/>
      <c r="W72" s="1128"/>
      <c r="X72" s="1128"/>
      <c r="Y72" s="1128"/>
      <c r="Z72" s="1128"/>
      <c r="AA72" s="1127"/>
      <c r="AB72" s="1128"/>
      <c r="AC72" s="1128"/>
      <c r="AD72" s="1128"/>
      <c r="AE72" s="1128"/>
      <c r="AF72" s="1127"/>
      <c r="AG72" s="1128"/>
      <c r="AH72" s="1128"/>
      <c r="AI72" s="1128"/>
      <c r="AJ72" s="1128"/>
      <c r="AK72" s="1127"/>
      <c r="AL72" s="1128"/>
      <c r="AM72" s="1128"/>
      <c r="AN72" s="1128"/>
      <c r="AO72" s="1128"/>
      <c r="AP72" s="1127"/>
      <c r="AQ72" s="1128"/>
      <c r="AR72" s="1128"/>
      <c r="AS72" s="1128"/>
      <c r="AT72" s="1128"/>
      <c r="AU72" s="1127"/>
      <c r="AV72" s="1128"/>
      <c r="AW72" s="1128"/>
      <c r="AX72" s="1128"/>
      <c r="AY72" s="1128"/>
      <c r="AZ72" s="1127"/>
    </row>
    <row r="73" spans="2:52">
      <c r="B73" s="373" t="str">
        <f>'Quarterly Model'!B162</f>
        <v>Transaction and loan losses</v>
      </c>
      <c r="C73" s="142">
        <f>'Quarterly Model'!AG162</f>
        <v>0</v>
      </c>
      <c r="D73" s="142">
        <f>'Quarterly Model'!AH162</f>
        <v>0</v>
      </c>
      <c r="E73" s="142">
        <f>'Quarterly Model'!AI162</f>
        <v>0</v>
      </c>
      <c r="F73" s="142">
        <f>'Quarterly Model'!AJ162</f>
        <v>0</v>
      </c>
      <c r="G73" s="1127">
        <f>'Quarterly Model'!AK162</f>
        <v>365</v>
      </c>
      <c r="H73" s="1128">
        <f>'Quarterly Model'!AL162</f>
        <v>0</v>
      </c>
      <c r="I73" s="1128">
        <f>'Quarterly Model'!AM162</f>
        <v>0</v>
      </c>
      <c r="J73" s="1128">
        <f>'Quarterly Model'!AN162</f>
        <v>0</v>
      </c>
      <c r="K73" s="1128">
        <f>'Quarterly Model'!AO162</f>
        <v>0</v>
      </c>
      <c r="L73" s="1127">
        <f>'Quarterly Model'!AP162</f>
        <v>502</v>
      </c>
      <c r="M73" s="1128">
        <f>'Quarterly Model'!AQ162</f>
        <v>0</v>
      </c>
      <c r="N73" s="1128">
        <f>'Quarterly Model'!AR162</f>
        <v>273</v>
      </c>
      <c r="O73" s="1128">
        <f>'Quarterly Model'!AS162</f>
        <v>180</v>
      </c>
      <c r="P73" s="1128">
        <f>'Quarterly Model'!AT162</f>
        <v>0</v>
      </c>
      <c r="Q73" s="1127">
        <f>'Quarterly Model'!AU162</f>
        <v>646</v>
      </c>
      <c r="R73" s="1126">
        <f>'Quarterly Model'!AV162</f>
        <v>178</v>
      </c>
      <c r="S73" s="1128">
        <f>'Quarterly Model'!AW162</f>
        <v>185</v>
      </c>
      <c r="T73" s="1128">
        <f>'Quarterly Model'!AX162</f>
        <v>201</v>
      </c>
      <c r="U73" s="1128">
        <f>'Quarterly Model'!AY162</f>
        <v>245</v>
      </c>
      <c r="V73" s="1127">
        <f>'Quarterly Model'!AZ162</f>
        <v>809</v>
      </c>
      <c r="W73" s="1128">
        <f>'Quarterly Model'!BA162</f>
        <v>255</v>
      </c>
      <c r="X73" s="1128">
        <f>'Quarterly Model'!BB162</f>
        <v>255</v>
      </c>
      <c r="Y73" s="1128">
        <f>'Quarterly Model'!BC162</f>
        <v>271</v>
      </c>
      <c r="Z73" s="1128">
        <f>'Quarterly Model'!BD162</f>
        <v>307</v>
      </c>
      <c r="AA73" s="1127">
        <f>'Quarterly Model'!BE162</f>
        <v>1088</v>
      </c>
      <c r="AB73" s="1128">
        <f>'Quarterly Model'!BF162</f>
        <v>300</v>
      </c>
      <c r="AC73" s="1128">
        <f>'Quarterly Model'!BG162</f>
        <v>308</v>
      </c>
      <c r="AD73" s="1128">
        <f>'Quarterly Model'!BH162</f>
        <v>363</v>
      </c>
      <c r="AE73" s="1128">
        <f>'Quarterly Model'!BI162</f>
        <v>40</v>
      </c>
      <c r="AF73" s="1127">
        <f>'Quarterly Model'!BJ162</f>
        <v>1011</v>
      </c>
      <c r="AG73" s="1128">
        <f>'Quarterly Model'!BK162</f>
        <v>305</v>
      </c>
      <c r="AH73" s="1128">
        <f>'Quarterly Model'!BL162</f>
        <v>323.29107710489473</v>
      </c>
      <c r="AI73" s="1128">
        <f>'Quarterly Model'!BM162</f>
        <v>338.23789542917967</v>
      </c>
      <c r="AJ73" s="1128">
        <f>'Quarterly Model'!BN162</f>
        <v>385.45297056675179</v>
      </c>
      <c r="AK73" s="1127">
        <f>'Quarterly Model'!BO162</f>
        <v>1351.9819431008264</v>
      </c>
      <c r="AL73" s="1128">
        <f>'Quarterly Model'!BP162</f>
        <v>369.61386298091247</v>
      </c>
      <c r="AM73" s="1128">
        <f>'Quarterly Model'!BQ162</f>
        <v>392.68620961214975</v>
      </c>
      <c r="AN73" s="1128">
        <f>'Quarterly Model'!BR162</f>
        <v>410.84139498282582</v>
      </c>
      <c r="AO73" s="1128">
        <f>'Quarterly Model'!BS162</f>
        <v>468.19128864014544</v>
      </c>
      <c r="AP73" s="1127">
        <f>'Quarterly Model'!BT162</f>
        <v>1641.3327562160334</v>
      </c>
      <c r="AQ73" s="1128">
        <f>'Quarterly Model'!BU162</f>
        <v>443.5366355770949</v>
      </c>
      <c r="AR73" s="1128">
        <f>'Quarterly Model'!BV162</f>
        <v>471.22345153457974</v>
      </c>
      <c r="AS73" s="1128">
        <f>'Quarterly Model'!BW162</f>
        <v>484.79284607973443</v>
      </c>
      <c r="AT73" s="1128">
        <f>'Quarterly Model'!BX162</f>
        <v>552.46572059537164</v>
      </c>
      <c r="AU73" s="1127">
        <f>'Quarterly Model'!BY162</f>
        <v>1952.0186537867808</v>
      </c>
      <c r="AV73" s="1128">
        <f>'Quarterly Model'!BZ162</f>
        <v>518.93786362520098</v>
      </c>
      <c r="AW73" s="1128">
        <f>'Quarterly Model'!CA162</f>
        <v>551.33143829545827</v>
      </c>
      <c r="AX73" s="1128">
        <f>'Quarterly Model'!CB162</f>
        <v>567.20762991328922</v>
      </c>
      <c r="AY73" s="1128">
        <f>'Quarterly Model'!CC162</f>
        <v>646.38489309658462</v>
      </c>
      <c r="AZ73" s="1127">
        <f>'Quarterly Model'!CD162</f>
        <v>2283.8618249305332</v>
      </c>
    </row>
    <row r="74" spans="2:52">
      <c r="B74" s="373" t="str">
        <f>'Quarterly Model'!B163</f>
        <v>Depreciation and amortization</v>
      </c>
      <c r="C74" s="142">
        <f>'Quarterly Model'!AG163</f>
        <v>0</v>
      </c>
      <c r="D74" s="142">
        <f>'Quarterly Model'!AH163</f>
        <v>0</v>
      </c>
      <c r="E74" s="142">
        <f>'Quarterly Model'!AI163</f>
        <v>0</v>
      </c>
      <c r="F74" s="142">
        <f>'Quarterly Model'!AJ163</f>
        <v>0</v>
      </c>
      <c r="G74" s="1127">
        <f>'Quarterly Model'!AK163</f>
        <v>382</v>
      </c>
      <c r="H74" s="1128">
        <f>'Quarterly Model'!AL163</f>
        <v>0</v>
      </c>
      <c r="I74" s="1128">
        <f>'Quarterly Model'!AM163</f>
        <v>0</v>
      </c>
      <c r="J74" s="1128">
        <f>'Quarterly Model'!AN163</f>
        <v>0</v>
      </c>
      <c r="K74" s="1128">
        <f>'Quarterly Model'!AO163</f>
        <v>0</v>
      </c>
      <c r="L74" s="1127">
        <f>'Quarterly Model'!AP163</f>
        <v>453</v>
      </c>
      <c r="M74" s="1128">
        <f>'Quarterly Model'!AQ163</f>
        <v>0</v>
      </c>
      <c r="N74" s="1128">
        <f>'Quarterly Model'!AR163</f>
        <v>255</v>
      </c>
      <c r="O74" s="1128">
        <f>'Quarterly Model'!AS163</f>
        <v>129</v>
      </c>
      <c r="P74" s="1128">
        <f>'Quarterly Model'!AT163</f>
        <v>0</v>
      </c>
      <c r="Q74" s="1127">
        <f>'Quarterly Model'!AU163</f>
        <v>516</v>
      </c>
      <c r="R74" s="1126">
        <f>'Quarterly Model'!AV163</f>
        <v>141</v>
      </c>
      <c r="S74" s="1128">
        <f>'Quarterly Model'!AW163</f>
        <v>150</v>
      </c>
      <c r="T74" s="1128">
        <f>'Quarterly Model'!AX163</f>
        <v>153</v>
      </c>
      <c r="U74" s="1128">
        <f>'Quarterly Model'!AY163</f>
        <v>164</v>
      </c>
      <c r="V74" s="1127">
        <f>'Quarterly Model'!AZ163</f>
        <v>608</v>
      </c>
      <c r="W74" s="1128">
        <f>'Quarterly Model'!BA163</f>
        <v>174</v>
      </c>
      <c r="X74" s="1128">
        <f>'Quarterly Model'!BB163</f>
        <v>176</v>
      </c>
      <c r="Y74" s="1128">
        <f>'Quarterly Model'!BC163</f>
        <v>185</v>
      </c>
      <c r="Z74" s="1128">
        <f>'Quarterly Model'!BD163</f>
        <v>189</v>
      </c>
      <c r="AA74" s="1127">
        <f>'Quarterly Model'!BE163</f>
        <v>724</v>
      </c>
      <c r="AB74" s="1128">
        <f>'Quarterly Model'!BF163</f>
        <v>183</v>
      </c>
      <c r="AC74" s="1128">
        <f>'Quarterly Model'!BG163</f>
        <v>201</v>
      </c>
      <c r="AD74" s="1128">
        <f>'Quarterly Model'!BH163</f>
        <v>194</v>
      </c>
      <c r="AE74" s="1128">
        <f>'Quarterly Model'!BI163</f>
        <v>227</v>
      </c>
      <c r="AF74" s="1127">
        <f>'Quarterly Model'!BJ163</f>
        <v>805</v>
      </c>
      <c r="AG74" s="1128">
        <f>'Quarterly Model'!BK163</f>
        <v>185</v>
      </c>
      <c r="AH74" s="1128">
        <f>'Quarterly Model'!BL163</f>
        <v>136.5</v>
      </c>
      <c r="AI74" s="1128">
        <f>'Quarterly Model'!BM163</f>
        <v>138</v>
      </c>
      <c r="AJ74" s="1128">
        <f>'Quarterly Model'!BN163</f>
        <v>139.5</v>
      </c>
      <c r="AK74" s="1127">
        <f>'Quarterly Model'!BO163</f>
        <v>599</v>
      </c>
      <c r="AL74" s="1128">
        <f>'Quarterly Model'!BP163</f>
        <v>142.5</v>
      </c>
      <c r="AM74" s="1128">
        <f>'Quarterly Model'!BQ163</f>
        <v>144</v>
      </c>
      <c r="AN74" s="1128">
        <f>'Quarterly Model'!BR163</f>
        <v>145.5</v>
      </c>
      <c r="AO74" s="1128">
        <f>'Quarterly Model'!BS163</f>
        <v>147</v>
      </c>
      <c r="AP74" s="1127">
        <f>'Quarterly Model'!BT163</f>
        <v>579</v>
      </c>
      <c r="AQ74" s="1128">
        <f>'Quarterly Model'!BU163</f>
        <v>152</v>
      </c>
      <c r="AR74" s="1128">
        <f>'Quarterly Model'!BV163</f>
        <v>153.5</v>
      </c>
      <c r="AS74" s="1128">
        <f>'Quarterly Model'!BW163</f>
        <v>155</v>
      </c>
      <c r="AT74" s="1128">
        <f>'Quarterly Model'!BX163</f>
        <v>156.5</v>
      </c>
      <c r="AU74" s="1127">
        <f>'Quarterly Model'!BY163</f>
        <v>617</v>
      </c>
      <c r="AV74" s="1128">
        <f>'Quarterly Model'!BZ163</f>
        <v>161.5</v>
      </c>
      <c r="AW74" s="1128">
        <f>'Quarterly Model'!CA163</f>
        <v>163</v>
      </c>
      <c r="AX74" s="1128">
        <f>'Quarterly Model'!CB163</f>
        <v>164.5</v>
      </c>
      <c r="AY74" s="1128">
        <f>'Quarterly Model'!CC163</f>
        <v>166</v>
      </c>
      <c r="AZ74" s="1127">
        <f>'Quarterly Model'!CD163</f>
        <v>655</v>
      </c>
    </row>
    <row r="75" spans="2:52">
      <c r="B75" s="373" t="str">
        <f>'Quarterly Model'!B164</f>
        <v>Stock-based compensation</v>
      </c>
      <c r="C75" s="142">
        <f>'Quarterly Model'!AG164</f>
        <v>0</v>
      </c>
      <c r="D75" s="142">
        <f>'Quarterly Model'!AH164</f>
        <v>0</v>
      </c>
      <c r="E75" s="142">
        <f>'Quarterly Model'!AI164</f>
        <v>0</v>
      </c>
      <c r="F75" s="142">
        <f>'Quarterly Model'!AJ164</f>
        <v>0</v>
      </c>
      <c r="G75" s="1127">
        <f>'Quarterly Model'!AK164</f>
        <v>205</v>
      </c>
      <c r="H75" s="1128">
        <f>'Quarterly Model'!AL164</f>
        <v>0</v>
      </c>
      <c r="I75" s="1128">
        <f>'Quarterly Model'!AM164</f>
        <v>0</v>
      </c>
      <c r="J75" s="1128">
        <f>'Quarterly Model'!AN164</f>
        <v>0</v>
      </c>
      <c r="K75" s="1128">
        <f>'Quarterly Model'!AO164</f>
        <v>0</v>
      </c>
      <c r="L75" s="1127">
        <f>'Quarterly Model'!AP164</f>
        <v>253</v>
      </c>
      <c r="M75" s="1128">
        <f>'Quarterly Model'!AQ164</f>
        <v>0</v>
      </c>
      <c r="N75" s="1128">
        <f>'Quarterly Model'!AR164</f>
        <v>143</v>
      </c>
      <c r="O75" s="1128">
        <f>'Quarterly Model'!AS164</f>
        <v>75</v>
      </c>
      <c r="P75" s="1128">
        <f>'Quarterly Model'!AT164</f>
        <v>0</v>
      </c>
      <c r="Q75" s="1127">
        <f>'Quarterly Model'!AU164</f>
        <v>299</v>
      </c>
      <c r="R75" s="1126">
        <f>'Quarterly Model'!AV164</f>
        <v>79</v>
      </c>
      <c r="S75" s="1128">
        <f>'Quarterly Model'!AW164</f>
        <v>83</v>
      </c>
      <c r="T75" s="1128">
        <f>'Quarterly Model'!AX164</f>
        <v>94</v>
      </c>
      <c r="U75" s="1128">
        <f>'Quarterly Model'!AY164</f>
        <v>90</v>
      </c>
      <c r="V75" s="1127">
        <f>'Quarterly Model'!AZ164</f>
        <v>346</v>
      </c>
      <c r="W75" s="1128">
        <f>'Quarterly Model'!BA164</f>
        <v>95</v>
      </c>
      <c r="X75" s="1128">
        <f>'Quarterly Model'!BB164</f>
        <v>111</v>
      </c>
      <c r="Y75" s="1128">
        <f>'Quarterly Model'!BC164</f>
        <v>107</v>
      </c>
      <c r="Z75" s="1128">
        <f>'Quarterly Model'!BD164</f>
        <v>125</v>
      </c>
      <c r="AA75" s="1127">
        <f>'Quarterly Model'!BE164</f>
        <v>438</v>
      </c>
      <c r="AB75" s="1128">
        <f>'Quarterly Model'!BF164</f>
        <v>145</v>
      </c>
      <c r="AC75" s="1128">
        <f>'Quarterly Model'!BG164</f>
        <v>176</v>
      </c>
      <c r="AD75" s="1128">
        <f>'Quarterly Model'!BH164</f>
        <v>193</v>
      </c>
      <c r="AE75" s="1128">
        <f>'Quarterly Model'!BI164</f>
        <v>219</v>
      </c>
      <c r="AF75" s="1127">
        <f>'Quarterly Model'!BJ164</f>
        <v>733</v>
      </c>
      <c r="AG75" s="1128">
        <f>'Quarterly Model'!BK164</f>
        <v>205</v>
      </c>
      <c r="AH75" s="1128">
        <f>'Quarterly Model'!BL164</f>
        <v>249.88400174481046</v>
      </c>
      <c r="AI75" s="1128">
        <f>'Quarterly Model'!BM164</f>
        <v>239.48080925671104</v>
      </c>
      <c r="AJ75" s="1128">
        <f>'Quarterly Model'!BN164</f>
        <v>277.40152192097662</v>
      </c>
      <c r="AK75" s="1127">
        <f>'Quarterly Model'!BO164</f>
        <v>971.76633292249812</v>
      </c>
      <c r="AL75" s="1128">
        <f>'Quarterly Model'!BP164</f>
        <v>244.95257303569332</v>
      </c>
      <c r="AM75" s="1128">
        <f>'Quarterly Model'!BQ164</f>
        <v>254.65861086488249</v>
      </c>
      <c r="AN75" s="1128">
        <f>'Quarterly Model'!BR164</f>
        <v>262.00517937187425</v>
      </c>
      <c r="AO75" s="1128">
        <f>'Quarterly Model'!BS164</f>
        <v>303.66928500221997</v>
      </c>
      <c r="AP75" s="1127">
        <f>'Quarterly Model'!BT164</f>
        <v>1065.2856482746702</v>
      </c>
      <c r="AQ75" s="1128">
        <f>'Quarterly Model'!BU164</f>
        <v>293.52806482153574</v>
      </c>
      <c r="AR75" s="1128">
        <f>'Quarterly Model'!BV164</f>
        <v>306.25001650402959</v>
      </c>
      <c r="AS75" s="1128">
        <f>'Quarterly Model'!BW164</f>
        <v>309.65365692339259</v>
      </c>
      <c r="AT75" s="1128">
        <f>'Quarterly Model'!BX164</f>
        <v>360.17549494535558</v>
      </c>
      <c r="AU75" s="1127">
        <f>'Quarterly Model'!BY164</f>
        <v>1269.6072331943137</v>
      </c>
      <c r="AV75" s="1128">
        <f>'Quarterly Model'!BZ164</f>
        <v>318.13794987026972</v>
      </c>
      <c r="AW75" s="1128">
        <f>'Quarterly Model'!CA164</f>
        <v>332.48787669830244</v>
      </c>
      <c r="AX75" s="1128">
        <f>'Quarterly Model'!CB164</f>
        <v>338.44835212453449</v>
      </c>
      <c r="AY75" s="1128">
        <f>'Quarterly Model'!CC164</f>
        <v>394.27349586610052</v>
      </c>
      <c r="AZ75" s="1127">
        <f>'Quarterly Model'!CD164</f>
        <v>1383.3476745592072</v>
      </c>
    </row>
    <row r="76" spans="2:52">
      <c r="B76" s="373" t="str">
        <f>'Quarterly Model'!B165</f>
        <v>Deferred income taxes</v>
      </c>
      <c r="C76" s="142">
        <f>'Quarterly Model'!AG165</f>
        <v>0</v>
      </c>
      <c r="D76" s="142">
        <f>'Quarterly Model'!AH165</f>
        <v>0</v>
      </c>
      <c r="E76" s="142">
        <f>'Quarterly Model'!AI165</f>
        <v>0</v>
      </c>
      <c r="F76" s="142">
        <f>'Quarterly Model'!AJ165</f>
        <v>0</v>
      </c>
      <c r="G76" s="1127">
        <f>'Quarterly Model'!AK165</f>
        <v>46</v>
      </c>
      <c r="H76" s="1128">
        <f>'Quarterly Model'!AL165</f>
        <v>0</v>
      </c>
      <c r="I76" s="1128">
        <f>'Quarterly Model'!AM165</f>
        <v>0</v>
      </c>
      <c r="J76" s="1128">
        <f>'Quarterly Model'!AN165</f>
        <v>0</v>
      </c>
      <c r="K76" s="1128">
        <f>'Quarterly Model'!AO165</f>
        <v>0</v>
      </c>
      <c r="L76" s="1127">
        <f>'Quarterly Model'!AP165</f>
        <v>52</v>
      </c>
      <c r="M76" s="1128">
        <f>'Quarterly Model'!AQ165</f>
        <v>0</v>
      </c>
      <c r="N76" s="1128">
        <f>'Quarterly Model'!AR165</f>
        <v>695</v>
      </c>
      <c r="O76" s="1128">
        <f>'Quarterly Model'!AS165</f>
        <v>-18</v>
      </c>
      <c r="P76" s="1128">
        <f>'Quarterly Model'!AT165</f>
        <v>0</v>
      </c>
      <c r="Q76" s="1127">
        <f>'Quarterly Model'!AU165</f>
        <v>680</v>
      </c>
      <c r="R76" s="1126">
        <f>'Quarterly Model'!AV165</f>
        <v>49</v>
      </c>
      <c r="S76" s="1128">
        <f>'Quarterly Model'!AW165</f>
        <v>43</v>
      </c>
      <c r="T76" s="1128">
        <f>'Quarterly Model'!AX165</f>
        <v>-5</v>
      </c>
      <c r="U76" s="1128">
        <f>'Quarterly Model'!AY165</f>
        <v>40</v>
      </c>
      <c r="V76" s="1127">
        <f>'Quarterly Model'!AZ165</f>
        <v>127</v>
      </c>
      <c r="W76" s="1128">
        <f>'Quarterly Model'!BA165</f>
        <v>22</v>
      </c>
      <c r="X76" s="1128">
        <f>'Quarterly Model'!BB165</f>
        <v>66</v>
      </c>
      <c r="Y76" s="1128">
        <f>'Quarterly Model'!BC165</f>
        <v>-17</v>
      </c>
      <c r="Z76" s="1128">
        <f>'Quarterly Model'!BD165</f>
        <v>-19</v>
      </c>
      <c r="AA76" s="1127">
        <f>'Quarterly Model'!BE165</f>
        <v>52</v>
      </c>
      <c r="AB76" s="1128">
        <f>'Quarterly Model'!BF165</f>
        <v>53</v>
      </c>
      <c r="AC76" s="1128">
        <f>'Quarterly Model'!BG165</f>
        <v>49</v>
      </c>
      <c r="AD76" s="1128">
        <f>'Quarterly Model'!BH165</f>
        <v>-89</v>
      </c>
      <c r="AE76" s="1128">
        <f>'Quarterly Model'!BI165</f>
        <v>-1312</v>
      </c>
      <c r="AF76" s="1127">
        <f>'Quarterly Model'!BJ165</f>
        <v>-1299</v>
      </c>
      <c r="AG76" s="1128">
        <f>'Quarterly Model'!BK165</f>
        <v>91</v>
      </c>
      <c r="AH76" s="1128">
        <f>'Quarterly Model'!BL165</f>
        <v>0</v>
      </c>
      <c r="AI76" s="1128">
        <f>'Quarterly Model'!BM165</f>
        <v>0</v>
      </c>
      <c r="AJ76" s="1128">
        <f>'Quarterly Model'!BN165</f>
        <v>0</v>
      </c>
      <c r="AK76" s="1127">
        <f>'Quarterly Model'!BO165</f>
        <v>91</v>
      </c>
      <c r="AL76" s="1128">
        <f>'Quarterly Model'!BP165</f>
        <v>0</v>
      </c>
      <c r="AM76" s="1128">
        <f>'Quarterly Model'!BQ165</f>
        <v>0</v>
      </c>
      <c r="AN76" s="1128">
        <f>'Quarterly Model'!BR165</f>
        <v>0</v>
      </c>
      <c r="AO76" s="1128">
        <f>'Quarterly Model'!BS165</f>
        <v>0</v>
      </c>
      <c r="AP76" s="1127">
        <f>'Quarterly Model'!BT165</f>
        <v>0</v>
      </c>
      <c r="AQ76" s="1128">
        <f>'Quarterly Model'!BU165</f>
        <v>0</v>
      </c>
      <c r="AR76" s="1128">
        <f>'Quarterly Model'!BV165</f>
        <v>0</v>
      </c>
      <c r="AS76" s="1128">
        <f>'Quarterly Model'!BW165</f>
        <v>0</v>
      </c>
      <c r="AT76" s="1128">
        <f>'Quarterly Model'!BX165</f>
        <v>0</v>
      </c>
      <c r="AU76" s="1127">
        <f>'Quarterly Model'!BY165</f>
        <v>0</v>
      </c>
      <c r="AV76" s="1128">
        <f>'Quarterly Model'!BZ165</f>
        <v>0</v>
      </c>
      <c r="AW76" s="1128">
        <f>'Quarterly Model'!CA165</f>
        <v>0</v>
      </c>
      <c r="AX76" s="1128">
        <f>'Quarterly Model'!CB165</f>
        <v>0</v>
      </c>
      <c r="AY76" s="1128">
        <f>'Quarterly Model'!CC165</f>
        <v>0</v>
      </c>
      <c r="AZ76" s="1127">
        <f>'Quarterly Model'!CD165</f>
        <v>0</v>
      </c>
    </row>
    <row r="77" spans="2:52">
      <c r="B77" s="373" t="str">
        <f>'Quarterly Model'!B166</f>
        <v>Excess tax benefits from stock-based compensation</v>
      </c>
      <c r="C77" s="142">
        <f>'Quarterly Model'!AG166</f>
        <v>0</v>
      </c>
      <c r="D77" s="142">
        <f>'Quarterly Model'!AH166</f>
        <v>0</v>
      </c>
      <c r="E77" s="142">
        <f>'Quarterly Model'!AI166</f>
        <v>0</v>
      </c>
      <c r="F77" s="142">
        <f>'Quarterly Model'!AJ166</f>
        <v>0</v>
      </c>
      <c r="G77" s="1127">
        <f>'Quarterly Model'!AK166</f>
        <v>-57</v>
      </c>
      <c r="H77" s="1128">
        <f>'Quarterly Model'!AL166</f>
        <v>0</v>
      </c>
      <c r="I77" s="1128">
        <f>'Quarterly Model'!AM166</f>
        <v>0</v>
      </c>
      <c r="J77" s="1128">
        <f>'Quarterly Model'!AN166</f>
        <v>0</v>
      </c>
      <c r="K77" s="1128">
        <f>'Quarterly Model'!AO166</f>
        <v>0</v>
      </c>
      <c r="L77" s="1127">
        <f>'Quarterly Model'!AP166</f>
        <v>-76</v>
      </c>
      <c r="M77" s="1128">
        <f>'Quarterly Model'!AQ166</f>
        <v>0</v>
      </c>
      <c r="N77" s="1128">
        <f>'Quarterly Model'!AR166</f>
        <v>-33</v>
      </c>
      <c r="O77" s="1128">
        <f>'Quarterly Model'!AS166</f>
        <v>-2</v>
      </c>
      <c r="P77" s="1128">
        <f>'Quarterly Model'!AT166</f>
        <v>0</v>
      </c>
      <c r="Q77" s="1127">
        <f>'Quarterly Model'!AU166</f>
        <v>-41</v>
      </c>
      <c r="R77" s="1126">
        <f>'Quarterly Model'!AV166</f>
        <v>-8</v>
      </c>
      <c r="S77" s="1128">
        <f>'Quarterly Model'!AW166</f>
        <v>-8</v>
      </c>
      <c r="T77" s="1128">
        <f>'Quarterly Model'!AX166</f>
        <v>-8</v>
      </c>
      <c r="U77" s="1128">
        <f>'Quarterly Model'!AY166</f>
        <v>-2</v>
      </c>
      <c r="V77" s="1127">
        <f>'Quarterly Model'!AZ166</f>
        <v>-26</v>
      </c>
      <c r="W77" s="1128">
        <f>'Quarterly Model'!BA166</f>
        <v>-1</v>
      </c>
      <c r="X77" s="1128">
        <f>'Quarterly Model'!BB166</f>
        <v>-31</v>
      </c>
      <c r="Y77" s="1128">
        <f>'Quarterly Model'!BC166</f>
        <v>-4</v>
      </c>
      <c r="Z77" s="1128">
        <f>'Quarterly Model'!BD166</f>
        <v>-4</v>
      </c>
      <c r="AA77" s="1127">
        <f>'Quarterly Model'!BE166</f>
        <v>-40</v>
      </c>
      <c r="AB77" s="1128">
        <f>'Quarterly Model'!BF166</f>
        <v>0</v>
      </c>
      <c r="AC77" s="1128">
        <f>'Quarterly Model'!BG166</f>
        <v>0</v>
      </c>
      <c r="AD77" s="1128">
        <f>'Quarterly Model'!BH166</f>
        <v>0</v>
      </c>
      <c r="AE77" s="1128">
        <f>'Quarterly Model'!BI166</f>
        <v>0</v>
      </c>
      <c r="AF77" s="1127">
        <f>'Quarterly Model'!BJ166</f>
        <v>0</v>
      </c>
      <c r="AG77" s="1128">
        <f>'Quarterly Model'!BK166</f>
        <v>0</v>
      </c>
      <c r="AH77" s="1128">
        <f>'Quarterly Model'!BL166</f>
        <v>0</v>
      </c>
      <c r="AI77" s="1128">
        <f>'Quarterly Model'!BM166</f>
        <v>0</v>
      </c>
      <c r="AJ77" s="1128">
        <f>'Quarterly Model'!BN166</f>
        <v>0</v>
      </c>
      <c r="AK77" s="1127">
        <f>'Quarterly Model'!BO166</f>
        <v>0</v>
      </c>
      <c r="AL77" s="1128">
        <f>'Quarterly Model'!BP166</f>
        <v>0</v>
      </c>
      <c r="AM77" s="1128">
        <f>'Quarterly Model'!BQ166</f>
        <v>0</v>
      </c>
      <c r="AN77" s="1128">
        <f>'Quarterly Model'!BR166</f>
        <v>0</v>
      </c>
      <c r="AO77" s="1128">
        <f>'Quarterly Model'!BS166</f>
        <v>0</v>
      </c>
      <c r="AP77" s="1127">
        <f>'Quarterly Model'!BT166</f>
        <v>0</v>
      </c>
      <c r="AQ77" s="1128">
        <f>'Quarterly Model'!BU166</f>
        <v>0</v>
      </c>
      <c r="AR77" s="1128">
        <f>'Quarterly Model'!BV166</f>
        <v>0</v>
      </c>
      <c r="AS77" s="1128">
        <f>'Quarterly Model'!BW166</f>
        <v>0</v>
      </c>
      <c r="AT77" s="1128">
        <f>'Quarterly Model'!BX166</f>
        <v>0</v>
      </c>
      <c r="AU77" s="1127">
        <f>'Quarterly Model'!BY166</f>
        <v>0</v>
      </c>
      <c r="AV77" s="1128">
        <f>'Quarterly Model'!BZ166</f>
        <v>0</v>
      </c>
      <c r="AW77" s="1128">
        <f>'Quarterly Model'!CA166</f>
        <v>0</v>
      </c>
      <c r="AX77" s="1128">
        <f>'Quarterly Model'!CB166</f>
        <v>0</v>
      </c>
      <c r="AY77" s="1128">
        <f>'Quarterly Model'!CC166</f>
        <v>0</v>
      </c>
      <c r="AZ77" s="1127">
        <f>'Quarterly Model'!CD166</f>
        <v>0</v>
      </c>
    </row>
    <row r="78" spans="2:52">
      <c r="B78" s="372" t="str">
        <f>'Quarterly Model'!B168</f>
        <v>Change in operating assets and liabilities:</v>
      </c>
      <c r="C78" s="142">
        <f>'Quarterly Model'!AG168</f>
        <v>0</v>
      </c>
      <c r="D78" s="142">
        <f>'Quarterly Model'!AH168</f>
        <v>0</v>
      </c>
      <c r="E78" s="142">
        <f>'Quarterly Model'!AI168</f>
        <v>0</v>
      </c>
      <c r="F78" s="142">
        <f>'Quarterly Model'!AJ168</f>
        <v>0</v>
      </c>
      <c r="G78" s="1127"/>
      <c r="H78" s="1128"/>
      <c r="I78" s="1128"/>
      <c r="J78" s="1128"/>
      <c r="K78" s="1128"/>
      <c r="L78" s="1127"/>
      <c r="M78" s="1128"/>
      <c r="N78" s="1128"/>
      <c r="O78" s="1128"/>
      <c r="P78" s="1128"/>
      <c r="Q78" s="1127"/>
      <c r="R78" s="1126"/>
      <c r="S78" s="1172"/>
      <c r="T78" s="1128"/>
      <c r="U78" s="1128"/>
      <c r="V78" s="1127"/>
      <c r="W78" s="1128"/>
      <c r="X78" s="1128"/>
      <c r="Y78" s="1128"/>
      <c r="Z78" s="1128"/>
      <c r="AA78" s="1127"/>
      <c r="AB78" s="1128"/>
      <c r="AC78" s="1128"/>
      <c r="AD78" s="1128"/>
      <c r="AE78" s="1128"/>
      <c r="AF78" s="1127"/>
      <c r="AG78" s="1128"/>
      <c r="AH78" s="1128"/>
      <c r="AI78" s="1128"/>
      <c r="AJ78" s="1128"/>
      <c r="AK78" s="1127"/>
      <c r="AL78" s="1128"/>
      <c r="AM78" s="1128"/>
      <c r="AN78" s="1128"/>
      <c r="AO78" s="1128"/>
      <c r="AP78" s="1127"/>
      <c r="AQ78" s="1128"/>
      <c r="AR78" s="1128"/>
      <c r="AS78" s="1128"/>
      <c r="AT78" s="1128"/>
      <c r="AU78" s="1127"/>
      <c r="AV78" s="1128"/>
      <c r="AW78" s="1128"/>
      <c r="AX78" s="1128"/>
      <c r="AY78" s="1128"/>
      <c r="AZ78" s="1127"/>
    </row>
    <row r="79" spans="2:52">
      <c r="B79" s="373" t="str">
        <f>'Quarterly Model'!B169</f>
        <v>Accounts receivables</v>
      </c>
      <c r="C79" s="142">
        <f>'Quarterly Model'!AG169</f>
        <v>0</v>
      </c>
      <c r="D79" s="142">
        <f>'Quarterly Model'!AH169</f>
        <v>0</v>
      </c>
      <c r="E79" s="142">
        <f>'Quarterly Model'!AI169</f>
        <v>0</v>
      </c>
      <c r="F79" s="142">
        <f>'Quarterly Model'!AJ169</f>
        <v>0</v>
      </c>
      <c r="G79" s="1127">
        <f>'Quarterly Model'!AK169</f>
        <v>-20</v>
      </c>
      <c r="H79" s="1128">
        <f>'Quarterly Model'!AL169</f>
        <v>0</v>
      </c>
      <c r="I79" s="1128">
        <f>'Quarterly Model'!AM169</f>
        <v>0</v>
      </c>
      <c r="J79" s="1128">
        <f>'Quarterly Model'!AN169</f>
        <v>0</v>
      </c>
      <c r="K79" s="1128">
        <f>'Quarterly Model'!AO169</f>
        <v>0</v>
      </c>
      <c r="L79" s="1127">
        <f>'Quarterly Model'!AP169</f>
        <v>1</v>
      </c>
      <c r="M79" s="1128">
        <f>'Quarterly Model'!AQ169</f>
        <v>0</v>
      </c>
      <c r="N79" s="1128">
        <f>'Quarterly Model'!AR169</f>
        <v>1</v>
      </c>
      <c r="O79" s="1128">
        <f>'Quarterly Model'!AS169</f>
        <v>1</v>
      </c>
      <c r="P79" s="1128">
        <f>'Quarterly Model'!AT169</f>
        <v>0</v>
      </c>
      <c r="Q79" s="1127">
        <f>'Quarterly Model'!AU169</f>
        <v>-13</v>
      </c>
      <c r="R79" s="1126">
        <f>'Quarterly Model'!AV169</f>
        <v>12</v>
      </c>
      <c r="S79" s="1172">
        <f>'Quarterly Model'!AW169</f>
        <v>-25</v>
      </c>
      <c r="T79" s="1128">
        <f>'Quarterly Model'!AX169</f>
        <v>-85</v>
      </c>
      <c r="U79" s="1128">
        <f>'Quarterly Model'!AY169</f>
        <v>76</v>
      </c>
      <c r="V79" s="1127">
        <f>'Quarterly Model'!AZ169</f>
        <v>-22</v>
      </c>
      <c r="W79" s="1128">
        <f>'Quarterly Model'!BA169</f>
        <v>-22</v>
      </c>
      <c r="X79" s="1128">
        <f>'Quarterly Model'!BB169</f>
        <v>-8</v>
      </c>
      <c r="Y79" s="1128">
        <f>'Quarterly Model'!BC169</f>
        <v>-20</v>
      </c>
      <c r="Z79" s="1128">
        <f>'Quarterly Model'!BD169</f>
        <v>-27</v>
      </c>
      <c r="AA79" s="1127">
        <f>'Quarterly Model'!BE169</f>
        <v>-77</v>
      </c>
      <c r="AB79" s="1128">
        <f>'Quarterly Model'!BF169</f>
        <v>36</v>
      </c>
      <c r="AC79" s="1128">
        <f>'Quarterly Model'!BG169</f>
        <v>2</v>
      </c>
      <c r="AD79" s="1128">
        <f>'Quarterly Model'!BH169</f>
        <v>-43</v>
      </c>
      <c r="AE79" s="1128">
        <f>'Quarterly Model'!BI169</f>
        <v>17</v>
      </c>
      <c r="AF79" s="1127">
        <f>'Quarterly Model'!BJ169</f>
        <v>12</v>
      </c>
      <c r="AG79" s="1128">
        <f>'Quarterly Model'!BK169</f>
        <v>25</v>
      </c>
      <c r="AH79" s="1128">
        <f>'Quarterly Model'!BL169</f>
        <v>-9.51067406705846</v>
      </c>
      <c r="AI79" s="1128">
        <f>'Quarterly Model'!BM169</f>
        <v>11.137027642861597</v>
      </c>
      <c r="AJ79" s="1128">
        <f>'Quarterly Model'!BN169</f>
        <v>-40.595617706973144</v>
      </c>
      <c r="AK79" s="1127">
        <f>'Quarterly Model'!BO169</f>
        <v>-13.969264131170007</v>
      </c>
      <c r="AL79" s="1128">
        <f>'Quarterly Model'!BP169</f>
        <v>-20.56184906324728</v>
      </c>
      <c r="AM79" s="1128">
        <f>'Quarterly Model'!BQ169</f>
        <v>-12.581900889689678</v>
      </c>
      <c r="AN79" s="1128">
        <f>'Quarterly Model'!BR169</f>
        <v>-9.5233295461003991</v>
      </c>
      <c r="AO79" s="1128">
        <f>'Quarterly Model'!BS169</f>
        <v>-54.009025817114832</v>
      </c>
      <c r="AP79" s="1127">
        <f>'Quarterly Model'!BT169</f>
        <v>-96.676105316152189</v>
      </c>
      <c r="AQ79" s="1128">
        <f>'Quarterly Model'!BU169</f>
        <v>75.457765304736029</v>
      </c>
      <c r="AR79" s="1128">
        <f>'Quarterly Model'!BV169</f>
        <v>-13.790733531158651</v>
      </c>
      <c r="AS79" s="1128">
        <f>'Quarterly Model'!BW169</f>
        <v>-3.6895831104205854</v>
      </c>
      <c r="AT79" s="1128">
        <f>'Quarterly Model'!BX169</f>
        <v>-54.766220078008644</v>
      </c>
      <c r="AU79" s="1127">
        <f>'Quarterly Model'!BY169</f>
        <v>3.2112285851481488</v>
      </c>
      <c r="AV79" s="1128">
        <f>'Quarterly Model'!BZ169</f>
        <v>24.758336413588154</v>
      </c>
      <c r="AW79" s="1128">
        <f>'Quarterly Model'!CA169</f>
        <v>-16.494168767853637</v>
      </c>
      <c r="AX79" s="1128">
        <f>'Quarterly Model'!CB169</f>
        <v>-6.851121179577035</v>
      </c>
      <c r="AY79" s="1128">
        <f>'Quarterly Model'!CC169</f>
        <v>-64.166831886857608</v>
      </c>
      <c r="AZ79" s="1127">
        <f>'Quarterly Model'!CD169</f>
        <v>-62.753785420700126</v>
      </c>
    </row>
    <row r="80" spans="2:52">
      <c r="B80" s="373" t="str">
        <f>'Quarterly Model'!B170</f>
        <v>Notes and receivable from affiliates</v>
      </c>
      <c r="C80" s="142">
        <f>'Quarterly Model'!AG170</f>
        <v>0</v>
      </c>
      <c r="D80" s="142">
        <f>'Quarterly Model'!AH170</f>
        <v>0</v>
      </c>
      <c r="E80" s="142">
        <f>'Quarterly Model'!AI170</f>
        <v>0</v>
      </c>
      <c r="F80" s="142">
        <f>'Quarterly Model'!AJ170</f>
        <v>0</v>
      </c>
      <c r="G80" s="1127">
        <f>'Quarterly Model'!AK170</f>
        <v>-77</v>
      </c>
      <c r="H80" s="1128">
        <f>'Quarterly Model'!AL170</f>
        <v>0</v>
      </c>
      <c r="I80" s="1128">
        <f>'Quarterly Model'!AM170</f>
        <v>0</v>
      </c>
      <c r="J80" s="1128">
        <f>'Quarterly Model'!AN170</f>
        <v>0</v>
      </c>
      <c r="K80" s="1128">
        <f>'Quarterly Model'!AO170</f>
        <v>0</v>
      </c>
      <c r="L80" s="1127">
        <f>'Quarterly Model'!AP170</f>
        <v>79</v>
      </c>
      <c r="M80" s="1128">
        <f>'Quarterly Model'!AQ170</f>
        <v>0</v>
      </c>
      <c r="N80" s="1128">
        <f>'Quarterly Model'!AR170</f>
        <v>-87</v>
      </c>
      <c r="O80" s="1128">
        <f>'Quarterly Model'!AS170</f>
        <v>111</v>
      </c>
      <c r="P80" s="1128">
        <f>'Quarterly Model'!AT170</f>
        <v>0</v>
      </c>
      <c r="Q80" s="1127">
        <f>'Quarterly Model'!AU170</f>
        <v>-24</v>
      </c>
      <c r="R80" s="1126">
        <f>'Quarterly Model'!AV170</f>
        <v>-38</v>
      </c>
      <c r="S80" s="1172">
        <f>'Quarterly Model'!AW170</f>
        <v>80</v>
      </c>
      <c r="T80" s="1128">
        <f>'Quarterly Model'!AX170</f>
        <v>79</v>
      </c>
      <c r="U80" s="1128">
        <f>'Quarterly Model'!AY170</f>
        <v>0</v>
      </c>
      <c r="V80" s="1127">
        <f>'Quarterly Model'!AZ170</f>
        <v>121</v>
      </c>
      <c r="W80" s="1128">
        <f>'Quarterly Model'!BA170</f>
        <v>0</v>
      </c>
      <c r="X80" s="1128">
        <f>'Quarterly Model'!BB170</f>
        <v>0</v>
      </c>
      <c r="Y80" s="1128">
        <f>'Quarterly Model'!BC170</f>
        <v>0</v>
      </c>
      <c r="Z80" s="1128">
        <f>'Quarterly Model'!BD170</f>
        <v>0</v>
      </c>
      <c r="AA80" s="1127">
        <f>'Quarterly Model'!BE170</f>
        <v>0</v>
      </c>
      <c r="AB80" s="1128">
        <f>'Quarterly Model'!BF170</f>
        <v>0</v>
      </c>
      <c r="AC80" s="1128">
        <f>'Quarterly Model'!BG170</f>
        <v>0</v>
      </c>
      <c r="AD80" s="1128">
        <f>'Quarterly Model'!BH170</f>
        <v>0</v>
      </c>
      <c r="AE80" s="1128">
        <f>'Quarterly Model'!BI170</f>
        <v>0</v>
      </c>
      <c r="AF80" s="1127">
        <f>'Quarterly Model'!BJ170</f>
        <v>0</v>
      </c>
      <c r="AG80" s="1128">
        <f>'Quarterly Model'!BK170</f>
        <v>0</v>
      </c>
      <c r="AH80" s="1128">
        <f>'Quarterly Model'!BL170</f>
        <v>0</v>
      </c>
      <c r="AI80" s="1128">
        <f>'Quarterly Model'!BM170</f>
        <v>0</v>
      </c>
      <c r="AJ80" s="1128">
        <f>'Quarterly Model'!BN170</f>
        <v>0</v>
      </c>
      <c r="AK80" s="1127">
        <f>'Quarterly Model'!BO170</f>
        <v>0</v>
      </c>
      <c r="AL80" s="1128">
        <f>'Quarterly Model'!BP170</f>
        <v>0</v>
      </c>
      <c r="AM80" s="1128">
        <f>'Quarterly Model'!BQ170</f>
        <v>0</v>
      </c>
      <c r="AN80" s="1128">
        <f>'Quarterly Model'!BR170</f>
        <v>0</v>
      </c>
      <c r="AO80" s="1128">
        <f>'Quarterly Model'!BS170</f>
        <v>0</v>
      </c>
      <c r="AP80" s="1127">
        <f>'Quarterly Model'!BT170</f>
        <v>0</v>
      </c>
      <c r="AQ80" s="1128">
        <f>'Quarterly Model'!BU170</f>
        <v>0</v>
      </c>
      <c r="AR80" s="1128">
        <f>'Quarterly Model'!BV170</f>
        <v>0</v>
      </c>
      <c r="AS80" s="1128">
        <f>'Quarterly Model'!BW170</f>
        <v>0</v>
      </c>
      <c r="AT80" s="1128">
        <f>'Quarterly Model'!BX170</f>
        <v>0</v>
      </c>
      <c r="AU80" s="1127">
        <f>'Quarterly Model'!BY170</f>
        <v>0</v>
      </c>
      <c r="AV80" s="1128">
        <f>'Quarterly Model'!BZ170</f>
        <v>0</v>
      </c>
      <c r="AW80" s="1128">
        <f>'Quarterly Model'!CA170</f>
        <v>0</v>
      </c>
      <c r="AX80" s="1128">
        <f>'Quarterly Model'!CB170</f>
        <v>0</v>
      </c>
      <c r="AY80" s="1128">
        <f>'Quarterly Model'!CC170</f>
        <v>0</v>
      </c>
      <c r="AZ80" s="1127">
        <f>'Quarterly Model'!CD170</f>
        <v>0</v>
      </c>
    </row>
    <row r="81" spans="2:52">
      <c r="B81" s="373" t="str">
        <f>'Quarterly Model'!B172</f>
        <v>Other assets</v>
      </c>
      <c r="C81" s="142">
        <f>'Quarterly Model'!AG172</f>
        <v>0</v>
      </c>
      <c r="D81" s="142">
        <f>'Quarterly Model'!AH172</f>
        <v>0</v>
      </c>
      <c r="E81" s="142">
        <f>'Quarterly Model'!AI172</f>
        <v>0</v>
      </c>
      <c r="F81" s="142">
        <f>'Quarterly Model'!AJ172</f>
        <v>0</v>
      </c>
      <c r="G81" s="1127">
        <f>'Quarterly Model'!AK172</f>
        <v>-163</v>
      </c>
      <c r="H81" s="1128">
        <f>'Quarterly Model'!AL172</f>
        <v>0</v>
      </c>
      <c r="I81" s="1128">
        <f>'Quarterly Model'!AM172</f>
        <v>0</v>
      </c>
      <c r="J81" s="1128">
        <f>'Quarterly Model'!AN172</f>
        <v>0</v>
      </c>
      <c r="K81" s="1128">
        <f>'Quarterly Model'!AO172</f>
        <v>0</v>
      </c>
      <c r="L81" s="1127">
        <f>'Quarterly Model'!AP172</f>
        <v>-64</v>
      </c>
      <c r="M81" s="1128">
        <f>'Quarterly Model'!AQ172</f>
        <v>0</v>
      </c>
      <c r="N81" s="1128">
        <f>'Quarterly Model'!AR172</f>
        <v>-154</v>
      </c>
      <c r="O81" s="1128">
        <f>'Quarterly Model'!AS172</f>
        <v>-51</v>
      </c>
      <c r="P81" s="1128">
        <f>'Quarterly Model'!AT172</f>
        <v>0</v>
      </c>
      <c r="Q81" s="1127">
        <f>'Quarterly Model'!AU172</f>
        <v>-39</v>
      </c>
      <c r="R81" s="1126">
        <f>'Quarterly Model'!AV172</f>
        <v>-125</v>
      </c>
      <c r="S81" s="1172">
        <f>'Quarterly Model'!AW172</f>
        <v>-116</v>
      </c>
      <c r="T81" s="1128">
        <f>'Quarterly Model'!AX172</f>
        <v>0</v>
      </c>
      <c r="U81" s="1128">
        <f>'Quarterly Model'!AY172</f>
        <v>-227</v>
      </c>
      <c r="V81" s="1127">
        <f>'Quarterly Model'!AZ172</f>
        <v>-468</v>
      </c>
      <c r="W81" s="1128">
        <f>'Quarterly Model'!BA172</f>
        <v>-158</v>
      </c>
      <c r="X81" s="1128">
        <f>'Quarterly Model'!BB172</f>
        <v>-247</v>
      </c>
      <c r="Y81" s="1128">
        <f>'Quarterly Model'!BC172</f>
        <v>-64</v>
      </c>
      <c r="Z81" s="1128">
        <f>'Quarterly Model'!BD172</f>
        <v>-39</v>
      </c>
      <c r="AA81" s="1127">
        <f>'Quarterly Model'!BE172</f>
        <v>-508</v>
      </c>
      <c r="AB81" s="1128">
        <f>'Quarterly Model'!BF172</f>
        <v>-366</v>
      </c>
      <c r="AC81" s="1128">
        <f>'Quarterly Model'!BG172</f>
        <v>-235</v>
      </c>
      <c r="AD81" s="1128">
        <f>'Quarterly Model'!BH172</f>
        <v>5</v>
      </c>
      <c r="AE81" s="1128">
        <f>'Quarterly Model'!BI172</f>
        <v>1230</v>
      </c>
      <c r="AF81" s="1127">
        <f>'Quarterly Model'!BJ172</f>
        <v>634</v>
      </c>
      <c r="AG81" s="1128">
        <f>'Quarterly Model'!BK172</f>
        <v>-468</v>
      </c>
      <c r="AH81" s="1128">
        <f>'Quarterly Model'!BL172</f>
        <v>-179.02480578687397</v>
      </c>
      <c r="AI81" s="1128">
        <f>'Quarterly Model'!BM172</f>
        <v>-171.57162950611536</v>
      </c>
      <c r="AJ81" s="1128">
        <f>'Quarterly Model'!BN172</f>
        <v>-198.73922796226975</v>
      </c>
      <c r="AK81" s="1127">
        <f>'Quarterly Model'!BO172</f>
        <v>-1017.3356632552591</v>
      </c>
      <c r="AL81" s="1128">
        <f>'Quarterly Model'!BP172</f>
        <v>-191.2868276181089</v>
      </c>
      <c r="AM81" s="1128">
        <f>'Quarterly Model'!BQ172</f>
        <v>-198.86640582819945</v>
      </c>
      <c r="AN81" s="1128">
        <f>'Quarterly Model'!BR172</f>
        <v>-204.60344204776504</v>
      </c>
      <c r="AO81" s="1128">
        <f>'Quarterly Model'!BS172</f>
        <v>-237.13951420575501</v>
      </c>
      <c r="AP81" s="1127">
        <f>'Quarterly Model'!BT172</f>
        <v>-831.89618969982848</v>
      </c>
      <c r="AQ81" s="1128">
        <f>'Quarterly Model'!BU172</f>
        <v>-223.62936207032897</v>
      </c>
      <c r="AR81" s="1128">
        <f>'Quarterly Model'!BV172</f>
        <v>-233.32179792233308</v>
      </c>
      <c r="AS81" s="1128">
        <f>'Quarterly Model'!BW172</f>
        <v>-235.91491942218599</v>
      </c>
      <c r="AT81" s="1128">
        <f>'Quarterly Model'!BX172</f>
        <v>-274.40584332870009</v>
      </c>
      <c r="AU81" s="1127">
        <f>'Quarterly Model'!BY172</f>
        <v>-967.2719227435482</v>
      </c>
      <c r="AV81" s="1128">
        <f>'Quarterly Model'!BZ172</f>
        <v>-257.00513096275819</v>
      </c>
      <c r="AW81" s="1128">
        <f>'Quarterly Model'!CA172</f>
        <v>-268.59760154116117</v>
      </c>
      <c r="AX81" s="1128">
        <f>'Quarterly Model'!CB172</f>
        <v>-273.41272268010022</v>
      </c>
      <c r="AY81" s="1128">
        <f>'Quarterly Model'!CC172</f>
        <v>-318.51060674003884</v>
      </c>
      <c r="AZ81" s="1127">
        <f>'Quarterly Model'!CD172</f>
        <v>-1117.5260619240585</v>
      </c>
    </row>
    <row r="82" spans="2:52">
      <c r="B82" s="373" t="str">
        <f>'Quarterly Model'!B173</f>
        <v>Accounts payable</v>
      </c>
      <c r="C82" s="142">
        <f>'Quarterly Model'!AG173</f>
        <v>0</v>
      </c>
      <c r="D82" s="142">
        <f>'Quarterly Model'!AH173</f>
        <v>0</v>
      </c>
      <c r="E82" s="142">
        <f>'Quarterly Model'!AI173</f>
        <v>0</v>
      </c>
      <c r="F82" s="142">
        <f>'Quarterly Model'!AJ173</f>
        <v>0</v>
      </c>
      <c r="G82" s="1127">
        <f>'Quarterly Model'!AK173</f>
        <v>1</v>
      </c>
      <c r="H82" s="1128">
        <f>'Quarterly Model'!AL173</f>
        <v>0</v>
      </c>
      <c r="I82" s="1128">
        <f>'Quarterly Model'!AM173</f>
        <v>0</v>
      </c>
      <c r="J82" s="1128">
        <f>'Quarterly Model'!AN173</f>
        <v>0</v>
      </c>
      <c r="K82" s="1128">
        <f>'Quarterly Model'!AO173</f>
        <v>0</v>
      </c>
      <c r="L82" s="1127">
        <f>'Quarterly Model'!AP173</f>
        <v>-13</v>
      </c>
      <c r="M82" s="1128">
        <f>'Quarterly Model'!AQ173</f>
        <v>0</v>
      </c>
      <c r="N82" s="1128">
        <f>'Quarterly Model'!AR173</f>
        <v>27</v>
      </c>
      <c r="O82" s="1128">
        <f>'Quarterly Model'!AS173</f>
        <v>1</v>
      </c>
      <c r="P82" s="1128">
        <f>'Quarterly Model'!AT173</f>
        <v>0</v>
      </c>
      <c r="Q82" s="1127">
        <f>'Quarterly Model'!AU173</f>
        <v>42</v>
      </c>
      <c r="R82" s="1126">
        <f>'Quarterly Model'!AV173</f>
        <v>13</v>
      </c>
      <c r="S82" s="1172">
        <f>'Quarterly Model'!AW173</f>
        <v>25</v>
      </c>
      <c r="T82" s="1128">
        <f>'Quarterly Model'!AX173</f>
        <v>-36</v>
      </c>
      <c r="U82" s="1128">
        <f>'Quarterly Model'!AY173</f>
        <v>10</v>
      </c>
      <c r="V82" s="1127">
        <f>'Quarterly Model'!AZ173</f>
        <v>12</v>
      </c>
      <c r="W82" s="1128">
        <f>'Quarterly Model'!BA173</f>
        <v>13</v>
      </c>
      <c r="X82" s="1128">
        <f>'Quarterly Model'!BB173</f>
        <v>9</v>
      </c>
      <c r="Y82" s="1128">
        <f>'Quarterly Model'!BC173</f>
        <v>6</v>
      </c>
      <c r="Z82" s="1128">
        <f>'Quarterly Model'!BD173</f>
        <v>-17</v>
      </c>
      <c r="AA82" s="1127">
        <f>'Quarterly Model'!BE173</f>
        <v>11</v>
      </c>
      <c r="AB82" s="1128">
        <f>'Quarterly Model'!BF173</f>
        <v>-1</v>
      </c>
      <c r="AC82" s="1128">
        <f>'Quarterly Model'!BG173</f>
        <v>5</v>
      </c>
      <c r="AD82" s="1128">
        <f>'Quarterly Model'!BH173</f>
        <v>0</v>
      </c>
      <c r="AE82" s="1128">
        <f>'Quarterly Model'!BI173</f>
        <v>58</v>
      </c>
      <c r="AF82" s="1127">
        <f>'Quarterly Model'!BJ173</f>
        <v>62</v>
      </c>
      <c r="AG82" s="1128">
        <f>'Quarterly Model'!BK173</f>
        <v>-35</v>
      </c>
      <c r="AH82" s="1128">
        <f>'Quarterly Model'!BL173</f>
        <v>195.08404416167082</v>
      </c>
      <c r="AI82" s="1128">
        <f>'Quarterly Model'!BM173</f>
        <v>-56.593299261355412</v>
      </c>
      <c r="AJ82" s="1128">
        <f>'Quarterly Model'!BN173</f>
        <v>-42.71768590203078</v>
      </c>
      <c r="AK82" s="1127">
        <f>'Quarterly Model'!BO173</f>
        <v>60.773058998284625</v>
      </c>
      <c r="AL82" s="1128">
        <f>'Quarterly Model'!BP173</f>
        <v>-146.6882962006772</v>
      </c>
      <c r="AM82" s="1128">
        <f>'Quarterly Model'!BQ173</f>
        <v>5.3922432384383967</v>
      </c>
      <c r="AN82" s="1128">
        <f>'Quarterly Model'!BR173</f>
        <v>4.0814269483287546</v>
      </c>
      <c r="AO82" s="1128">
        <f>'Quarterly Model'!BS173</f>
        <v>23.146725350192071</v>
      </c>
      <c r="AP82" s="1127">
        <f>'Quarterly Model'!BT173</f>
        <v>-114.06790066371798</v>
      </c>
      <c r="AQ82" s="1128">
        <f>'Quarterly Model'!BU173</f>
        <v>-9.6113562632735636</v>
      </c>
      <c r="AR82" s="1128">
        <f>'Quarterly Model'!BV173</f>
        <v>6.8953667655793254</v>
      </c>
      <c r="AS82" s="1128">
        <f>'Quarterly Model'!BW173</f>
        <v>1.8447915552102927</v>
      </c>
      <c r="AT82" s="1128">
        <f>'Quarterly Model'!BX173</f>
        <v>27.383110039004322</v>
      </c>
      <c r="AU82" s="1127">
        <f>'Quarterly Model'!BY173</f>
        <v>26.511912096520376</v>
      </c>
      <c r="AV82" s="1128">
        <f>'Quarterly Model'!BZ173</f>
        <v>-12.379168206794077</v>
      </c>
      <c r="AW82" s="1128">
        <f>'Quarterly Model'!CA173</f>
        <v>8.2470843839268184</v>
      </c>
      <c r="AX82" s="1128">
        <f>'Quarterly Model'!CB173</f>
        <v>3.4255605897885175</v>
      </c>
      <c r="AY82" s="1128">
        <f>'Quarterly Model'!CC173</f>
        <v>32.083415943428804</v>
      </c>
      <c r="AZ82" s="1127">
        <f>'Quarterly Model'!CD173</f>
        <v>31.376892710350063</v>
      </c>
    </row>
    <row r="83" spans="2:52">
      <c r="B83" s="373" t="str">
        <f>'Quarterly Model'!B174</f>
        <v>Notes payable to affiliates</v>
      </c>
      <c r="C83" s="142">
        <f>'Quarterly Model'!AG174</f>
        <v>0</v>
      </c>
      <c r="D83" s="142">
        <f>'Quarterly Model'!AH174</f>
        <v>0</v>
      </c>
      <c r="E83" s="142">
        <f>'Quarterly Model'!AI174</f>
        <v>0</v>
      </c>
      <c r="F83" s="142">
        <f>'Quarterly Model'!AJ174</f>
        <v>0</v>
      </c>
      <c r="G83" s="1127">
        <f>'Quarterly Model'!AK174</f>
        <v>20</v>
      </c>
      <c r="H83" s="1128">
        <f>'Quarterly Model'!AL174</f>
        <v>0</v>
      </c>
      <c r="I83" s="1128">
        <f>'Quarterly Model'!AM174</f>
        <v>0</v>
      </c>
      <c r="J83" s="1128">
        <f>'Quarterly Model'!AN174</f>
        <v>0</v>
      </c>
      <c r="K83" s="1128">
        <f>'Quarterly Model'!AO174</f>
        <v>0</v>
      </c>
      <c r="L83" s="1127">
        <f>'Quarterly Model'!AP174</f>
        <v>43</v>
      </c>
      <c r="M83" s="1128">
        <f>'Quarterly Model'!AQ174</f>
        <v>0</v>
      </c>
      <c r="N83" s="1128">
        <f>'Quarterly Model'!AR174</f>
        <v>-43</v>
      </c>
      <c r="O83" s="1128">
        <f>'Quarterly Model'!AS174</f>
        <v>-73</v>
      </c>
      <c r="P83" s="1128">
        <f>'Quarterly Model'!AT174</f>
        <v>0</v>
      </c>
      <c r="Q83" s="1127">
        <f>'Quarterly Model'!AU174</f>
        <v>-2</v>
      </c>
      <c r="R83" s="1126">
        <f>'Quarterly Model'!AV174</f>
        <v>-113</v>
      </c>
      <c r="S83" s="1172">
        <f>'Quarterly Model'!AW174</f>
        <v>-8</v>
      </c>
      <c r="T83" s="1128">
        <f>'Quarterly Model'!AX174</f>
        <v>-96</v>
      </c>
      <c r="U83" s="1128">
        <f>'Quarterly Model'!AY174</f>
        <v>0</v>
      </c>
      <c r="V83" s="1127">
        <f>'Quarterly Model'!AZ174</f>
        <v>-217</v>
      </c>
      <c r="W83" s="1128">
        <f>'Quarterly Model'!BA174</f>
        <v>0</v>
      </c>
      <c r="X83" s="1128">
        <f>'Quarterly Model'!BB174</f>
        <v>0</v>
      </c>
      <c r="Y83" s="1128">
        <f>'Quarterly Model'!BC174</f>
        <v>0</v>
      </c>
      <c r="Z83" s="1128">
        <f>'Quarterly Model'!BD174</f>
        <v>0</v>
      </c>
      <c r="AA83" s="1127">
        <f>'Quarterly Model'!BE174</f>
        <v>0</v>
      </c>
      <c r="AB83" s="1128">
        <f>'Quarterly Model'!BF174</f>
        <v>0</v>
      </c>
      <c r="AC83" s="1128">
        <f>'Quarterly Model'!BG174</f>
        <v>0</v>
      </c>
      <c r="AD83" s="1128">
        <f>'Quarterly Model'!BH174</f>
        <v>0</v>
      </c>
      <c r="AE83" s="1128">
        <f>'Quarterly Model'!BI174</f>
        <v>0</v>
      </c>
      <c r="AF83" s="1127">
        <f>'Quarterly Model'!BJ174</f>
        <v>0</v>
      </c>
      <c r="AG83" s="1128">
        <f>'Quarterly Model'!BK174</f>
        <v>0</v>
      </c>
      <c r="AH83" s="1128">
        <f>'Quarterly Model'!BL174</f>
        <v>0</v>
      </c>
      <c r="AI83" s="1128">
        <f>'Quarterly Model'!BM174</f>
        <v>0</v>
      </c>
      <c r="AJ83" s="1128">
        <f>'Quarterly Model'!BN174</f>
        <v>0</v>
      </c>
      <c r="AK83" s="1127">
        <f>'Quarterly Model'!BO174</f>
        <v>0</v>
      </c>
      <c r="AL83" s="1128">
        <f>'Quarterly Model'!BP174</f>
        <v>0</v>
      </c>
      <c r="AM83" s="1128">
        <f>'Quarterly Model'!BQ174</f>
        <v>0</v>
      </c>
      <c r="AN83" s="1128">
        <f>'Quarterly Model'!BR174</f>
        <v>0</v>
      </c>
      <c r="AO83" s="1128">
        <f>'Quarterly Model'!BS174</f>
        <v>0</v>
      </c>
      <c r="AP83" s="1127">
        <f>'Quarterly Model'!BT174</f>
        <v>0</v>
      </c>
      <c r="AQ83" s="1128">
        <f>'Quarterly Model'!BU174</f>
        <v>0</v>
      </c>
      <c r="AR83" s="1128">
        <f>'Quarterly Model'!BV174</f>
        <v>0</v>
      </c>
      <c r="AS83" s="1128">
        <f>'Quarterly Model'!BW174</f>
        <v>0</v>
      </c>
      <c r="AT83" s="1128">
        <f>'Quarterly Model'!BX174</f>
        <v>0</v>
      </c>
      <c r="AU83" s="1127">
        <f>'Quarterly Model'!BY174</f>
        <v>0</v>
      </c>
      <c r="AV83" s="1128">
        <f>'Quarterly Model'!BZ174</f>
        <v>0</v>
      </c>
      <c r="AW83" s="1128">
        <f>'Quarterly Model'!CA174</f>
        <v>0</v>
      </c>
      <c r="AX83" s="1128">
        <f>'Quarterly Model'!CB174</f>
        <v>0</v>
      </c>
      <c r="AY83" s="1128">
        <f>'Quarterly Model'!CC174</f>
        <v>0</v>
      </c>
      <c r="AZ83" s="1127">
        <f>'Quarterly Model'!CD174</f>
        <v>0</v>
      </c>
    </row>
    <row r="84" spans="2:52">
      <c r="B84" s="373" t="str">
        <f>'Quarterly Model'!B175</f>
        <v>Accrued expenses and other current liabilities</v>
      </c>
      <c r="C84" s="142">
        <f>'Quarterly Model'!AG175</f>
        <v>0</v>
      </c>
      <c r="D84" s="142">
        <f>'Quarterly Model'!AH175</f>
        <v>0</v>
      </c>
      <c r="E84" s="142">
        <f>'Quarterly Model'!AI175</f>
        <v>0</v>
      </c>
      <c r="F84" s="142">
        <f>'Quarterly Model'!AJ175</f>
        <v>0</v>
      </c>
      <c r="G84" s="1127">
        <f>'Quarterly Model'!AK175</f>
        <v>-15</v>
      </c>
      <c r="H84" s="1128">
        <f>'Quarterly Model'!AL175</f>
        <v>0</v>
      </c>
      <c r="I84" s="1128">
        <f>'Quarterly Model'!AM175</f>
        <v>0</v>
      </c>
      <c r="J84" s="1128">
        <f>'Quarterly Model'!AN175</f>
        <v>0</v>
      </c>
      <c r="K84" s="1128">
        <f>'Quarterly Model'!AO175</f>
        <v>0</v>
      </c>
      <c r="L84" s="1127">
        <f>'Quarterly Model'!AP175</f>
        <v>-233</v>
      </c>
      <c r="M84" s="1128">
        <f>'Quarterly Model'!AQ175</f>
        <v>0</v>
      </c>
      <c r="N84" s="1128">
        <f>'Quarterly Model'!AR175</f>
        <v>0</v>
      </c>
      <c r="O84" s="1128">
        <f>'Quarterly Model'!AS175</f>
        <v>0</v>
      </c>
      <c r="P84" s="1128">
        <f>'Quarterly Model'!AT175</f>
        <v>0</v>
      </c>
      <c r="Q84" s="1127">
        <f>'Quarterly Model'!AU175</f>
        <v>-300</v>
      </c>
      <c r="R84" s="1126">
        <f>'Quarterly Model'!AV175</f>
        <v>59</v>
      </c>
      <c r="S84" s="1172">
        <f>'Quarterly Model'!AW175</f>
        <v>-59</v>
      </c>
      <c r="T84" s="1128">
        <f>'Quarterly Model'!AX175</f>
        <v>0</v>
      </c>
      <c r="U84" s="1128">
        <f>'Quarterly Model'!AY175</f>
        <v>0</v>
      </c>
      <c r="V84" s="1127">
        <f>'Quarterly Model'!AZ175</f>
        <v>0</v>
      </c>
      <c r="W84" s="1128">
        <f>'Quarterly Model'!BA175</f>
        <v>0</v>
      </c>
      <c r="X84" s="1128">
        <f>'Quarterly Model'!BB175</f>
        <v>0</v>
      </c>
      <c r="Y84" s="1128">
        <f>'Quarterly Model'!BC175</f>
        <v>0</v>
      </c>
      <c r="Z84" s="1128">
        <f>'Quarterly Model'!BD175</f>
        <v>0</v>
      </c>
      <c r="AA84" s="1127">
        <f>'Quarterly Model'!BE175</f>
        <v>0</v>
      </c>
      <c r="AB84" s="1128">
        <f>'Quarterly Model'!BF175</f>
        <v>0</v>
      </c>
      <c r="AC84" s="1128">
        <f>'Quarterly Model'!BG175</f>
        <v>0</v>
      </c>
      <c r="AD84" s="1128">
        <f>'Quarterly Model'!BH175</f>
        <v>0</v>
      </c>
      <c r="AE84" s="1128">
        <f>'Quarterly Model'!BI175</f>
        <v>0</v>
      </c>
      <c r="AF84" s="1127">
        <f>'Quarterly Model'!BJ175</f>
        <v>0</v>
      </c>
      <c r="AG84" s="1128">
        <f>'Quarterly Model'!BK175</f>
        <v>0</v>
      </c>
      <c r="AH84" s="1128">
        <f>'Quarterly Model'!BL175</f>
        <v>65.137058436017014</v>
      </c>
      <c r="AI84" s="1128">
        <f>'Quarterly Model'!BM175</f>
        <v>-76.27568932145914</v>
      </c>
      <c r="AJ84" s="1128">
        <f>'Quarterly Model'!BN175</f>
        <v>278.03277708612973</v>
      </c>
      <c r="AK84" s="1127">
        <f>'Quarterly Model'!BO175</f>
        <v>266.8941462006876</v>
      </c>
      <c r="AL84" s="1128">
        <f>'Quarterly Model'!BP175</f>
        <v>-400.87699262939873</v>
      </c>
      <c r="AM84" s="1128">
        <f>'Quarterly Model'!BQ175</f>
        <v>64.706918861261329</v>
      </c>
      <c r="AN84" s="1128">
        <f>'Quarterly Model'!BR175</f>
        <v>48.977123379944715</v>
      </c>
      <c r="AO84" s="1128">
        <f>'Quarterly Model'!BS175</f>
        <v>277.76070420230508</v>
      </c>
      <c r="AP84" s="1127">
        <f>'Quarterly Model'!BT175</f>
        <v>-9.4322461858876068</v>
      </c>
      <c r="AQ84" s="1128">
        <f>'Quarterly Model'!BU175</f>
        <v>-115.33627515928265</v>
      </c>
      <c r="AR84" s="1128">
        <f>'Quarterly Model'!BV175</f>
        <v>82.744401186951563</v>
      </c>
      <c r="AS84" s="1128">
        <f>'Quarterly Model'!BW175</f>
        <v>22.13749866252374</v>
      </c>
      <c r="AT84" s="1128">
        <f>'Quarterly Model'!BX175</f>
        <v>328.59732046805175</v>
      </c>
      <c r="AU84" s="1127">
        <f>'Quarterly Model'!BY175</f>
        <v>318.1429451582444</v>
      </c>
      <c r="AV84" s="1128">
        <f>'Quarterly Model'!BZ175</f>
        <v>-148.55001848152915</v>
      </c>
      <c r="AW84" s="1128">
        <f>'Quarterly Model'!CA175</f>
        <v>98.965012607122389</v>
      </c>
      <c r="AX84" s="1128">
        <f>'Quarterly Model'!CB175</f>
        <v>41.106727077462438</v>
      </c>
      <c r="AY84" s="1128">
        <f>'Quarterly Model'!CC175</f>
        <v>385.00099132114519</v>
      </c>
      <c r="AZ84" s="1127">
        <f>'Quarterly Model'!CD175</f>
        <v>376.52271252420087</v>
      </c>
    </row>
    <row r="85" spans="2:52">
      <c r="B85" s="373" t="str">
        <f>'Quarterly Model'!B176</f>
        <v>Income taxes payable and other tax liabilities</v>
      </c>
      <c r="C85" s="142">
        <f>'Quarterly Model'!AG176</f>
        <v>0</v>
      </c>
      <c r="D85" s="142">
        <f>'Quarterly Model'!AH176</f>
        <v>0</v>
      </c>
      <c r="E85" s="142">
        <f>'Quarterly Model'!AI176</f>
        <v>0</v>
      </c>
      <c r="F85" s="142">
        <f>'Quarterly Model'!AJ176</f>
        <v>0</v>
      </c>
      <c r="G85" s="1127">
        <f>'Quarterly Model'!AK176</f>
        <v>100</v>
      </c>
      <c r="H85" s="1128">
        <f>'Quarterly Model'!AL176</f>
        <v>0</v>
      </c>
      <c r="I85" s="1128">
        <f>'Quarterly Model'!AM176</f>
        <v>0</v>
      </c>
      <c r="J85" s="1128">
        <f>'Quarterly Model'!AN176</f>
        <v>0</v>
      </c>
      <c r="K85" s="1128">
        <f>'Quarterly Model'!AO176</f>
        <v>0</v>
      </c>
      <c r="L85" s="1127">
        <f>'Quarterly Model'!AP176</f>
        <v>41</v>
      </c>
      <c r="M85" s="1128">
        <f>'Quarterly Model'!AQ176</f>
        <v>0</v>
      </c>
      <c r="N85" s="1128">
        <f>'Quarterly Model'!AR176</f>
        <v>9</v>
      </c>
      <c r="O85" s="1128">
        <f>'Quarterly Model'!AS176</f>
        <v>17</v>
      </c>
      <c r="P85" s="1128">
        <f>'Quarterly Model'!AT176</f>
        <v>0</v>
      </c>
      <c r="Q85" s="1127">
        <f>'Quarterly Model'!AU176</f>
        <v>37</v>
      </c>
      <c r="R85" s="1126">
        <f>'Quarterly Model'!AV176</f>
        <v>42</v>
      </c>
      <c r="S85" s="1128">
        <f>'Quarterly Model'!AW176</f>
        <v>-7</v>
      </c>
      <c r="T85" s="1128">
        <f>'Quarterly Model'!AX176</f>
        <v>54</v>
      </c>
      <c r="U85" s="1128">
        <f>'Quarterly Model'!AY176</f>
        <v>-35</v>
      </c>
      <c r="V85" s="1127">
        <f>'Quarterly Model'!AZ176</f>
        <v>54</v>
      </c>
      <c r="W85" s="1128">
        <f>'Quarterly Model'!BA176</f>
        <v>-5</v>
      </c>
      <c r="X85" s="1128">
        <f>'Quarterly Model'!BB176</f>
        <v>42</v>
      </c>
      <c r="Y85" s="1128">
        <f>'Quarterly Model'!BC176</f>
        <v>14</v>
      </c>
      <c r="Z85" s="1128">
        <f>'Quarterly Model'!BD176</f>
        <v>18</v>
      </c>
      <c r="AA85" s="1127">
        <f>'Quarterly Model'!BE176</f>
        <v>69</v>
      </c>
      <c r="AB85" s="1128">
        <f>'Quarterly Model'!BF176</f>
        <v>17</v>
      </c>
      <c r="AC85" s="1128">
        <f>'Quarterly Model'!BG176</f>
        <v>4</v>
      </c>
      <c r="AD85" s="1128">
        <f>'Quarterly Model'!BH176</f>
        <v>3</v>
      </c>
      <c r="AE85" s="1128">
        <f>'Quarterly Model'!BI176</f>
        <v>-5</v>
      </c>
      <c r="AF85" s="1127">
        <f>'Quarterly Model'!BJ176</f>
        <v>19</v>
      </c>
      <c r="AG85" s="1128">
        <f>'Quarterly Model'!BK176</f>
        <v>0</v>
      </c>
      <c r="AH85" s="1128">
        <f>'Quarterly Model'!BL176</f>
        <v>0</v>
      </c>
      <c r="AI85" s="1128">
        <f>'Quarterly Model'!BM176</f>
        <v>0</v>
      </c>
      <c r="AJ85" s="1128">
        <f>'Quarterly Model'!BN176</f>
        <v>0</v>
      </c>
      <c r="AK85" s="1127">
        <f>'Quarterly Model'!BO176</f>
        <v>0</v>
      </c>
      <c r="AL85" s="1128">
        <f>'Quarterly Model'!BP176</f>
        <v>0</v>
      </c>
      <c r="AM85" s="1128">
        <f>'Quarterly Model'!BQ176</f>
        <v>0</v>
      </c>
      <c r="AN85" s="1128">
        <f>'Quarterly Model'!BR176</f>
        <v>0</v>
      </c>
      <c r="AO85" s="1128">
        <f>'Quarterly Model'!BS176</f>
        <v>0</v>
      </c>
      <c r="AP85" s="1127">
        <f>'Quarterly Model'!BT176</f>
        <v>0</v>
      </c>
      <c r="AQ85" s="1128">
        <f>'Quarterly Model'!BU176</f>
        <v>0</v>
      </c>
      <c r="AR85" s="1128">
        <f>'Quarterly Model'!BV176</f>
        <v>0</v>
      </c>
      <c r="AS85" s="1128">
        <f>'Quarterly Model'!BW176</f>
        <v>0</v>
      </c>
      <c r="AT85" s="1128">
        <f>'Quarterly Model'!BX176</f>
        <v>0</v>
      </c>
      <c r="AU85" s="1127">
        <f>'Quarterly Model'!BY176</f>
        <v>0</v>
      </c>
      <c r="AV85" s="1128">
        <f>'Quarterly Model'!BZ176</f>
        <v>0</v>
      </c>
      <c r="AW85" s="1128">
        <f>'Quarterly Model'!CA176</f>
        <v>0</v>
      </c>
      <c r="AX85" s="1128">
        <f>'Quarterly Model'!CB176</f>
        <v>0</v>
      </c>
      <c r="AY85" s="1128">
        <f>'Quarterly Model'!CC176</f>
        <v>0</v>
      </c>
      <c r="AZ85" s="1127">
        <f>'Quarterly Model'!CD176</f>
        <v>0</v>
      </c>
    </row>
    <row r="86" spans="2:52">
      <c r="B86" s="374" t="str">
        <f>'Quarterly Model'!B177</f>
        <v>Cash flow from operations</v>
      </c>
      <c r="C86" s="152">
        <f>'Quarterly Model'!AG177</f>
        <v>0</v>
      </c>
      <c r="D86" s="152">
        <f>'Quarterly Model'!AH177</f>
        <v>0</v>
      </c>
      <c r="E86" s="152">
        <f>'Quarterly Model'!AI177</f>
        <v>0</v>
      </c>
      <c r="F86" s="152">
        <f>'Quarterly Model'!AJ177</f>
        <v>0</v>
      </c>
      <c r="G86" s="827">
        <f>'Quarterly Model'!AK177</f>
        <v>1565</v>
      </c>
      <c r="H86" s="1132">
        <f>'Quarterly Model'!AL177</f>
        <v>0</v>
      </c>
      <c r="I86" s="1132">
        <f>'Quarterly Model'!AM177</f>
        <v>0</v>
      </c>
      <c r="J86" s="1132">
        <f>'Quarterly Model'!AN177</f>
        <v>0</v>
      </c>
      <c r="K86" s="1132">
        <f>'Quarterly Model'!AO177</f>
        <v>0</v>
      </c>
      <c r="L86" s="827">
        <f>'Quarterly Model'!AP177</f>
        <v>1993</v>
      </c>
      <c r="M86" s="1132">
        <f>'Quarterly Model'!AQ177</f>
        <v>0</v>
      </c>
      <c r="N86" s="1132">
        <f>'Quarterly Model'!AR177</f>
        <v>985</v>
      </c>
      <c r="O86" s="1132">
        <f>'Quarterly Model'!AS177</f>
        <v>604</v>
      </c>
      <c r="P86" s="1132">
        <f>'Quarterly Model'!AT177</f>
        <v>0</v>
      </c>
      <c r="Q86" s="827">
        <f>'Quarterly Model'!AU177</f>
        <v>2220</v>
      </c>
      <c r="R86" s="1131">
        <f>'Quarterly Model'!AV177</f>
        <v>544</v>
      </c>
      <c r="S86" s="1132">
        <f>'Quarterly Model'!AW177</f>
        <v>622</v>
      </c>
      <c r="T86" s="1132">
        <f>'Quarterly Model'!AX177</f>
        <v>652</v>
      </c>
      <c r="U86" s="1132">
        <f>'Quarterly Model'!AY177</f>
        <v>728</v>
      </c>
      <c r="V86" s="827">
        <f>'Quarterly Model'!AZ177</f>
        <v>2546</v>
      </c>
      <c r="W86" s="1132">
        <f>'Quarterly Model'!BA177</f>
        <v>738</v>
      </c>
      <c r="X86" s="1132">
        <f>'Quarterly Model'!BB177</f>
        <v>696</v>
      </c>
      <c r="Y86" s="1132">
        <f>'Quarterly Model'!BC177</f>
        <v>801</v>
      </c>
      <c r="Z86" s="1132">
        <f>'Quarterly Model'!BD177</f>
        <v>923</v>
      </c>
      <c r="AA86" s="827">
        <f>'Quarterly Model'!BE177</f>
        <v>3158</v>
      </c>
      <c r="AB86" s="1132">
        <f>'Quarterly Model'!BF177</f>
        <v>751</v>
      </c>
      <c r="AC86" s="1132">
        <f>'Quarterly Model'!BG177</f>
        <v>921</v>
      </c>
      <c r="AD86" s="1132">
        <f>'Quarterly Model'!BH177</f>
        <v>1006</v>
      </c>
      <c r="AE86" s="1132">
        <f>'Quarterly Model'!BI177</f>
        <v>-147</v>
      </c>
      <c r="AF86" s="827">
        <f>'Quarterly Model'!BJ177</f>
        <v>2531</v>
      </c>
      <c r="AG86" s="1132">
        <f>'Quarterly Model'!BK177</f>
        <v>-349</v>
      </c>
      <c r="AH86" s="1132">
        <f>'Quarterly Model'!BL177</f>
        <v>1233.0338264128102</v>
      </c>
      <c r="AI86" s="1132">
        <f>'Quarterly Model'!BM177</f>
        <v>844.5874863627871</v>
      </c>
      <c r="AJ86" s="1132">
        <f>'Quarterly Model'!BN177</f>
        <v>1348.5830271493026</v>
      </c>
      <c r="AK86" s="827">
        <f>'Quarterly Model'!BO177</f>
        <v>3077.2043399248996</v>
      </c>
      <c r="AL86" s="1132">
        <f>'Quarterly Model'!BP177</f>
        <v>522.62207973404281</v>
      </c>
      <c r="AM86" s="1132">
        <f>'Quarterly Model'!BQ177</f>
        <v>1203.5727396010939</v>
      </c>
      <c r="AN86" s="1132">
        <f>'Quarterly Model'!BR177</f>
        <v>1206.8125267750927</v>
      </c>
      <c r="AO86" s="1132">
        <f>'Quarterly Model'!BS177</f>
        <v>1639.1162656755953</v>
      </c>
      <c r="AP86" s="827">
        <f>'Quarterly Model'!BT177</f>
        <v>4572.1236117858252</v>
      </c>
      <c r="AQ86" s="1132">
        <f>'Quarterly Model'!BU177</f>
        <v>1250.7309167023268</v>
      </c>
      <c r="AR86" s="1132">
        <f>'Quarterly Model'!BV177</f>
        <v>1449.8722777389937</v>
      </c>
      <c r="AS86" s="1132">
        <f>'Quarterly Model'!BW177</f>
        <v>1389.193853206704</v>
      </c>
      <c r="AT86" s="1132">
        <f>'Quarterly Model'!BX177</f>
        <v>1950.9940782807785</v>
      </c>
      <c r="AU86" s="827">
        <f>'Quarterly Model'!BY177</f>
        <v>6040.791125928803</v>
      </c>
      <c r="AV86" s="1132">
        <f>'Quarterly Model'!BZ177</f>
        <v>1401.8571488169371</v>
      </c>
      <c r="AW86" s="1132">
        <f>'Quarterly Model'!CA177</f>
        <v>1720.1923575526778</v>
      </c>
      <c r="AX86" s="1132">
        <f>'Quarterly Model'!CB177</f>
        <v>1684.0198393344092</v>
      </c>
      <c r="AY86" s="1132">
        <f>'Quarterly Model'!CC177</f>
        <v>2342.1859472859692</v>
      </c>
      <c r="AZ86" s="827">
        <f>'Quarterly Model'!CD177</f>
        <v>7148.255292989993</v>
      </c>
    </row>
    <row r="87" spans="2:52" ht="10.5" customHeight="1">
      <c r="B87" s="376"/>
      <c r="C87" s="229"/>
      <c r="D87" s="229"/>
      <c r="E87" s="229"/>
      <c r="F87" s="229"/>
      <c r="G87" s="1173"/>
      <c r="H87" s="313"/>
      <c r="I87" s="313"/>
      <c r="J87" s="313"/>
      <c r="K87" s="313"/>
      <c r="L87" s="1173"/>
      <c r="M87" s="313"/>
      <c r="N87" s="313"/>
      <c r="O87" s="313"/>
      <c r="P87" s="313"/>
      <c r="Q87" s="1173"/>
      <c r="R87" s="1171"/>
      <c r="S87" s="313"/>
      <c r="T87" s="313"/>
      <c r="U87" s="313"/>
      <c r="V87" s="1173"/>
      <c r="W87" s="313"/>
      <c r="X87" s="313"/>
      <c r="Y87" s="313"/>
      <c r="Z87" s="313"/>
      <c r="AA87" s="1173"/>
      <c r="AB87" s="313"/>
      <c r="AC87" s="313"/>
      <c r="AD87" s="313"/>
      <c r="AE87" s="313"/>
      <c r="AF87" s="1173"/>
      <c r="AG87" s="313"/>
      <c r="AH87" s="313"/>
      <c r="AI87" s="313"/>
      <c r="AJ87" s="313"/>
      <c r="AK87" s="1173"/>
      <c r="AL87" s="313"/>
      <c r="AM87" s="313"/>
      <c r="AN87" s="313"/>
      <c r="AO87" s="313"/>
      <c r="AP87" s="1173"/>
      <c r="AQ87" s="313"/>
      <c r="AR87" s="313"/>
      <c r="AS87" s="313"/>
      <c r="AT87" s="313"/>
      <c r="AU87" s="1173"/>
      <c r="AV87" s="313"/>
      <c r="AW87" s="313"/>
      <c r="AX87" s="313"/>
      <c r="AY87" s="313"/>
      <c r="AZ87" s="1173"/>
    </row>
    <row r="88" spans="2:52" ht="15">
      <c r="B88" s="1168" t="str">
        <f>'Quarterly Model'!B179</f>
        <v>Cash Flow from Investing Activities</v>
      </c>
      <c r="C88" s="229">
        <f>'Quarterly Model'!AG179</f>
        <v>0</v>
      </c>
      <c r="D88" s="142">
        <f>'Quarterly Model'!AH179</f>
        <v>0</v>
      </c>
      <c r="E88" s="229">
        <f>'Quarterly Model'!AI179</f>
        <v>0</v>
      </c>
      <c r="F88" s="229">
        <f>'Quarterly Model'!AJ179</f>
        <v>0</v>
      </c>
      <c r="G88" s="1118"/>
      <c r="H88" s="313"/>
      <c r="I88" s="1128"/>
      <c r="J88" s="313"/>
      <c r="K88" s="313"/>
      <c r="L88" s="1118"/>
      <c r="M88" s="313"/>
      <c r="N88" s="313"/>
      <c r="O88" s="313"/>
      <c r="P88" s="313"/>
      <c r="Q88" s="1118"/>
      <c r="R88" s="1171"/>
      <c r="S88" s="313"/>
      <c r="T88" s="313"/>
      <c r="U88" s="313"/>
      <c r="V88" s="1118"/>
      <c r="W88" s="313"/>
      <c r="X88" s="313"/>
      <c r="Y88" s="313"/>
      <c r="Z88" s="313"/>
      <c r="AA88" s="1118"/>
      <c r="AB88" s="313"/>
      <c r="AC88" s="313"/>
      <c r="AD88" s="313"/>
      <c r="AE88" s="313"/>
      <c r="AF88" s="1118"/>
      <c r="AG88" s="313"/>
      <c r="AH88" s="313"/>
      <c r="AI88" s="313"/>
      <c r="AJ88" s="313"/>
      <c r="AK88" s="1118"/>
      <c r="AL88" s="313"/>
      <c r="AM88" s="313"/>
      <c r="AN88" s="313"/>
      <c r="AO88" s="313"/>
      <c r="AP88" s="1118"/>
      <c r="AQ88" s="313"/>
      <c r="AR88" s="313"/>
      <c r="AS88" s="313"/>
      <c r="AT88" s="313"/>
      <c r="AU88" s="1118"/>
      <c r="AV88" s="313"/>
      <c r="AW88" s="313"/>
      <c r="AX88" s="313"/>
      <c r="AY88" s="313"/>
      <c r="AZ88" s="1118"/>
    </row>
    <row r="89" spans="2:52">
      <c r="B89" s="373" t="str">
        <f>'Quarterly Model'!B180</f>
        <v>Purchase of property and equipment</v>
      </c>
      <c r="C89" s="142">
        <f>'Quarterly Model'!AG180</f>
        <v>0</v>
      </c>
      <c r="D89" s="142">
        <f>'Quarterly Model'!AH180</f>
        <v>0</v>
      </c>
      <c r="E89" s="142">
        <f>'Quarterly Model'!AI180</f>
        <v>0</v>
      </c>
      <c r="F89" s="142">
        <f>'Quarterly Model'!AJ180</f>
        <v>0</v>
      </c>
      <c r="G89" s="1127">
        <f>'Quarterly Model'!AK180</f>
        <v>-511</v>
      </c>
      <c r="H89" s="1128">
        <f>'Quarterly Model'!AL180</f>
        <v>0</v>
      </c>
      <c r="I89" s="1128">
        <f>'Quarterly Model'!AM180</f>
        <v>0</v>
      </c>
      <c r="J89" s="1128">
        <f>'Quarterly Model'!AN180</f>
        <v>0</v>
      </c>
      <c r="K89" s="1128">
        <f>'Quarterly Model'!AO180</f>
        <v>0</v>
      </c>
      <c r="L89" s="1127">
        <f>'Quarterly Model'!AP180</f>
        <v>-391</v>
      </c>
      <c r="M89" s="1128">
        <f>'Quarterly Model'!AQ180</f>
        <v>0</v>
      </c>
      <c r="N89" s="1128">
        <f>'Quarterly Model'!AR180</f>
        <v>-196</v>
      </c>
      <c r="O89" s="1128">
        <f>'Quarterly Model'!AS180</f>
        <v>-173</v>
      </c>
      <c r="P89" s="1128">
        <f>'Quarterly Model'!AT180</f>
        <v>0</v>
      </c>
      <c r="Q89" s="1127">
        <f>'Quarterly Model'!AU180</f>
        <v>-492</v>
      </c>
      <c r="R89" s="1126">
        <f>'Quarterly Model'!AV180</f>
        <v>-194</v>
      </c>
      <c r="S89" s="1128">
        <f>'Quarterly Model'!AW180</f>
        <v>-220</v>
      </c>
      <c r="T89" s="1128">
        <f>'Quarterly Model'!AX180</f>
        <v>-118</v>
      </c>
      <c r="U89" s="1128">
        <f>'Quarterly Model'!AY180</f>
        <v>-164</v>
      </c>
      <c r="V89" s="1127">
        <f>'Quarterly Model'!AZ180</f>
        <v>-696</v>
      </c>
      <c r="W89" s="1128">
        <f>'Quarterly Model'!BA180</f>
        <v>-133</v>
      </c>
      <c r="X89" s="1128">
        <f>'Quarterly Model'!BB180</f>
        <v>-201</v>
      </c>
      <c r="Y89" s="1128">
        <f>'Quarterly Model'!BC180</f>
        <v>-183</v>
      </c>
      <c r="Z89" s="1128">
        <f>'Quarterly Model'!BD180</f>
        <v>-152</v>
      </c>
      <c r="AA89" s="1127">
        <f>'Quarterly Model'!BE180</f>
        <v>-669</v>
      </c>
      <c r="AB89" s="1128">
        <f>'Quarterly Model'!BF180</f>
        <v>-148</v>
      </c>
      <c r="AC89" s="1128">
        <f>'Quarterly Model'!BG180</f>
        <v>-174</v>
      </c>
      <c r="AD89" s="1128">
        <f>'Quarterly Model'!BH180</f>
        <v>-165</v>
      </c>
      <c r="AE89" s="1128">
        <f>'Quarterly Model'!BI180</f>
        <v>-180</v>
      </c>
      <c r="AF89" s="1127">
        <f>'Quarterly Model'!BJ180</f>
        <v>-667</v>
      </c>
      <c r="AG89" s="1128">
        <f>'Quarterly Model'!BK180</f>
        <v>-178</v>
      </c>
      <c r="AH89" s="1128">
        <f>'Quarterly Model'!BL180</f>
        <v>-219.6983253929607</v>
      </c>
      <c r="AI89" s="1128">
        <f>'Quarterly Model'!BM180</f>
        <v>-210.55182560739155</v>
      </c>
      <c r="AJ89" s="1128">
        <f>'Quarterly Model'!BN180</f>
        <v>-243.8917633860205</v>
      </c>
      <c r="AK89" s="1127">
        <f>'Quarterly Model'!BO180</f>
        <v>-852.14191438637272</v>
      </c>
      <c r="AL89" s="1128">
        <f>'Quarterly Model'!BP180</f>
        <v>-224.53985861605221</v>
      </c>
      <c r="AM89" s="1128">
        <f>'Quarterly Model'!BQ180</f>
        <v>-233.43705995947562</v>
      </c>
      <c r="AN89" s="1128">
        <f>'Quarterly Model'!BR180</f>
        <v>-240.17141442421806</v>
      </c>
      <c r="AO89" s="1128">
        <f>'Quarterly Model'!BS180</f>
        <v>-278.36351125203498</v>
      </c>
      <c r="AP89" s="1127">
        <f>'Quarterly Model'!BT180</f>
        <v>-976.51184425178087</v>
      </c>
      <c r="AQ89" s="1128">
        <f>'Quarterly Model'!BU180</f>
        <v>-250.57273826228661</v>
      </c>
      <c r="AR89" s="1128">
        <f>'Quarterly Model'!BV180</f>
        <v>-261.432940918074</v>
      </c>
      <c r="AS89" s="1128">
        <f>'Quarterly Model'!BW180</f>
        <v>-264.33848761753023</v>
      </c>
      <c r="AT89" s="1128">
        <f>'Quarterly Model'!BX180</f>
        <v>-307.46688592896203</v>
      </c>
      <c r="AU89" s="1127">
        <f>'Quarterly Model'!BY180</f>
        <v>-1083.8110527268529</v>
      </c>
      <c r="AV89" s="1128">
        <f>'Quarterly Model'!BZ180</f>
        <v>-287.96969600326139</v>
      </c>
      <c r="AW89" s="1128">
        <f>'Quarterly Model'!CA180</f>
        <v>-300.95885390794615</v>
      </c>
      <c r="AX89" s="1128">
        <f>'Quarterly Model'!CB180</f>
        <v>-306.35411183686307</v>
      </c>
      <c r="AY89" s="1128">
        <f>'Quarterly Model'!CC180</f>
        <v>-356.8854919477634</v>
      </c>
      <c r="AZ89" s="1127">
        <f>'Quarterly Model'!CD180</f>
        <v>-1252.168153695834</v>
      </c>
    </row>
    <row r="90" spans="2:52">
      <c r="B90" s="373" t="str">
        <f>'Quarterly Model'!B181</f>
        <v>Changes in principal loans receivable, net</v>
      </c>
      <c r="C90" s="142">
        <f>'Quarterly Model'!AG181</f>
        <v>0</v>
      </c>
      <c r="D90" s="142">
        <f>'Quarterly Model'!AH181</f>
        <v>0</v>
      </c>
      <c r="E90" s="142">
        <f>'Quarterly Model'!AI181</f>
        <v>0</v>
      </c>
      <c r="F90" s="142">
        <f>'Quarterly Model'!AJ181</f>
        <v>0</v>
      </c>
      <c r="G90" s="1127">
        <f>'Quarterly Model'!AK181</f>
        <v>-740</v>
      </c>
      <c r="H90" s="1128">
        <f>'Quarterly Model'!AL181</f>
        <v>0</v>
      </c>
      <c r="I90" s="1128">
        <f>'Quarterly Model'!AM181</f>
        <v>0</v>
      </c>
      <c r="J90" s="1128">
        <f>'Quarterly Model'!AN181</f>
        <v>0</v>
      </c>
      <c r="K90" s="1128">
        <f>'Quarterly Model'!AO181</f>
        <v>0</v>
      </c>
      <c r="L90" s="1127">
        <f>'Quarterly Model'!AP181</f>
        <v>-793</v>
      </c>
      <c r="M90" s="1128">
        <f>'Quarterly Model'!AQ181</f>
        <v>0</v>
      </c>
      <c r="N90" s="1128">
        <f>'Quarterly Model'!AR181</f>
        <v>-233</v>
      </c>
      <c r="O90" s="1128">
        <f>'Quarterly Model'!AS181</f>
        <v>-262</v>
      </c>
      <c r="P90" s="1128">
        <f>'Quarterly Model'!AT181</f>
        <v>0</v>
      </c>
      <c r="Q90" s="1127">
        <f>'Quarterly Model'!AU181</f>
        <v>-1023</v>
      </c>
      <c r="R90" s="1126">
        <f>'Quarterly Model'!AV181</f>
        <v>-19</v>
      </c>
      <c r="S90" s="1128">
        <f>'Quarterly Model'!AW181</f>
        <v>427</v>
      </c>
      <c r="T90" s="1128">
        <f>'Quarterly Model'!AX181</f>
        <v>-554</v>
      </c>
      <c r="U90" s="1128">
        <f>'Quarterly Model'!AY181</f>
        <v>-673</v>
      </c>
      <c r="V90" s="1127">
        <f>'Quarterly Model'!AZ181</f>
        <v>-819</v>
      </c>
      <c r="W90" s="1128">
        <f>'Quarterly Model'!BA181</f>
        <v>-120</v>
      </c>
      <c r="X90" s="1128">
        <f>'Quarterly Model'!BB181</f>
        <v>-356</v>
      </c>
      <c r="Y90" s="1128">
        <f>'Quarterly Model'!BC181</f>
        <v>-408</v>
      </c>
      <c r="Z90" s="1128">
        <f>'Quarterly Model'!BD181</f>
        <v>-639</v>
      </c>
      <c r="AA90" s="1127">
        <f>'Quarterly Model'!BE181</f>
        <v>-1523</v>
      </c>
      <c r="AB90" s="1128">
        <f>'Quarterly Model'!BF181</f>
        <v>-136</v>
      </c>
      <c r="AC90" s="1128">
        <f>'Quarterly Model'!BG181</f>
        <v>-491</v>
      </c>
      <c r="AD90" s="1128">
        <f>'Quarterly Model'!BH181</f>
        <v>-527</v>
      </c>
      <c r="AE90" s="1128">
        <f>'Quarterly Model'!BI181</f>
        <v>234</v>
      </c>
      <c r="AF90" s="1127">
        <f>'Quarterly Model'!BJ181</f>
        <v>-920</v>
      </c>
      <c r="AG90" s="1128">
        <f>'Quarterly Model'!BK181</f>
        <v>738</v>
      </c>
      <c r="AH90" s="1128">
        <f>'Quarterly Model'!BL181</f>
        <v>-269.25876723763855</v>
      </c>
      <c r="AI90" s="1128">
        <f>'Quarterly Model'!BM181</f>
        <v>-258.0489628279023</v>
      </c>
      <c r="AJ90" s="1128">
        <f>'Quarterly Model'!BN181</f>
        <v>-298.90985937773479</v>
      </c>
      <c r="AK90" s="1127">
        <f>'Quarterly Model'!BO181</f>
        <v>-88.217589443275642</v>
      </c>
      <c r="AL90" s="1128">
        <f>'Quarterly Model'!BP181</f>
        <v>-23.37252573655406</v>
      </c>
      <c r="AM90" s="1128">
        <f>'Quarterly Model'!BQ181</f>
        <v>-24.298642233928575</v>
      </c>
      <c r="AN90" s="1128">
        <f>'Quarterly Model'!BR181</f>
        <v>-24.999626344350641</v>
      </c>
      <c r="AO90" s="1128">
        <f>'Quarterly Model'!BS181</f>
        <v>-28.975070933756388</v>
      </c>
      <c r="AP90" s="1127">
        <f>'Quarterly Model'!BT181</f>
        <v>-101.64586524858966</v>
      </c>
      <c r="AQ90" s="1128">
        <f>'Quarterly Model'!BU181</f>
        <v>-27.324322774973538</v>
      </c>
      <c r="AR90" s="1128">
        <f>'Quarterly Model'!BV181</f>
        <v>-28.508600381652922</v>
      </c>
      <c r="AS90" s="1128">
        <f>'Quarterly Model'!BW181</f>
        <v>-28.825442893748541</v>
      </c>
      <c r="AT90" s="1128">
        <f>'Quarterly Model'!BX181</f>
        <v>-33.528485548754531</v>
      </c>
      <c r="AU90" s="1127">
        <f>'Quarterly Model'!BY181</f>
        <v>-118.18685159912954</v>
      </c>
      <c r="AV90" s="1128">
        <f>'Quarterly Model'!BZ181</f>
        <v>-31.402366345087792</v>
      </c>
      <c r="AW90" s="1128">
        <f>'Quarterly Model'!CA181</f>
        <v>-32.818801132144294</v>
      </c>
      <c r="AX90" s="1128">
        <f>'Quarterly Model'!CB181</f>
        <v>-33.407140351032695</v>
      </c>
      <c r="AY90" s="1128">
        <f>'Quarterly Model'!CC181</f>
        <v>-38.917459430396526</v>
      </c>
      <c r="AZ90" s="1127">
        <f>'Quarterly Model'!CD181</f>
        <v>-136.5457672586613</v>
      </c>
    </row>
    <row r="91" spans="2:52">
      <c r="B91" s="382" t="str">
        <f>'Quarterly Model'!B182</f>
        <v>Purchases of investments</v>
      </c>
      <c r="C91" s="142">
        <f>'Quarterly Model'!AG182</f>
        <v>0</v>
      </c>
      <c r="D91" s="142">
        <f>'Quarterly Model'!AH182</f>
        <v>0</v>
      </c>
      <c r="E91" s="142">
        <f>'Quarterly Model'!AI182</f>
        <v>0</v>
      </c>
      <c r="F91" s="142">
        <f>'Quarterly Model'!AJ182</f>
        <v>0</v>
      </c>
      <c r="G91" s="1127">
        <f>'Quarterly Model'!AK182</f>
        <v>-265</v>
      </c>
      <c r="H91" s="1128">
        <f>'Quarterly Model'!AL182</f>
        <v>0</v>
      </c>
      <c r="I91" s="1128">
        <f>'Quarterly Model'!AM182</f>
        <v>0</v>
      </c>
      <c r="J91" s="1128">
        <f>'Quarterly Model'!AN182</f>
        <v>0</v>
      </c>
      <c r="K91" s="1128">
        <f>'Quarterly Model'!AO182</f>
        <v>0</v>
      </c>
      <c r="L91" s="1127">
        <f>'Quarterly Model'!AP182</f>
        <v>-610</v>
      </c>
      <c r="M91" s="1128">
        <f>'Quarterly Model'!AQ182</f>
        <v>0</v>
      </c>
      <c r="N91" s="1128">
        <f>'Quarterly Model'!AR182</f>
        <v>-24</v>
      </c>
      <c r="O91" s="1128">
        <f>'Quarterly Model'!AS182</f>
        <v>-41</v>
      </c>
      <c r="P91" s="1128">
        <f>'Quarterly Model'!AT182</f>
        <v>0</v>
      </c>
      <c r="Q91" s="1127">
        <f>'Quarterly Model'!AU182</f>
        <v>-76</v>
      </c>
      <c r="R91" s="1126">
        <f>'Quarterly Model'!AV182</f>
        <v>0</v>
      </c>
      <c r="S91" s="1128">
        <f>'Quarterly Model'!AW182</f>
        <v>-4465</v>
      </c>
      <c r="T91" s="1128">
        <f>'Quarterly Model'!AX182</f>
        <v>-2257</v>
      </c>
      <c r="U91" s="1128">
        <f>'Quarterly Model'!AY182</f>
        <v>-820</v>
      </c>
      <c r="V91" s="1127">
        <f>'Quarterly Model'!AZ182</f>
        <v>-7542</v>
      </c>
      <c r="W91" s="1128">
        <f>'Quarterly Model'!BA182</f>
        <v>-4091</v>
      </c>
      <c r="X91" s="1128">
        <f>'Quarterly Model'!BB182</f>
        <v>-6118</v>
      </c>
      <c r="Y91" s="1128">
        <f>'Quarterly Model'!BC182</f>
        <v>-6775</v>
      </c>
      <c r="Z91" s="1128">
        <f>'Quarterly Model'!BD182</f>
        <v>-4057</v>
      </c>
      <c r="AA91" s="1127">
        <f>'Quarterly Model'!BE182</f>
        <v>-21041</v>
      </c>
      <c r="AB91" s="1128">
        <f>'Quarterly Model'!BF182</f>
        <v>-7109</v>
      </c>
      <c r="AC91" s="1128">
        <f>'Quarterly Model'!BG182</f>
        <v>-4847</v>
      </c>
      <c r="AD91" s="1128">
        <f>'Quarterly Model'!BH182</f>
        <v>-2271</v>
      </c>
      <c r="AE91" s="1128">
        <f>'Quarterly Model'!BI182</f>
        <v>-5191</v>
      </c>
      <c r="AF91" s="1127">
        <f>'Quarterly Model'!BJ182</f>
        <v>-19418</v>
      </c>
      <c r="AG91" s="1128">
        <f>'Quarterly Model'!BK182</f>
        <v>-5275</v>
      </c>
      <c r="AH91" s="1128">
        <f>'Quarterly Model'!BL182</f>
        <v>0</v>
      </c>
      <c r="AI91" s="1128">
        <f>'Quarterly Model'!BM182</f>
        <v>0</v>
      </c>
      <c r="AJ91" s="1128">
        <f>'Quarterly Model'!BN182</f>
        <v>0</v>
      </c>
      <c r="AK91" s="1127">
        <f>'Quarterly Model'!BO182</f>
        <v>-5275</v>
      </c>
      <c r="AL91" s="1128">
        <f>'Quarterly Model'!BP182</f>
        <v>0</v>
      </c>
      <c r="AM91" s="1128">
        <f>'Quarterly Model'!BQ182</f>
        <v>0</v>
      </c>
      <c r="AN91" s="1128">
        <f>'Quarterly Model'!BR182</f>
        <v>0</v>
      </c>
      <c r="AO91" s="1128">
        <f>'Quarterly Model'!BS182</f>
        <v>0</v>
      </c>
      <c r="AP91" s="1127">
        <f>'Quarterly Model'!BT182</f>
        <v>0</v>
      </c>
      <c r="AQ91" s="1128">
        <f>'Quarterly Model'!BU182</f>
        <v>0</v>
      </c>
      <c r="AR91" s="1128">
        <f>'Quarterly Model'!BV182</f>
        <v>0</v>
      </c>
      <c r="AS91" s="1128">
        <f>'Quarterly Model'!BW182</f>
        <v>0</v>
      </c>
      <c r="AT91" s="1128">
        <f>'Quarterly Model'!BX182</f>
        <v>0</v>
      </c>
      <c r="AU91" s="1127">
        <f>'Quarterly Model'!BY182</f>
        <v>0</v>
      </c>
      <c r="AV91" s="1128">
        <f>'Quarterly Model'!BZ182</f>
        <v>0</v>
      </c>
      <c r="AW91" s="1128">
        <f>'Quarterly Model'!CA182</f>
        <v>0</v>
      </c>
      <c r="AX91" s="1128">
        <f>'Quarterly Model'!CB182</f>
        <v>0</v>
      </c>
      <c r="AY91" s="1128">
        <f>'Quarterly Model'!CC182</f>
        <v>0</v>
      </c>
      <c r="AZ91" s="1127">
        <f>'Quarterly Model'!CD182</f>
        <v>0</v>
      </c>
    </row>
    <row r="92" spans="2:52">
      <c r="B92" s="382" t="str">
        <f>'Quarterly Model'!B183</f>
        <v>Maturities and sales of investments</v>
      </c>
      <c r="C92" s="142">
        <f>'Quarterly Model'!AG183</f>
        <v>0</v>
      </c>
      <c r="D92" s="142">
        <f>'Quarterly Model'!AH183</f>
        <v>0</v>
      </c>
      <c r="E92" s="142">
        <f>'Quarterly Model'!AI183</f>
        <v>0</v>
      </c>
      <c r="F92" s="142">
        <f>'Quarterly Model'!AJ183</f>
        <v>0</v>
      </c>
      <c r="G92" s="1127">
        <f>'Quarterly Model'!AK183</f>
        <v>180</v>
      </c>
      <c r="H92" s="1128">
        <f>'Quarterly Model'!AL183</f>
        <v>0</v>
      </c>
      <c r="I92" s="1128">
        <f>'Quarterly Model'!AM183</f>
        <v>0</v>
      </c>
      <c r="J92" s="1128">
        <f>'Quarterly Model'!AN183</f>
        <v>0</v>
      </c>
      <c r="K92" s="1128">
        <f>'Quarterly Model'!AO183</f>
        <v>0</v>
      </c>
      <c r="L92" s="1127">
        <f>'Quarterly Model'!AP183</f>
        <v>320</v>
      </c>
      <c r="M92" s="1128">
        <f>'Quarterly Model'!AQ183</f>
        <v>0</v>
      </c>
      <c r="N92" s="1128">
        <f>'Quarterly Model'!AR183</f>
        <v>381</v>
      </c>
      <c r="O92" s="1128">
        <f>'Quarterly Model'!AS183</f>
        <v>8</v>
      </c>
      <c r="P92" s="1128">
        <f>'Quarterly Model'!AT183</f>
        <v>0</v>
      </c>
      <c r="Q92" s="1127">
        <f>'Quarterly Model'!AU183</f>
        <v>409</v>
      </c>
      <c r="R92" s="1126">
        <f>'Quarterly Model'!AV183</f>
        <v>15</v>
      </c>
      <c r="S92" s="1128">
        <f>'Quarterly Model'!AW183</f>
        <v>402</v>
      </c>
      <c r="T92" s="1128">
        <f>'Quarterly Model'!AX183</f>
        <v>1559</v>
      </c>
      <c r="U92" s="1128">
        <f>'Quarterly Model'!AY183</f>
        <v>1342</v>
      </c>
      <c r="V92" s="1127">
        <f>'Quarterly Model'!AZ183</f>
        <v>3318</v>
      </c>
      <c r="W92" s="1128">
        <f>'Quarterly Model'!BA183</f>
        <v>4196</v>
      </c>
      <c r="X92" s="1128">
        <f>'Quarterly Model'!BB183</f>
        <v>5139</v>
      </c>
      <c r="Y92" s="1128">
        <f>'Quarterly Model'!BC183</f>
        <v>5279</v>
      </c>
      <c r="Z92" s="1128">
        <f>'Quarterly Model'!BD183</f>
        <v>3815</v>
      </c>
      <c r="AA92" s="1127">
        <f>'Quarterly Model'!BE183</f>
        <v>18429</v>
      </c>
      <c r="AB92" s="1128">
        <f>'Quarterly Model'!BF183</f>
        <v>5581</v>
      </c>
      <c r="AC92" s="1128">
        <f>'Quarterly Model'!BG183</f>
        <v>3955</v>
      </c>
      <c r="AD92" s="1128">
        <f>'Quarterly Model'!BH183</f>
        <v>3491</v>
      </c>
      <c r="AE92" s="1128">
        <f>'Quarterly Model'!BI183</f>
        <v>5423</v>
      </c>
      <c r="AF92" s="1127">
        <f>'Quarterly Model'!BJ183</f>
        <v>18450</v>
      </c>
      <c r="AG92" s="1128">
        <f>'Quarterly Model'!BK183</f>
        <v>4291</v>
      </c>
      <c r="AH92" s="1128">
        <f>'Quarterly Model'!BL183</f>
        <v>0</v>
      </c>
      <c r="AI92" s="1128">
        <f>'Quarterly Model'!BM183</f>
        <v>0</v>
      </c>
      <c r="AJ92" s="1128">
        <f>'Quarterly Model'!BN183</f>
        <v>0</v>
      </c>
      <c r="AK92" s="1127">
        <f>'Quarterly Model'!BO183</f>
        <v>4291</v>
      </c>
      <c r="AL92" s="1128">
        <f>'Quarterly Model'!BP183</f>
        <v>0</v>
      </c>
      <c r="AM92" s="1128">
        <f>'Quarterly Model'!BQ183</f>
        <v>0</v>
      </c>
      <c r="AN92" s="1128">
        <f>'Quarterly Model'!BR183</f>
        <v>0</v>
      </c>
      <c r="AO92" s="1128">
        <f>'Quarterly Model'!BS183</f>
        <v>0</v>
      </c>
      <c r="AP92" s="1127">
        <f>'Quarterly Model'!BT183</f>
        <v>0</v>
      </c>
      <c r="AQ92" s="1128">
        <f>'Quarterly Model'!BU183</f>
        <v>0</v>
      </c>
      <c r="AR92" s="1128">
        <f>'Quarterly Model'!BV183</f>
        <v>0</v>
      </c>
      <c r="AS92" s="1128">
        <f>'Quarterly Model'!BW183</f>
        <v>0</v>
      </c>
      <c r="AT92" s="1128">
        <f>'Quarterly Model'!BX183</f>
        <v>0</v>
      </c>
      <c r="AU92" s="1127">
        <f>'Quarterly Model'!BY183</f>
        <v>0</v>
      </c>
      <c r="AV92" s="1128">
        <f>'Quarterly Model'!BZ183</f>
        <v>0</v>
      </c>
      <c r="AW92" s="1128">
        <f>'Quarterly Model'!CA183</f>
        <v>0</v>
      </c>
      <c r="AX92" s="1128">
        <f>'Quarterly Model'!CB183</f>
        <v>0</v>
      </c>
      <c r="AY92" s="1128">
        <f>'Quarterly Model'!CC183</f>
        <v>0</v>
      </c>
      <c r="AZ92" s="1127">
        <f>'Quarterly Model'!CD183</f>
        <v>0</v>
      </c>
    </row>
    <row r="93" spans="2:52">
      <c r="B93" s="373" t="str">
        <f>'Quarterly Model'!B184</f>
        <v>Acquisitions, net of cash acquired</v>
      </c>
      <c r="C93" s="142">
        <f>'Quarterly Model'!AG184</f>
        <v>0</v>
      </c>
      <c r="D93" s="142">
        <f>'Quarterly Model'!AH184</f>
        <v>0</v>
      </c>
      <c r="E93" s="142">
        <f>'Quarterly Model'!AI184</f>
        <v>0</v>
      </c>
      <c r="F93" s="142">
        <f>'Quarterly Model'!AJ184</f>
        <v>0</v>
      </c>
      <c r="G93" s="1127">
        <f>'Quarterly Model'!AK184</f>
        <v>-22</v>
      </c>
      <c r="H93" s="1128">
        <f>'Quarterly Model'!AL184</f>
        <v>0</v>
      </c>
      <c r="I93" s="1128">
        <f>'Quarterly Model'!AM184</f>
        <v>0</v>
      </c>
      <c r="J93" s="1128">
        <f>'Quarterly Model'!AN184</f>
        <v>0</v>
      </c>
      <c r="K93" s="1128">
        <f>'Quarterly Model'!AO184</f>
        <v>0</v>
      </c>
      <c r="L93" s="1127">
        <f>'Quarterly Model'!AP184</f>
        <v>-731</v>
      </c>
      <c r="M93" s="1128">
        <f>'Quarterly Model'!AQ184</f>
        <v>0</v>
      </c>
      <c r="N93" s="1128">
        <f>'Quarterly Model'!AR184</f>
        <v>-1</v>
      </c>
      <c r="O93" s="1128">
        <f>'Quarterly Model'!AS184</f>
        <v>0</v>
      </c>
      <c r="P93" s="1128">
        <f>'Quarterly Model'!AT184</f>
        <v>0</v>
      </c>
      <c r="Q93" s="1127">
        <f>'Quarterly Model'!AU184</f>
        <v>-2</v>
      </c>
      <c r="R93" s="1126">
        <f>'Quarterly Model'!AV184</f>
        <v>0</v>
      </c>
      <c r="S93" s="1128">
        <f>'Quarterly Model'!AW184</f>
        <v>-273</v>
      </c>
      <c r="T93" s="1128">
        <f>'Quarterly Model'!AX184</f>
        <v>-10</v>
      </c>
      <c r="U93" s="1128">
        <f>'Quarterly Model'!AY184</f>
        <v>-942</v>
      </c>
      <c r="V93" s="1127">
        <f>'Quarterly Model'!AZ184</f>
        <v>-1225</v>
      </c>
      <c r="W93" s="1128">
        <f>'Quarterly Model'!BA184</f>
        <v>-19</v>
      </c>
      <c r="X93" s="1128">
        <f>'Quarterly Model'!BB184</f>
        <v>0</v>
      </c>
      <c r="Y93" s="1128">
        <f>'Quarterly Model'!BC184</f>
        <v>0</v>
      </c>
      <c r="Z93" s="1128">
        <f>'Quarterly Model'!BD184</f>
        <v>0</v>
      </c>
      <c r="AA93" s="1127">
        <f>'Quarterly Model'!BE184</f>
        <v>-19</v>
      </c>
      <c r="AB93" s="1128">
        <f>'Quarterly Model'!BF184</f>
        <v>0</v>
      </c>
      <c r="AC93" s="1128">
        <f>'Quarterly Model'!BG184</f>
        <v>0</v>
      </c>
      <c r="AD93" s="1128">
        <f>'Quarterly Model'!BH184</f>
        <v>-323</v>
      </c>
      <c r="AE93" s="1128">
        <f>'Quarterly Model'!BI184</f>
        <v>0</v>
      </c>
      <c r="AF93" s="1127">
        <f>'Quarterly Model'!BJ184</f>
        <v>-323</v>
      </c>
      <c r="AG93" s="1128">
        <f>'Quarterly Model'!BK184</f>
        <v>0</v>
      </c>
      <c r="AH93" s="1128">
        <f>'Quarterly Model'!BL184</f>
        <v>0</v>
      </c>
      <c r="AI93" s="1128">
        <f>'Quarterly Model'!BM184</f>
        <v>0</v>
      </c>
      <c r="AJ93" s="1128">
        <f>'Quarterly Model'!BN184</f>
        <v>0</v>
      </c>
      <c r="AK93" s="1127">
        <f>'Quarterly Model'!BO184</f>
        <v>0</v>
      </c>
      <c r="AL93" s="1128">
        <f>'Quarterly Model'!BP184</f>
        <v>0</v>
      </c>
      <c r="AM93" s="1128">
        <f>'Quarterly Model'!BQ184</f>
        <v>0</v>
      </c>
      <c r="AN93" s="1128">
        <f>'Quarterly Model'!BR184</f>
        <v>0</v>
      </c>
      <c r="AO93" s="1128">
        <f>'Quarterly Model'!BS184</f>
        <v>0</v>
      </c>
      <c r="AP93" s="1127">
        <f>'Quarterly Model'!BT184</f>
        <v>0</v>
      </c>
      <c r="AQ93" s="1128">
        <f>'Quarterly Model'!BU184</f>
        <v>0</v>
      </c>
      <c r="AR93" s="1128">
        <f>'Quarterly Model'!BV184</f>
        <v>0</v>
      </c>
      <c r="AS93" s="1128">
        <f>'Quarterly Model'!BW184</f>
        <v>0</v>
      </c>
      <c r="AT93" s="1128">
        <f>'Quarterly Model'!BX184</f>
        <v>0</v>
      </c>
      <c r="AU93" s="1127">
        <f>'Quarterly Model'!BY184</f>
        <v>0</v>
      </c>
      <c r="AV93" s="1128">
        <f>'Quarterly Model'!BZ184</f>
        <v>0</v>
      </c>
      <c r="AW93" s="1128">
        <f>'Quarterly Model'!CA184</f>
        <v>0</v>
      </c>
      <c r="AX93" s="1128">
        <f>'Quarterly Model'!CB184</f>
        <v>0</v>
      </c>
      <c r="AY93" s="1128">
        <f>'Quarterly Model'!CC184</f>
        <v>0</v>
      </c>
      <c r="AZ93" s="1127">
        <f>'Quarterly Model'!CD184</f>
        <v>0</v>
      </c>
    </row>
    <row r="94" spans="2:52">
      <c r="B94" s="373" t="str">
        <f>'Quarterly Model'!B185</f>
        <v>Notes and receivable from affiliates</v>
      </c>
      <c r="C94" s="142">
        <f>'Quarterly Model'!AG185</f>
        <v>0</v>
      </c>
      <c r="D94" s="142">
        <f>'Quarterly Model'!AH185</f>
        <v>0</v>
      </c>
      <c r="E94" s="142">
        <f>'Quarterly Model'!AI185</f>
        <v>0</v>
      </c>
      <c r="F94" s="142">
        <f>'Quarterly Model'!AJ185</f>
        <v>0</v>
      </c>
      <c r="G94" s="1127">
        <f>'Quarterly Model'!AK185</f>
        <v>-168</v>
      </c>
      <c r="H94" s="1128">
        <f>'Quarterly Model'!AL185</f>
        <v>0</v>
      </c>
      <c r="I94" s="1128">
        <f>'Quarterly Model'!AM185</f>
        <v>0</v>
      </c>
      <c r="J94" s="1128">
        <f>'Quarterly Model'!AN185</f>
        <v>0</v>
      </c>
      <c r="K94" s="1128">
        <f>'Quarterly Model'!AO185</f>
        <v>0</v>
      </c>
      <c r="L94" s="1127">
        <f>'Quarterly Model'!AP185</f>
        <v>484</v>
      </c>
      <c r="M94" s="1128">
        <f>'Quarterly Model'!AQ185</f>
        <v>0</v>
      </c>
      <c r="N94" s="1128">
        <f>'Quarterly Model'!AR185</f>
        <v>-377</v>
      </c>
      <c r="O94" s="1128">
        <f>'Quarterly Model'!AS185</f>
        <v>29</v>
      </c>
      <c r="P94" s="1128">
        <f>'Quarterly Model'!AT185</f>
        <v>0</v>
      </c>
      <c r="Q94" s="1127">
        <f>'Quarterly Model'!AU185</f>
        <v>-362</v>
      </c>
      <c r="R94" s="1126">
        <f>'Quarterly Model'!AV185</f>
        <v>-56</v>
      </c>
      <c r="S94" s="1128">
        <f>'Quarterly Model'!AW185</f>
        <v>631</v>
      </c>
      <c r="T94" s="1128">
        <f>'Quarterly Model'!AX185</f>
        <v>0</v>
      </c>
      <c r="U94" s="1128">
        <f>'Quarterly Model'!AY185</f>
        <v>0</v>
      </c>
      <c r="V94" s="1127">
        <f>'Quarterly Model'!AZ185</f>
        <v>575</v>
      </c>
      <c r="W94" s="1128">
        <f>'Quarterly Model'!BA185</f>
        <v>492</v>
      </c>
      <c r="X94" s="1128">
        <f>'Quarterly Model'!BB185</f>
        <v>-270</v>
      </c>
      <c r="Y94" s="1128">
        <f>'Quarterly Model'!BC185</f>
        <v>398</v>
      </c>
      <c r="Z94" s="1128">
        <f>'Quarterly Model'!BD185</f>
        <v>-796</v>
      </c>
      <c r="AA94" s="1127">
        <f>'Quarterly Model'!BE185</f>
        <v>-176</v>
      </c>
      <c r="AB94" s="1128">
        <f>'Quarterly Model'!BF185</f>
        <v>754</v>
      </c>
      <c r="AC94" s="1128">
        <f>'Quarterly Model'!BG185</f>
        <v>-387</v>
      </c>
      <c r="AD94" s="1128">
        <f>'Quarterly Model'!BH185</f>
        <v>-1603</v>
      </c>
      <c r="AE94" s="1128">
        <f>'Quarterly Model'!BI185</f>
        <v>-1244</v>
      </c>
      <c r="AF94" s="1127">
        <f>'Quarterly Model'!BJ185</f>
        <v>-2480</v>
      </c>
      <c r="AG94" s="1128">
        <f>'Quarterly Model'!BK185</f>
        <v>429</v>
      </c>
      <c r="AH94" s="1128">
        <f>'Quarterly Model'!BL185</f>
        <v>0</v>
      </c>
      <c r="AI94" s="1128">
        <f>'Quarterly Model'!BM185</f>
        <v>6537</v>
      </c>
      <c r="AJ94" s="1128">
        <f>'Quarterly Model'!BN185</f>
        <v>0</v>
      </c>
      <c r="AK94" s="1127">
        <f>'Quarterly Model'!BO185</f>
        <v>6966</v>
      </c>
      <c r="AL94" s="1128">
        <f>'Quarterly Model'!BP185</f>
        <v>0</v>
      </c>
      <c r="AM94" s="1128">
        <f>'Quarterly Model'!BQ185</f>
        <v>0</v>
      </c>
      <c r="AN94" s="1128">
        <f>'Quarterly Model'!BR185</f>
        <v>0</v>
      </c>
      <c r="AO94" s="1128">
        <f>'Quarterly Model'!BS185</f>
        <v>0</v>
      </c>
      <c r="AP94" s="1127">
        <f>'Quarterly Model'!BT185</f>
        <v>0</v>
      </c>
      <c r="AQ94" s="1128">
        <f>'Quarterly Model'!BU185</f>
        <v>0</v>
      </c>
      <c r="AR94" s="1128">
        <f>'Quarterly Model'!BV185</f>
        <v>0</v>
      </c>
      <c r="AS94" s="1128">
        <f>'Quarterly Model'!BW185</f>
        <v>0</v>
      </c>
      <c r="AT94" s="1128">
        <f>'Quarterly Model'!BX185</f>
        <v>0</v>
      </c>
      <c r="AU94" s="1127">
        <f>'Quarterly Model'!BY185</f>
        <v>0</v>
      </c>
      <c r="AV94" s="1128">
        <f>'Quarterly Model'!BZ185</f>
        <v>0</v>
      </c>
      <c r="AW94" s="1128">
        <f>'Quarterly Model'!CA185</f>
        <v>0</v>
      </c>
      <c r="AX94" s="1128">
        <f>'Quarterly Model'!CB185</f>
        <v>0</v>
      </c>
      <c r="AY94" s="1128">
        <f>'Quarterly Model'!CC185</f>
        <v>0</v>
      </c>
      <c r="AZ94" s="1127">
        <f>'Quarterly Model'!CD185</f>
        <v>0</v>
      </c>
    </row>
    <row r="95" spans="2:52">
      <c r="B95" s="374" t="str">
        <f>'Quarterly Model'!B186</f>
        <v>Cash flow from investing activities</v>
      </c>
      <c r="C95" s="152">
        <f>'Quarterly Model'!AG186</f>
        <v>0</v>
      </c>
      <c r="D95" s="152">
        <f>'Quarterly Model'!AH186</f>
        <v>0</v>
      </c>
      <c r="E95" s="152">
        <f>'Quarterly Model'!AI186</f>
        <v>0</v>
      </c>
      <c r="F95" s="152">
        <f>'Quarterly Model'!AJ186</f>
        <v>0</v>
      </c>
      <c r="G95" s="827">
        <f>'Quarterly Model'!AK186</f>
        <v>-1526</v>
      </c>
      <c r="H95" s="1132">
        <f>'Quarterly Model'!AL186</f>
        <v>0</v>
      </c>
      <c r="I95" s="1132">
        <f>'Quarterly Model'!AM186</f>
        <v>0</v>
      </c>
      <c r="J95" s="1132">
        <f>'Quarterly Model'!AN186</f>
        <v>0</v>
      </c>
      <c r="K95" s="1132">
        <f>'Quarterly Model'!AO186</f>
        <v>0</v>
      </c>
      <c r="L95" s="827">
        <f>'Quarterly Model'!AP186</f>
        <v>-1721</v>
      </c>
      <c r="M95" s="1132">
        <f>'Quarterly Model'!AQ186</f>
        <v>0</v>
      </c>
      <c r="N95" s="1132">
        <f>'Quarterly Model'!AR186</f>
        <v>-450</v>
      </c>
      <c r="O95" s="1132">
        <f>'Quarterly Model'!AS186</f>
        <v>-439</v>
      </c>
      <c r="P95" s="1132">
        <f>'Quarterly Model'!AT186</f>
        <v>0</v>
      </c>
      <c r="Q95" s="827">
        <f>'Quarterly Model'!AU186</f>
        <v>-1546</v>
      </c>
      <c r="R95" s="1131">
        <f>'Quarterly Model'!AV186</f>
        <v>-254</v>
      </c>
      <c r="S95" s="1132">
        <f>'Quarterly Model'!AW186</f>
        <v>-3498</v>
      </c>
      <c r="T95" s="1132">
        <f>'Quarterly Model'!AX186</f>
        <v>-1380</v>
      </c>
      <c r="U95" s="1132">
        <f>'Quarterly Model'!AY186</f>
        <v>-1257</v>
      </c>
      <c r="V95" s="827">
        <f>'Quarterly Model'!AZ186</f>
        <v>-6389</v>
      </c>
      <c r="W95" s="1132">
        <f>'Quarterly Model'!BA186</f>
        <v>325</v>
      </c>
      <c r="X95" s="1132">
        <f>'Quarterly Model'!BB186</f>
        <v>-1806</v>
      </c>
      <c r="Y95" s="1132">
        <f>'Quarterly Model'!BC186</f>
        <v>-1689</v>
      </c>
      <c r="Z95" s="1132">
        <f>'Quarterly Model'!BD186</f>
        <v>-1829</v>
      </c>
      <c r="AA95" s="827">
        <f>'Quarterly Model'!BE186</f>
        <v>-4999</v>
      </c>
      <c r="AB95" s="1132">
        <f>'Quarterly Model'!BF186</f>
        <v>-1058</v>
      </c>
      <c r="AC95" s="1132">
        <f>'Quarterly Model'!BG186</f>
        <v>-1944</v>
      </c>
      <c r="AD95" s="1132">
        <f>'Quarterly Model'!BH186</f>
        <v>-1398</v>
      </c>
      <c r="AE95" s="1132">
        <f>'Quarterly Model'!BI186</f>
        <v>-958</v>
      </c>
      <c r="AF95" s="827">
        <f>'Quarterly Model'!BJ186</f>
        <v>-5358</v>
      </c>
      <c r="AG95" s="1132">
        <f>'Quarterly Model'!BK186</f>
        <v>5</v>
      </c>
      <c r="AH95" s="1132">
        <f>'Quarterly Model'!BL186</f>
        <v>-488.95709263059928</v>
      </c>
      <c r="AI95" s="1132">
        <f>'Quarterly Model'!BM186</f>
        <v>6068.3992115647061</v>
      </c>
      <c r="AJ95" s="1132">
        <f>'Quarterly Model'!BN186</f>
        <v>-542.80162276375529</v>
      </c>
      <c r="AK95" s="827">
        <f>'Quarterly Model'!BO186</f>
        <v>5041.640496170352</v>
      </c>
      <c r="AL95" s="1132">
        <f>'Quarterly Model'!BP186</f>
        <v>-247.91238435260627</v>
      </c>
      <c r="AM95" s="1132">
        <f>'Quarterly Model'!BQ186</f>
        <v>-257.73570219340422</v>
      </c>
      <c r="AN95" s="1132">
        <f>'Quarterly Model'!BR186</f>
        <v>-265.17104076856867</v>
      </c>
      <c r="AO95" s="1132">
        <f>'Quarterly Model'!BS186</f>
        <v>-307.33858218579138</v>
      </c>
      <c r="AP95" s="827">
        <f>'Quarterly Model'!BT186</f>
        <v>-1078.1577095003706</v>
      </c>
      <c r="AQ95" s="1132">
        <f>'Quarterly Model'!BU186</f>
        <v>-277.89706103726013</v>
      </c>
      <c r="AR95" s="1132">
        <f>'Quarterly Model'!BV186</f>
        <v>-289.94154129972691</v>
      </c>
      <c r="AS95" s="1132">
        <f>'Quarterly Model'!BW186</f>
        <v>-293.16393051127875</v>
      </c>
      <c r="AT95" s="1132">
        <f>'Quarterly Model'!BX186</f>
        <v>-340.99537147771656</v>
      </c>
      <c r="AU95" s="827">
        <f>'Quarterly Model'!BY186</f>
        <v>-1201.9979043259825</v>
      </c>
      <c r="AV95" s="1132">
        <f>'Quarterly Model'!BZ186</f>
        <v>-319.37206234834917</v>
      </c>
      <c r="AW95" s="1132">
        <f>'Quarterly Model'!CA186</f>
        <v>-333.77765504009045</v>
      </c>
      <c r="AX95" s="1132">
        <f>'Quarterly Model'!CB186</f>
        <v>-339.76125218789576</v>
      </c>
      <c r="AY95" s="1132">
        <f>'Quarterly Model'!CC186</f>
        <v>-395.80295137815995</v>
      </c>
      <c r="AZ95" s="827">
        <f>'Quarterly Model'!CD186</f>
        <v>-1388.7139209544953</v>
      </c>
    </row>
    <row r="96" spans="2:52" ht="12" customHeight="1">
      <c r="B96" s="376"/>
      <c r="C96" s="229"/>
      <c r="D96" s="229"/>
      <c r="E96" s="229"/>
      <c r="F96" s="229"/>
      <c r="G96" s="1118"/>
      <c r="H96" s="313"/>
      <c r="I96" s="313"/>
      <c r="J96" s="313"/>
      <c r="K96" s="313"/>
      <c r="L96" s="1118"/>
      <c r="M96" s="313"/>
      <c r="N96" s="313"/>
      <c r="O96" s="313"/>
      <c r="P96" s="313"/>
      <c r="Q96" s="1118"/>
      <c r="R96" s="1171"/>
      <c r="S96" s="313"/>
      <c r="T96" s="313"/>
      <c r="U96" s="313"/>
      <c r="V96" s="1118"/>
      <c r="W96" s="313"/>
      <c r="X96" s="313"/>
      <c r="Y96" s="313"/>
      <c r="Z96" s="313"/>
      <c r="AA96" s="1118"/>
      <c r="AB96" s="313"/>
      <c r="AC96" s="313"/>
      <c r="AD96" s="313"/>
      <c r="AE96" s="313"/>
      <c r="AF96" s="1118"/>
      <c r="AG96" s="313"/>
      <c r="AH96" s="313"/>
      <c r="AI96" s="313"/>
      <c r="AJ96" s="313"/>
      <c r="AK96" s="1118"/>
      <c r="AL96" s="313"/>
      <c r="AM96" s="313"/>
      <c r="AN96" s="313"/>
      <c r="AO96" s="313"/>
      <c r="AP96" s="1118"/>
      <c r="AQ96" s="313"/>
      <c r="AR96" s="313"/>
      <c r="AS96" s="313"/>
      <c r="AT96" s="313"/>
      <c r="AU96" s="1118"/>
      <c r="AV96" s="313"/>
      <c r="AW96" s="313"/>
      <c r="AX96" s="313"/>
      <c r="AY96" s="313"/>
      <c r="AZ96" s="1118"/>
    </row>
    <row r="97" spans="2:52" ht="15">
      <c r="B97" s="1168" t="str">
        <f>'Quarterly Model'!B188</f>
        <v>Cash Flow from Financing Activities</v>
      </c>
      <c r="C97" s="229"/>
      <c r="D97" s="229"/>
      <c r="E97" s="229"/>
      <c r="F97" s="229"/>
      <c r="G97" s="1118"/>
      <c r="H97" s="313"/>
      <c r="I97" s="313"/>
      <c r="J97" s="313"/>
      <c r="K97" s="313"/>
      <c r="L97" s="1118"/>
      <c r="M97" s="313"/>
      <c r="N97" s="313"/>
      <c r="O97" s="313"/>
      <c r="P97" s="313"/>
      <c r="Q97" s="1118"/>
      <c r="R97" s="1171"/>
      <c r="S97" s="313"/>
      <c r="T97" s="313"/>
      <c r="U97" s="313"/>
      <c r="V97" s="1118"/>
      <c r="W97" s="313"/>
      <c r="X97" s="313"/>
      <c r="Y97" s="313"/>
      <c r="Z97" s="313"/>
      <c r="AA97" s="1118"/>
      <c r="AB97" s="313"/>
      <c r="AC97" s="313"/>
      <c r="AD97" s="313"/>
      <c r="AE97" s="313"/>
      <c r="AF97" s="1118"/>
      <c r="AG97" s="313"/>
      <c r="AH97" s="313"/>
      <c r="AI97" s="313"/>
      <c r="AJ97" s="313"/>
      <c r="AK97" s="1118"/>
      <c r="AL97" s="313"/>
      <c r="AM97" s="313"/>
      <c r="AN97" s="313"/>
      <c r="AO97" s="313"/>
      <c r="AP97" s="1118"/>
      <c r="AQ97" s="313"/>
      <c r="AR97" s="313"/>
      <c r="AS97" s="313"/>
      <c r="AT97" s="313"/>
      <c r="AU97" s="1118"/>
      <c r="AV97" s="313"/>
      <c r="AW97" s="313"/>
      <c r="AX97" s="313"/>
      <c r="AY97" s="313"/>
      <c r="AZ97" s="1118"/>
    </row>
    <row r="98" spans="2:52">
      <c r="B98" s="373" t="str">
        <f>'Quarterly Model'!B189</f>
        <v>Excess tax benefits from stock-based compensation</v>
      </c>
      <c r="C98" s="142">
        <f>'Quarterly Model'!AG189</f>
        <v>0</v>
      </c>
      <c r="D98" s="142">
        <f>'Quarterly Model'!AH189</f>
        <v>0</v>
      </c>
      <c r="E98" s="142">
        <f>'Quarterly Model'!AI189</f>
        <v>0</v>
      </c>
      <c r="F98" s="142">
        <f>'Quarterly Model'!AJ189</f>
        <v>0</v>
      </c>
      <c r="G98" s="1127">
        <f>'Quarterly Model'!AK189</f>
        <v>57</v>
      </c>
      <c r="H98" s="1128">
        <f>'Quarterly Model'!AL189</f>
        <v>0</v>
      </c>
      <c r="I98" s="1128">
        <f>'Quarterly Model'!AM189</f>
        <v>0</v>
      </c>
      <c r="J98" s="1128">
        <f>'Quarterly Model'!AN189</f>
        <v>0</v>
      </c>
      <c r="K98" s="1128">
        <f>'Quarterly Model'!AO189</f>
        <v>0</v>
      </c>
      <c r="L98" s="1127">
        <f>'Quarterly Model'!AP189</f>
        <v>76</v>
      </c>
      <c r="M98" s="1128">
        <f>'Quarterly Model'!AQ189</f>
        <v>0</v>
      </c>
      <c r="N98" s="1128">
        <f>'Quarterly Model'!AR189</f>
        <v>33</v>
      </c>
      <c r="O98" s="1128">
        <f>'Quarterly Model'!AS189</f>
        <v>2</v>
      </c>
      <c r="P98" s="1128">
        <f>'Quarterly Model'!AT189</f>
        <v>0</v>
      </c>
      <c r="Q98" s="1127">
        <f>'Quarterly Model'!AU189</f>
        <v>41</v>
      </c>
      <c r="R98" s="1126">
        <f>'Quarterly Model'!AV189</f>
        <v>8</v>
      </c>
      <c r="S98" s="1128">
        <f>'Quarterly Model'!AW189</f>
        <v>8</v>
      </c>
      <c r="T98" s="1128">
        <f>'Quarterly Model'!AX189</f>
        <v>1</v>
      </c>
      <c r="U98" s="1128">
        <f>'Quarterly Model'!AY189</f>
        <v>-9</v>
      </c>
      <c r="V98" s="1127">
        <f>'Quarterly Model'!AZ189</f>
        <v>8</v>
      </c>
      <c r="W98" s="1128">
        <f>'Quarterly Model'!BA189</f>
        <v>-14</v>
      </c>
      <c r="X98" s="1128">
        <f>'Quarterly Model'!BB189</f>
        <v>-48</v>
      </c>
      <c r="Y98" s="1128">
        <f>'Quarterly Model'!BC189</f>
        <v>3</v>
      </c>
      <c r="Z98" s="1128">
        <f>'Quarterly Model'!BD189</f>
        <v>4</v>
      </c>
      <c r="AA98" s="1127">
        <f>'Quarterly Model'!BE189</f>
        <v>-55</v>
      </c>
      <c r="AB98" s="1128">
        <f>'Quarterly Model'!BF189</f>
        <v>-101</v>
      </c>
      <c r="AC98" s="1128">
        <f>'Quarterly Model'!BG189</f>
        <v>-23</v>
      </c>
      <c r="AD98" s="1128">
        <f>'Quarterly Model'!BH189</f>
        <v>-16</v>
      </c>
      <c r="AE98" s="1128">
        <f>'Quarterly Model'!BI189</f>
        <v>-26</v>
      </c>
      <c r="AF98" s="1127">
        <f>'Quarterly Model'!BJ189</f>
        <v>-166</v>
      </c>
      <c r="AG98" s="1128">
        <f>'Quarterly Model'!BK189</f>
        <v>-335</v>
      </c>
      <c r="AH98" s="1128">
        <f>'Quarterly Model'!BL189</f>
        <v>0</v>
      </c>
      <c r="AI98" s="1128">
        <f>'Quarterly Model'!BM189</f>
        <v>0</v>
      </c>
      <c r="AJ98" s="1128">
        <f>'Quarterly Model'!BN189</f>
        <v>0</v>
      </c>
      <c r="AK98" s="1127">
        <f>'Quarterly Model'!BO189</f>
        <v>-335</v>
      </c>
      <c r="AL98" s="1128">
        <f>'Quarterly Model'!BP189</f>
        <v>0</v>
      </c>
      <c r="AM98" s="1128">
        <f>'Quarterly Model'!BQ189</f>
        <v>0</v>
      </c>
      <c r="AN98" s="1128">
        <f>'Quarterly Model'!BR189</f>
        <v>0</v>
      </c>
      <c r="AO98" s="1128">
        <f>'Quarterly Model'!BS189</f>
        <v>0</v>
      </c>
      <c r="AP98" s="1127">
        <f>'Quarterly Model'!BT189</f>
        <v>0</v>
      </c>
      <c r="AQ98" s="1128">
        <f>'Quarterly Model'!BU189</f>
        <v>0</v>
      </c>
      <c r="AR98" s="1128">
        <f>'Quarterly Model'!BV189</f>
        <v>0</v>
      </c>
      <c r="AS98" s="1128">
        <f>'Quarterly Model'!BW189</f>
        <v>0</v>
      </c>
      <c r="AT98" s="1128">
        <f>'Quarterly Model'!BX189</f>
        <v>0</v>
      </c>
      <c r="AU98" s="1127">
        <f>'Quarterly Model'!BY189</f>
        <v>0</v>
      </c>
      <c r="AV98" s="1128">
        <f>'Quarterly Model'!BZ189</f>
        <v>0</v>
      </c>
      <c r="AW98" s="1128">
        <f>'Quarterly Model'!CA189</f>
        <v>0</v>
      </c>
      <c r="AX98" s="1128">
        <f>'Quarterly Model'!CB189</f>
        <v>0</v>
      </c>
      <c r="AY98" s="1128">
        <f>'Quarterly Model'!CC189</f>
        <v>0</v>
      </c>
      <c r="AZ98" s="1127">
        <f>'Quarterly Model'!CD189</f>
        <v>0</v>
      </c>
    </row>
    <row r="99" spans="2:52">
      <c r="B99" s="373" t="str">
        <f>'Quarterly Model'!B190</f>
        <v>Net transfers to parent</v>
      </c>
      <c r="C99" s="142">
        <f>'Quarterly Model'!AG190</f>
        <v>0</v>
      </c>
      <c r="D99" s="142">
        <f>'Quarterly Model'!AH190</f>
        <v>0</v>
      </c>
      <c r="E99" s="142">
        <f>'Quarterly Model'!AI190</f>
        <v>0</v>
      </c>
      <c r="F99" s="142">
        <f>'Quarterly Model'!AJ190</f>
        <v>0</v>
      </c>
      <c r="G99" s="1127">
        <f>'Quarterly Model'!AK190</f>
        <v>-17</v>
      </c>
      <c r="H99" s="1128">
        <f>'Quarterly Model'!AL190</f>
        <v>0</v>
      </c>
      <c r="I99" s="1128">
        <f>'Quarterly Model'!AM190</f>
        <v>0</v>
      </c>
      <c r="J99" s="1128">
        <f>'Quarterly Model'!AN190</f>
        <v>0</v>
      </c>
      <c r="K99" s="1128">
        <f>'Quarterly Model'!AO190</f>
        <v>0</v>
      </c>
      <c r="L99" s="1127">
        <f>'Quarterly Model'!AP190</f>
        <v>-28</v>
      </c>
      <c r="M99" s="1128">
        <f>'Quarterly Model'!AQ190</f>
        <v>0</v>
      </c>
      <c r="N99" s="1128">
        <f>'Quarterly Model'!AR190</f>
        <v>11</v>
      </c>
      <c r="O99" s="1128">
        <f>'Quarterly Model'!AS190</f>
        <v>-13</v>
      </c>
      <c r="P99" s="1128">
        <f>'Quarterly Model'!AT190</f>
        <v>0</v>
      </c>
      <c r="Q99" s="1127">
        <f>'Quarterly Model'!AU190</f>
        <v>-71</v>
      </c>
      <c r="R99" s="1126">
        <f>'Quarterly Model'!AV190</f>
        <v>17</v>
      </c>
      <c r="S99" s="1128">
        <f>'Quarterly Model'!AW190</f>
        <v>3812</v>
      </c>
      <c r="T99" s="1128">
        <f>'Quarterly Model'!AX190</f>
        <v>29</v>
      </c>
      <c r="U99" s="1128">
        <f>'Quarterly Model'!AY190</f>
        <v>0</v>
      </c>
      <c r="V99" s="1127">
        <f>'Quarterly Model'!AZ190</f>
        <v>3858</v>
      </c>
      <c r="W99" s="1128">
        <f>'Quarterly Model'!BA190</f>
        <v>0</v>
      </c>
      <c r="X99" s="1128">
        <f>'Quarterly Model'!BB190</f>
        <v>0</v>
      </c>
      <c r="Y99" s="1128">
        <f>'Quarterly Model'!BC190</f>
        <v>0</v>
      </c>
      <c r="Z99" s="1128">
        <f>'Quarterly Model'!BD190</f>
        <v>0</v>
      </c>
      <c r="AA99" s="1127">
        <f>'Quarterly Model'!BE190</f>
        <v>0</v>
      </c>
      <c r="AB99" s="1128">
        <f>'Quarterly Model'!BF190</f>
        <v>0</v>
      </c>
      <c r="AC99" s="1128">
        <f>'Quarterly Model'!BG190</f>
        <v>0</v>
      </c>
      <c r="AD99" s="1128">
        <f>'Quarterly Model'!BH190</f>
        <v>0</v>
      </c>
      <c r="AE99" s="1128">
        <f>'Quarterly Model'!BI190</f>
        <v>0</v>
      </c>
      <c r="AF99" s="1127">
        <f>'Quarterly Model'!BJ190</f>
        <v>0</v>
      </c>
      <c r="AG99" s="1128">
        <f>'Quarterly Model'!BK190</f>
        <v>0</v>
      </c>
      <c r="AH99" s="1128">
        <f>'Quarterly Model'!BL190</f>
        <v>0</v>
      </c>
      <c r="AI99" s="1128">
        <f>'Quarterly Model'!BM190</f>
        <v>0</v>
      </c>
      <c r="AJ99" s="1128">
        <f>'Quarterly Model'!BN190</f>
        <v>0</v>
      </c>
      <c r="AK99" s="1127">
        <f>'Quarterly Model'!BO190</f>
        <v>0</v>
      </c>
      <c r="AL99" s="1128">
        <f>'Quarterly Model'!BP190</f>
        <v>0</v>
      </c>
      <c r="AM99" s="1128">
        <f>'Quarterly Model'!BQ190</f>
        <v>0</v>
      </c>
      <c r="AN99" s="1128">
        <f>'Quarterly Model'!BR190</f>
        <v>0</v>
      </c>
      <c r="AO99" s="1128">
        <f>'Quarterly Model'!BS190</f>
        <v>0</v>
      </c>
      <c r="AP99" s="1127">
        <f>'Quarterly Model'!BT190</f>
        <v>0</v>
      </c>
      <c r="AQ99" s="1128">
        <f>'Quarterly Model'!BU190</f>
        <v>0</v>
      </c>
      <c r="AR99" s="1128">
        <f>'Quarterly Model'!BV190</f>
        <v>0</v>
      </c>
      <c r="AS99" s="1128">
        <f>'Quarterly Model'!BW190</f>
        <v>0</v>
      </c>
      <c r="AT99" s="1128">
        <f>'Quarterly Model'!BX190</f>
        <v>0</v>
      </c>
      <c r="AU99" s="1127">
        <f>'Quarterly Model'!BY190</f>
        <v>0</v>
      </c>
      <c r="AV99" s="1128">
        <f>'Quarterly Model'!BZ190</f>
        <v>0</v>
      </c>
      <c r="AW99" s="1128">
        <f>'Quarterly Model'!CA190</f>
        <v>0</v>
      </c>
      <c r="AX99" s="1128">
        <f>'Quarterly Model'!CB190</f>
        <v>0</v>
      </c>
      <c r="AY99" s="1128">
        <f>'Quarterly Model'!CC190</f>
        <v>0</v>
      </c>
      <c r="AZ99" s="1127">
        <f>'Quarterly Model'!CD190</f>
        <v>0</v>
      </c>
    </row>
    <row r="100" spans="2:52">
      <c r="B100" s="373" t="str">
        <f>'Quarterly Model'!B191</f>
        <v>Net (repayments) borrowings under financing arrangement</v>
      </c>
      <c r="C100" s="142">
        <f>'Quarterly Model'!AG191</f>
        <v>0</v>
      </c>
      <c r="D100" s="142">
        <f>'Quarterly Model'!AH191</f>
        <v>0</v>
      </c>
      <c r="E100" s="142">
        <f>'Quarterly Model'!AI191</f>
        <v>0</v>
      </c>
      <c r="F100" s="142">
        <f>'Quarterly Model'!AJ191</f>
        <v>0</v>
      </c>
      <c r="G100" s="1127">
        <f>'Quarterly Model'!AK191</f>
        <v>20</v>
      </c>
      <c r="H100" s="1128">
        <f>'Quarterly Model'!AL191</f>
        <v>0</v>
      </c>
      <c r="I100" s="1128">
        <f>'Quarterly Model'!AM191</f>
        <v>0</v>
      </c>
      <c r="J100" s="1128">
        <f>'Quarterly Model'!AN191</f>
        <v>0</v>
      </c>
      <c r="K100" s="1128">
        <f>'Quarterly Model'!AO191</f>
        <v>0</v>
      </c>
      <c r="L100" s="1127">
        <f>'Quarterly Model'!AP191</f>
        <v>-133</v>
      </c>
      <c r="M100" s="1128">
        <f>'Quarterly Model'!AQ191</f>
        <v>0</v>
      </c>
      <c r="N100" s="1128">
        <f>'Quarterly Model'!AR191</f>
        <v>-87</v>
      </c>
      <c r="O100" s="1128">
        <f>'Quarterly Model'!AS191</f>
        <v>26</v>
      </c>
      <c r="P100" s="1128">
        <f>'Quarterly Model'!AT191</f>
        <v>0</v>
      </c>
      <c r="Q100" s="1127">
        <f>'Quarterly Model'!AU191</f>
        <v>-21</v>
      </c>
      <c r="R100" s="1126">
        <f>'Quarterly Model'!AV191</f>
        <v>-119</v>
      </c>
      <c r="S100" s="1128">
        <f>'Quarterly Model'!AW191</f>
        <v>-754</v>
      </c>
      <c r="T100" s="1128">
        <f>'Quarterly Model'!AX191</f>
        <v>-4</v>
      </c>
      <c r="U100" s="1128">
        <f>'Quarterly Model'!AY191</f>
        <v>15</v>
      </c>
      <c r="V100" s="1127">
        <f>'Quarterly Model'!AZ191</f>
        <v>-862</v>
      </c>
      <c r="W100" s="1128">
        <f>'Quarterly Model'!BA191</f>
        <v>-21</v>
      </c>
      <c r="X100" s="1128">
        <f>'Quarterly Model'!BB191</f>
        <v>0</v>
      </c>
      <c r="Y100" s="1128">
        <f>'Quarterly Model'!BC191</f>
        <v>0</v>
      </c>
      <c r="Z100" s="1128">
        <f>'Quarterly Model'!BD191</f>
        <v>0</v>
      </c>
      <c r="AA100" s="1127">
        <f>'Quarterly Model'!BE191</f>
        <v>-21</v>
      </c>
      <c r="AB100" s="1128">
        <f>'Quarterly Model'!BF191</f>
        <v>0</v>
      </c>
      <c r="AC100" s="1128">
        <f>'Quarterly Model'!BG191</f>
        <v>-6</v>
      </c>
      <c r="AD100" s="1128">
        <f>'Quarterly Model'!BH191</f>
        <v>626</v>
      </c>
      <c r="AE100" s="1128">
        <f>'Quarterly Model'!BI191</f>
        <v>200</v>
      </c>
      <c r="AF100" s="1127">
        <f>'Quarterly Model'!BJ191</f>
        <v>820</v>
      </c>
      <c r="AG100" s="1128">
        <f>'Quarterly Model'!BK191</f>
        <v>2075</v>
      </c>
      <c r="AH100" s="1128">
        <f>'Quarterly Model'!BL191</f>
        <v>0</v>
      </c>
      <c r="AI100" s="1128">
        <f>'Quarterly Model'!BM191</f>
        <v>0</v>
      </c>
      <c r="AJ100" s="1128">
        <f>'Quarterly Model'!BN191</f>
        <v>0</v>
      </c>
      <c r="AK100" s="1127">
        <f>'Quarterly Model'!BO191</f>
        <v>2075</v>
      </c>
      <c r="AL100" s="1128">
        <f>'Quarterly Model'!BP191</f>
        <v>0</v>
      </c>
      <c r="AM100" s="1128">
        <f>'Quarterly Model'!BQ191</f>
        <v>0</v>
      </c>
      <c r="AN100" s="1128">
        <f>'Quarterly Model'!BR191</f>
        <v>0</v>
      </c>
      <c r="AO100" s="1128">
        <f>'Quarterly Model'!BS191</f>
        <v>0</v>
      </c>
      <c r="AP100" s="1127">
        <f>'Quarterly Model'!BT191</f>
        <v>0</v>
      </c>
      <c r="AQ100" s="1128">
        <f>'Quarterly Model'!BU191</f>
        <v>0</v>
      </c>
      <c r="AR100" s="1128">
        <f>'Quarterly Model'!BV191</f>
        <v>0</v>
      </c>
      <c r="AS100" s="1128">
        <f>'Quarterly Model'!BW191</f>
        <v>0</v>
      </c>
      <c r="AT100" s="1128">
        <f>'Quarterly Model'!BX191</f>
        <v>0</v>
      </c>
      <c r="AU100" s="1127">
        <f>'Quarterly Model'!BY191</f>
        <v>0</v>
      </c>
      <c r="AV100" s="1128">
        <f>'Quarterly Model'!BZ191</f>
        <v>0</v>
      </c>
      <c r="AW100" s="1128">
        <f>'Quarterly Model'!CA191</f>
        <v>0</v>
      </c>
      <c r="AX100" s="1128">
        <f>'Quarterly Model'!CB191</f>
        <v>0</v>
      </c>
      <c r="AY100" s="1128">
        <f>'Quarterly Model'!CC191</f>
        <v>0</v>
      </c>
      <c r="AZ100" s="1127">
        <f>'Quarterly Model'!CD191</f>
        <v>0</v>
      </c>
    </row>
    <row r="101" spans="2:52">
      <c r="B101" s="373" t="str">
        <f>'Quarterly Model'!B192</f>
        <v>Banking deposits from affiliates</v>
      </c>
      <c r="C101" s="142">
        <f>'Quarterly Model'!AG192</f>
        <v>0</v>
      </c>
      <c r="D101" s="142">
        <f>'Quarterly Model'!AH192</f>
        <v>0</v>
      </c>
      <c r="E101" s="142">
        <f>'Quarterly Model'!AI192</f>
        <v>0</v>
      </c>
      <c r="F101" s="142">
        <f>'Quarterly Model'!AJ192</f>
        <v>0</v>
      </c>
      <c r="G101" s="1127">
        <f>'Quarterly Model'!AK192</f>
        <v>-270</v>
      </c>
      <c r="H101" s="1128">
        <f>'Quarterly Model'!AL192</f>
        <v>0</v>
      </c>
      <c r="I101" s="1128">
        <f>'Quarterly Model'!AM192</f>
        <v>0</v>
      </c>
      <c r="J101" s="1128">
        <f>'Quarterly Model'!AN192</f>
        <v>0</v>
      </c>
      <c r="K101" s="1128">
        <f>'Quarterly Model'!AO192</f>
        <v>0</v>
      </c>
      <c r="L101" s="1127">
        <f>'Quarterly Model'!AP192</f>
        <v>0</v>
      </c>
      <c r="M101" s="1128">
        <f>'Quarterly Model'!AQ192</f>
        <v>0</v>
      </c>
      <c r="N101" s="1128">
        <f>'Quarterly Model'!AR192</f>
        <v>0</v>
      </c>
      <c r="O101" s="1128">
        <f>'Quarterly Model'!AS192</f>
        <v>0</v>
      </c>
      <c r="P101" s="1128">
        <f>'Quarterly Model'!AT192</f>
        <v>0</v>
      </c>
      <c r="Q101" s="1127">
        <f>'Quarterly Model'!AU192</f>
        <v>0</v>
      </c>
      <c r="R101" s="1126">
        <f>'Quarterly Model'!AV192</f>
        <v>0</v>
      </c>
      <c r="S101" s="1128">
        <f>'Quarterly Model'!AW192</f>
        <v>0</v>
      </c>
      <c r="T101" s="1128">
        <f>'Quarterly Model'!AX192</f>
        <v>0</v>
      </c>
      <c r="U101" s="1128">
        <f>'Quarterly Model'!AY192</f>
        <v>0</v>
      </c>
      <c r="V101" s="1127">
        <f>'Quarterly Model'!AZ192</f>
        <v>0</v>
      </c>
      <c r="W101" s="1128">
        <f>'Quarterly Model'!BA192</f>
        <v>0</v>
      </c>
      <c r="X101" s="1128">
        <f>'Quarterly Model'!BB192</f>
        <v>0</v>
      </c>
      <c r="Y101" s="1128">
        <f>'Quarterly Model'!BC192</f>
        <v>0</v>
      </c>
      <c r="Z101" s="1128">
        <f>'Quarterly Model'!BD192</f>
        <v>0</v>
      </c>
      <c r="AA101" s="1127">
        <f>'Quarterly Model'!BE192</f>
        <v>0</v>
      </c>
      <c r="AB101" s="1128">
        <f>'Quarterly Model'!BF192</f>
        <v>0</v>
      </c>
      <c r="AC101" s="1128">
        <f>'Quarterly Model'!BG192</f>
        <v>0</v>
      </c>
      <c r="AD101" s="1128">
        <f>'Quarterly Model'!BH192</f>
        <v>0</v>
      </c>
      <c r="AE101" s="1128">
        <f>'Quarterly Model'!BI192</f>
        <v>0</v>
      </c>
      <c r="AF101" s="1127">
        <f>'Quarterly Model'!BJ192</f>
        <v>0</v>
      </c>
      <c r="AG101" s="1128">
        <f>'Quarterly Model'!BK192</f>
        <v>0</v>
      </c>
      <c r="AH101" s="1128">
        <f>'Quarterly Model'!BL192</f>
        <v>0</v>
      </c>
      <c r="AI101" s="1128">
        <f>'Quarterly Model'!BM192</f>
        <v>0</v>
      </c>
      <c r="AJ101" s="1128">
        <f>'Quarterly Model'!BN192</f>
        <v>0</v>
      </c>
      <c r="AK101" s="1127">
        <f>'Quarterly Model'!BO192</f>
        <v>0</v>
      </c>
      <c r="AL101" s="1128">
        <f>'Quarterly Model'!BP192</f>
        <v>0</v>
      </c>
      <c r="AM101" s="1128">
        <f>'Quarterly Model'!BQ192</f>
        <v>0</v>
      </c>
      <c r="AN101" s="1128">
        <f>'Quarterly Model'!BR192</f>
        <v>0</v>
      </c>
      <c r="AO101" s="1128">
        <f>'Quarterly Model'!BS192</f>
        <v>0</v>
      </c>
      <c r="AP101" s="1127">
        <f>'Quarterly Model'!BT192</f>
        <v>0</v>
      </c>
      <c r="AQ101" s="1128">
        <f>'Quarterly Model'!BU192</f>
        <v>0</v>
      </c>
      <c r="AR101" s="1128">
        <f>'Quarterly Model'!BV192</f>
        <v>0</v>
      </c>
      <c r="AS101" s="1128">
        <f>'Quarterly Model'!BW192</f>
        <v>0</v>
      </c>
      <c r="AT101" s="1128">
        <f>'Quarterly Model'!BX192</f>
        <v>0</v>
      </c>
      <c r="AU101" s="1127">
        <f>'Quarterly Model'!BY192</f>
        <v>0</v>
      </c>
      <c r="AV101" s="1128">
        <f>'Quarterly Model'!BZ192</f>
        <v>0</v>
      </c>
      <c r="AW101" s="1128">
        <f>'Quarterly Model'!CA192</f>
        <v>0</v>
      </c>
      <c r="AX101" s="1128">
        <f>'Quarterly Model'!CB192</f>
        <v>0</v>
      </c>
      <c r="AY101" s="1128">
        <f>'Quarterly Model'!CC192</f>
        <v>0</v>
      </c>
      <c r="AZ101" s="1127">
        <f>'Quarterly Model'!CD192</f>
        <v>0</v>
      </c>
    </row>
    <row r="102" spans="2:52">
      <c r="B102" s="373" t="str">
        <f>'Quarterly Model'!B193</f>
        <v>Funds receivable and customer accounts</v>
      </c>
      <c r="C102" s="142">
        <f>'Quarterly Model'!AG193</f>
        <v>0</v>
      </c>
      <c r="D102" s="142">
        <f>'Quarterly Model'!AH193</f>
        <v>0</v>
      </c>
      <c r="E102" s="142">
        <f>'Quarterly Model'!AI193</f>
        <v>0</v>
      </c>
      <c r="F102" s="142">
        <f>'Quarterly Model'!AJ193</f>
        <v>0</v>
      </c>
      <c r="G102" s="1127">
        <f>'Quarterly Model'!AK193</f>
        <v>-4090</v>
      </c>
      <c r="H102" s="1128">
        <f>'Quarterly Model'!AL193</f>
        <v>0</v>
      </c>
      <c r="I102" s="1128">
        <f>'Quarterly Model'!AM193</f>
        <v>0</v>
      </c>
      <c r="J102" s="1128">
        <f>'Quarterly Model'!AN193</f>
        <v>0</v>
      </c>
      <c r="K102" s="1128">
        <f>'Quarterly Model'!AO193</f>
        <v>0</v>
      </c>
      <c r="L102" s="1127">
        <f>'Quarterly Model'!AP193</f>
        <v>-1653</v>
      </c>
      <c r="M102" s="1128">
        <f>'Quarterly Model'!AQ193</f>
        <v>0</v>
      </c>
      <c r="N102" s="1128">
        <f>'Quarterly Model'!AR193</f>
        <v>-774</v>
      </c>
      <c r="O102" s="1128">
        <f>'Quarterly Model'!AS193</f>
        <v>76</v>
      </c>
      <c r="P102" s="1128">
        <f>'Quarterly Model'!AT193</f>
        <v>0</v>
      </c>
      <c r="Q102" s="1127">
        <f>'Quarterly Model'!AU193</f>
        <v>-1335</v>
      </c>
      <c r="R102" s="1126">
        <f>'Quarterly Model'!AV193</f>
        <v>-333</v>
      </c>
      <c r="S102" s="1128">
        <f>'Quarterly Model'!AW193</f>
        <v>-441</v>
      </c>
      <c r="T102" s="1128">
        <f>'Quarterly Model'!AX193</f>
        <v>-416</v>
      </c>
      <c r="U102" s="1128">
        <f>'Quarterly Model'!AY193</f>
        <v>-459</v>
      </c>
      <c r="V102" s="1127">
        <f>'Quarterly Model'!AZ193</f>
        <v>-1649</v>
      </c>
      <c r="W102" s="1128">
        <f>'Quarterly Model'!BA193</f>
        <v>0</v>
      </c>
      <c r="X102" s="1128">
        <f>'Quarterly Model'!BB193</f>
        <v>0</v>
      </c>
      <c r="Y102" s="1128">
        <f>'Quarterly Model'!BC193</f>
        <v>0</v>
      </c>
      <c r="Z102" s="1128">
        <f>'Quarterly Model'!BD193</f>
        <v>0</v>
      </c>
      <c r="AA102" s="1127">
        <f>'Quarterly Model'!BE193</f>
        <v>0</v>
      </c>
      <c r="AB102" s="1128">
        <f>'Quarterly Model'!BF193</f>
        <v>0</v>
      </c>
      <c r="AC102" s="1128">
        <f>'Quarterly Model'!BG193</f>
        <v>0</v>
      </c>
      <c r="AD102" s="1128">
        <f>'Quarterly Model'!BH193</f>
        <v>0</v>
      </c>
      <c r="AE102" s="1128">
        <f>'Quarterly Model'!BI193</f>
        <v>0</v>
      </c>
      <c r="AF102" s="1127">
        <f>'Quarterly Model'!BJ193</f>
        <v>0</v>
      </c>
      <c r="AG102" s="1128">
        <f>'Quarterly Model'!BK193</f>
        <v>0</v>
      </c>
      <c r="AH102" s="1128">
        <f>'Quarterly Model'!BL193</f>
        <v>0</v>
      </c>
      <c r="AI102" s="1128">
        <f>'Quarterly Model'!BM193</f>
        <v>0</v>
      </c>
      <c r="AJ102" s="1128">
        <f>'Quarterly Model'!BN193</f>
        <v>0</v>
      </c>
      <c r="AK102" s="1127">
        <f>'Quarterly Model'!BO193</f>
        <v>0</v>
      </c>
      <c r="AL102" s="1128">
        <f>'Quarterly Model'!BP193</f>
        <v>0</v>
      </c>
      <c r="AM102" s="1128">
        <f>'Quarterly Model'!BQ193</f>
        <v>0</v>
      </c>
      <c r="AN102" s="1128">
        <f>'Quarterly Model'!BR193</f>
        <v>0</v>
      </c>
      <c r="AO102" s="1128">
        <f>'Quarterly Model'!BS193</f>
        <v>0</v>
      </c>
      <c r="AP102" s="1127">
        <f>'Quarterly Model'!BT193</f>
        <v>0</v>
      </c>
      <c r="AQ102" s="1128">
        <f>'Quarterly Model'!BU193</f>
        <v>0</v>
      </c>
      <c r="AR102" s="1128">
        <f>'Quarterly Model'!BV193</f>
        <v>0</v>
      </c>
      <c r="AS102" s="1128">
        <f>'Quarterly Model'!BW193</f>
        <v>0</v>
      </c>
      <c r="AT102" s="1128">
        <f>'Quarterly Model'!BX193</f>
        <v>0</v>
      </c>
      <c r="AU102" s="1127">
        <f>'Quarterly Model'!BY193</f>
        <v>0</v>
      </c>
      <c r="AV102" s="1128">
        <f>'Quarterly Model'!BZ193</f>
        <v>0</v>
      </c>
      <c r="AW102" s="1128">
        <f>'Quarterly Model'!CA193</f>
        <v>0</v>
      </c>
      <c r="AX102" s="1128">
        <f>'Quarterly Model'!CB193</f>
        <v>0</v>
      </c>
      <c r="AY102" s="1128">
        <f>'Quarterly Model'!CC193</f>
        <v>0</v>
      </c>
      <c r="AZ102" s="1127">
        <f>'Quarterly Model'!CD193</f>
        <v>0</v>
      </c>
    </row>
    <row r="103" spans="2:52">
      <c r="B103" s="373" t="str">
        <f>'Quarterly Model'!B194</f>
        <v>Funds payable and amounts due to customers</v>
      </c>
      <c r="C103" s="142">
        <f>'Quarterly Model'!AG194</f>
        <v>0</v>
      </c>
      <c r="D103" s="142">
        <f>'Quarterly Model'!AH194</f>
        <v>0</v>
      </c>
      <c r="E103" s="142">
        <f>'Quarterly Model'!AI194</f>
        <v>0</v>
      </c>
      <c r="F103" s="142">
        <f>'Quarterly Model'!AJ194</f>
        <v>0</v>
      </c>
      <c r="G103" s="1127">
        <f>'Quarterly Model'!AK194</f>
        <v>4090</v>
      </c>
      <c r="H103" s="1128">
        <f>'Quarterly Model'!AL194</f>
        <v>0</v>
      </c>
      <c r="I103" s="1128">
        <f>'Quarterly Model'!AM194</f>
        <v>0</v>
      </c>
      <c r="J103" s="1128">
        <f>'Quarterly Model'!AN194</f>
        <v>0</v>
      </c>
      <c r="K103" s="1128">
        <f>'Quarterly Model'!AO194</f>
        <v>0</v>
      </c>
      <c r="L103" s="1127">
        <f>'Quarterly Model'!AP194</f>
        <v>1653</v>
      </c>
      <c r="M103" s="1128">
        <f>'Quarterly Model'!AQ194</f>
        <v>0</v>
      </c>
      <c r="N103" s="1128">
        <f>'Quarterly Model'!AR194</f>
        <v>774</v>
      </c>
      <c r="O103" s="1128">
        <f>'Quarterly Model'!AS194</f>
        <v>-76</v>
      </c>
      <c r="P103" s="1128">
        <f>'Quarterly Model'!AT194</f>
        <v>0</v>
      </c>
      <c r="Q103" s="1127">
        <f>'Quarterly Model'!AU194</f>
        <v>1335</v>
      </c>
      <c r="R103" s="1126">
        <f>'Quarterly Model'!AV194</f>
        <v>333</v>
      </c>
      <c r="S103" s="1128">
        <f>'Quarterly Model'!AW194</f>
        <v>441</v>
      </c>
      <c r="T103" s="1128">
        <f>'Quarterly Model'!AX194</f>
        <v>416</v>
      </c>
      <c r="U103" s="1128">
        <f>'Quarterly Model'!AY194</f>
        <v>459</v>
      </c>
      <c r="V103" s="1127">
        <f>'Quarterly Model'!AZ194</f>
        <v>1649</v>
      </c>
      <c r="W103" s="1128">
        <f>'Quarterly Model'!BA194</f>
        <v>738</v>
      </c>
      <c r="X103" s="1128">
        <f>'Quarterly Model'!BB194</f>
        <v>841</v>
      </c>
      <c r="Y103" s="1128">
        <f>'Quarterly Model'!BC194</f>
        <v>283</v>
      </c>
      <c r="Z103" s="1128">
        <f>'Quarterly Model'!BD194</f>
        <v>1161</v>
      </c>
      <c r="AA103" s="1127">
        <f>'Quarterly Model'!BE194</f>
        <v>3023</v>
      </c>
      <c r="AB103" s="1128">
        <f>'Quarterly Model'!BF194</f>
        <v>552</v>
      </c>
      <c r="AC103" s="1128">
        <f>'Quarterly Model'!BG194</f>
        <v>1086</v>
      </c>
      <c r="AD103" s="1128">
        <f>'Quarterly Model'!BH194</f>
        <v>915</v>
      </c>
      <c r="AE103" s="1128">
        <f>'Quarterly Model'!BI194</f>
        <v>1739</v>
      </c>
      <c r="AF103" s="1127">
        <f>'Quarterly Model'!BJ194</f>
        <v>4292</v>
      </c>
      <c r="AG103" s="1128">
        <f>'Quarterly Model'!BK194</f>
        <v>865</v>
      </c>
      <c r="AH103" s="1128">
        <f>'Quarterly Model'!BL194</f>
        <v>0</v>
      </c>
      <c r="AI103" s="1128">
        <f>'Quarterly Model'!BM194</f>
        <v>0</v>
      </c>
      <c r="AJ103" s="1128">
        <f>'Quarterly Model'!BN194</f>
        <v>0</v>
      </c>
      <c r="AK103" s="1127">
        <f>'Quarterly Model'!BO194</f>
        <v>865</v>
      </c>
      <c r="AL103" s="1128">
        <f>'Quarterly Model'!BP194</f>
        <v>0</v>
      </c>
      <c r="AM103" s="1128">
        <f>'Quarterly Model'!BQ194</f>
        <v>0</v>
      </c>
      <c r="AN103" s="1128">
        <f>'Quarterly Model'!BR194</f>
        <v>0</v>
      </c>
      <c r="AO103" s="1128">
        <f>'Quarterly Model'!BS194</f>
        <v>0</v>
      </c>
      <c r="AP103" s="1127">
        <f>'Quarterly Model'!BT194</f>
        <v>0</v>
      </c>
      <c r="AQ103" s="1128">
        <f>'Quarterly Model'!BU194</f>
        <v>0</v>
      </c>
      <c r="AR103" s="1128">
        <f>'Quarterly Model'!BV194</f>
        <v>0</v>
      </c>
      <c r="AS103" s="1128">
        <f>'Quarterly Model'!BW194</f>
        <v>0</v>
      </c>
      <c r="AT103" s="1128">
        <f>'Quarterly Model'!BX194</f>
        <v>0</v>
      </c>
      <c r="AU103" s="1127">
        <f>'Quarterly Model'!BY194</f>
        <v>0</v>
      </c>
      <c r="AV103" s="1128">
        <f>'Quarterly Model'!BZ194</f>
        <v>0</v>
      </c>
      <c r="AW103" s="1128">
        <f>'Quarterly Model'!CA194</f>
        <v>0</v>
      </c>
      <c r="AX103" s="1128">
        <f>'Quarterly Model'!CB194</f>
        <v>0</v>
      </c>
      <c r="AY103" s="1128">
        <f>'Quarterly Model'!CC194</f>
        <v>0</v>
      </c>
      <c r="AZ103" s="1127">
        <f>'Quarterly Model'!CD194</f>
        <v>0</v>
      </c>
    </row>
    <row r="104" spans="2:52">
      <c r="B104" s="373" t="str">
        <f>'Quarterly Model'!B195</f>
        <v>Issue of common stock</v>
      </c>
      <c r="C104" s="142">
        <f>'Quarterly Model'!AG195</f>
        <v>0</v>
      </c>
      <c r="D104" s="142">
        <f>'Quarterly Model'!AH195</f>
        <v>0</v>
      </c>
      <c r="E104" s="142">
        <f>'Quarterly Model'!AI195</f>
        <v>0</v>
      </c>
      <c r="F104" s="142">
        <f>'Quarterly Model'!AJ195</f>
        <v>0</v>
      </c>
      <c r="G104" s="1127">
        <f>'Quarterly Model'!AK195</f>
        <v>0</v>
      </c>
      <c r="H104" s="1128">
        <f>'Quarterly Model'!AL195</f>
        <v>0</v>
      </c>
      <c r="I104" s="1128">
        <f>'Quarterly Model'!AM195</f>
        <v>0</v>
      </c>
      <c r="J104" s="1128">
        <f>'Quarterly Model'!AN195</f>
        <v>0</v>
      </c>
      <c r="K104" s="1128">
        <f>'Quarterly Model'!AO195</f>
        <v>0</v>
      </c>
      <c r="L104" s="1127">
        <f>'Quarterly Model'!AP195</f>
        <v>0</v>
      </c>
      <c r="M104" s="1128">
        <f>'Quarterly Model'!AQ195</f>
        <v>0</v>
      </c>
      <c r="N104" s="1128">
        <f>'Quarterly Model'!AR195</f>
        <v>0</v>
      </c>
      <c r="O104" s="1128">
        <f>'Quarterly Model'!AS195</f>
        <v>0</v>
      </c>
      <c r="P104" s="1128">
        <f>'Quarterly Model'!AT195</f>
        <v>0</v>
      </c>
      <c r="Q104" s="1127">
        <f>'Quarterly Model'!AU195</f>
        <v>0</v>
      </c>
      <c r="R104" s="1126">
        <f>'Quarterly Model'!AV195</f>
        <v>0</v>
      </c>
      <c r="S104" s="1128">
        <f>'Quarterly Model'!AW195</f>
        <v>0</v>
      </c>
      <c r="T104" s="1128">
        <f>'Quarterly Model'!AX195</f>
        <v>36</v>
      </c>
      <c r="U104" s="1128">
        <f>'Quarterly Model'!AY195</f>
        <v>39</v>
      </c>
      <c r="V104" s="1127">
        <f>'Quarterly Model'!AZ195</f>
        <v>75</v>
      </c>
      <c r="W104" s="1128">
        <f>'Quarterly Model'!BA195</f>
        <v>6</v>
      </c>
      <c r="X104" s="1128">
        <f>'Quarterly Model'!BB195</f>
        <v>51</v>
      </c>
      <c r="Y104" s="1128">
        <f>'Quarterly Model'!BC195</f>
        <v>1</v>
      </c>
      <c r="Z104" s="1128">
        <f>'Quarterly Model'!BD195</f>
        <v>51</v>
      </c>
      <c r="AA104" s="1127">
        <f>'Quarterly Model'!BE195</f>
        <v>109</v>
      </c>
      <c r="AB104" s="1128">
        <f>'Quarterly Model'!BF195</f>
        <v>12</v>
      </c>
      <c r="AC104" s="1128">
        <f>'Quarterly Model'!BG195</f>
        <v>74</v>
      </c>
      <c r="AD104" s="1128">
        <f>'Quarterly Model'!BH195</f>
        <v>14</v>
      </c>
      <c r="AE104" s="1128">
        <f>'Quarterly Model'!BI195</f>
        <v>44</v>
      </c>
      <c r="AF104" s="1127">
        <f>'Quarterly Model'!BJ195</f>
        <v>144</v>
      </c>
      <c r="AG104" s="1128">
        <f>'Quarterly Model'!BK195</f>
        <v>13</v>
      </c>
      <c r="AH104" s="1128">
        <f>'Quarterly Model'!BL195</f>
        <v>0</v>
      </c>
      <c r="AI104" s="1128">
        <f>'Quarterly Model'!BM195</f>
        <v>0</v>
      </c>
      <c r="AJ104" s="1128">
        <f>'Quarterly Model'!BN195</f>
        <v>0</v>
      </c>
      <c r="AK104" s="1127">
        <f>'Quarterly Model'!BO195</f>
        <v>13</v>
      </c>
      <c r="AL104" s="1128">
        <f>'Quarterly Model'!BP195</f>
        <v>0</v>
      </c>
      <c r="AM104" s="1128">
        <f>'Quarterly Model'!BQ195</f>
        <v>0</v>
      </c>
      <c r="AN104" s="1128">
        <f>'Quarterly Model'!BR195</f>
        <v>0</v>
      </c>
      <c r="AO104" s="1128">
        <f>'Quarterly Model'!BS195</f>
        <v>0</v>
      </c>
      <c r="AP104" s="1127">
        <f>'Quarterly Model'!BT195</f>
        <v>0</v>
      </c>
      <c r="AQ104" s="1128">
        <f>'Quarterly Model'!BU195</f>
        <v>0</v>
      </c>
      <c r="AR104" s="1128">
        <f>'Quarterly Model'!BV195</f>
        <v>0</v>
      </c>
      <c r="AS104" s="1128">
        <f>'Quarterly Model'!BW195</f>
        <v>0</v>
      </c>
      <c r="AT104" s="1128">
        <f>'Quarterly Model'!BX195</f>
        <v>0</v>
      </c>
      <c r="AU104" s="1127">
        <f>'Quarterly Model'!BY195</f>
        <v>0</v>
      </c>
      <c r="AV104" s="1128">
        <f>'Quarterly Model'!BZ195</f>
        <v>0</v>
      </c>
      <c r="AW104" s="1128">
        <f>'Quarterly Model'!CA195</f>
        <v>0</v>
      </c>
      <c r="AX104" s="1128">
        <f>'Quarterly Model'!CB195</f>
        <v>0</v>
      </c>
      <c r="AY104" s="1128">
        <f>'Quarterly Model'!CC195</f>
        <v>0</v>
      </c>
      <c r="AZ104" s="1127">
        <f>'Quarterly Model'!CD195</f>
        <v>0</v>
      </c>
    </row>
    <row r="105" spans="2:52">
      <c r="B105" s="373" t="str">
        <f>'Quarterly Model'!B196</f>
        <v>Repurchase of common stock</v>
      </c>
      <c r="C105" s="142">
        <f>'Quarterly Model'!AG196</f>
        <v>0</v>
      </c>
      <c r="D105" s="142">
        <f>'Quarterly Model'!AH196</f>
        <v>0</v>
      </c>
      <c r="E105" s="142">
        <f>'Quarterly Model'!AI196</f>
        <v>0</v>
      </c>
      <c r="F105" s="142">
        <f>'Quarterly Model'!AJ196</f>
        <v>0</v>
      </c>
      <c r="G105" s="1127">
        <f>'Quarterly Model'!AK196</f>
        <v>0</v>
      </c>
      <c r="H105" s="1128">
        <f>'Quarterly Model'!AL196</f>
        <v>0</v>
      </c>
      <c r="I105" s="1128">
        <f>'Quarterly Model'!AM196</f>
        <v>0</v>
      </c>
      <c r="J105" s="1128">
        <f>'Quarterly Model'!AN196</f>
        <v>0</v>
      </c>
      <c r="K105" s="1128">
        <f>'Quarterly Model'!AO196</f>
        <v>0</v>
      </c>
      <c r="L105" s="1127">
        <f>'Quarterly Model'!AP196</f>
        <v>0</v>
      </c>
      <c r="M105" s="1128">
        <f>'Quarterly Model'!AQ196</f>
        <v>0</v>
      </c>
      <c r="N105" s="1128">
        <f>'Quarterly Model'!AR196</f>
        <v>0</v>
      </c>
      <c r="O105" s="1128">
        <f>'Quarterly Model'!AS196</f>
        <v>0</v>
      </c>
      <c r="P105" s="1128">
        <f>'Quarterly Model'!AT196</f>
        <v>0</v>
      </c>
      <c r="Q105" s="1127">
        <f>'Quarterly Model'!AU196</f>
        <v>0</v>
      </c>
      <c r="R105" s="1126">
        <f>'Quarterly Model'!AV196</f>
        <v>0</v>
      </c>
      <c r="S105" s="1128">
        <f>'Quarterly Model'!AW196</f>
        <v>0</v>
      </c>
      <c r="T105" s="1128">
        <f>'Quarterly Model'!AX196</f>
        <v>0</v>
      </c>
      <c r="U105" s="1128">
        <f>'Quarterly Model'!AY196</f>
        <v>0</v>
      </c>
      <c r="V105" s="1127">
        <f>'Quarterly Model'!AZ196</f>
        <v>0</v>
      </c>
      <c r="W105" s="1128">
        <f>'Quarterly Model'!BA196</f>
        <v>-596</v>
      </c>
      <c r="X105" s="1128">
        <f>'Quarterly Model'!BB196</f>
        <v>-300</v>
      </c>
      <c r="Y105" s="1128">
        <f>'Quarterly Model'!BC196</f>
        <v>-49</v>
      </c>
      <c r="Z105" s="1128">
        <f>'Quarterly Model'!BD196</f>
        <v>-73</v>
      </c>
      <c r="AA105" s="1127">
        <f>'Quarterly Model'!BE196</f>
        <v>-1018</v>
      </c>
      <c r="AB105" s="1128">
        <f>'Quarterly Model'!BF196</f>
        <v>-517</v>
      </c>
      <c r="AC105" s="1128">
        <f>'Quarterly Model'!BG196</f>
        <v>-89</v>
      </c>
      <c r="AD105" s="1128">
        <f>'Quarterly Model'!BH196</f>
        <v>-100</v>
      </c>
      <c r="AE105" s="1128">
        <f>'Quarterly Model'!BI196</f>
        <v>-300</v>
      </c>
      <c r="AF105" s="1127">
        <f>'Quarterly Model'!BJ196</f>
        <v>-1006</v>
      </c>
      <c r="AG105" s="1128">
        <f>'Quarterly Model'!BK196</f>
        <v>-1825</v>
      </c>
      <c r="AH105" s="1128">
        <f>'Quarterly Model'!BL196</f>
        <v>-400</v>
      </c>
      <c r="AI105" s="1128">
        <f>'Quarterly Model'!BM196</f>
        <v>-400</v>
      </c>
      <c r="AJ105" s="1128">
        <f>'Quarterly Model'!BN196</f>
        <v>-400</v>
      </c>
      <c r="AK105" s="1127">
        <f>'Quarterly Model'!BO196</f>
        <v>-3025</v>
      </c>
      <c r="AL105" s="1128">
        <f>'Quarterly Model'!BP196</f>
        <v>-400</v>
      </c>
      <c r="AM105" s="1128">
        <f>'Quarterly Model'!BQ196</f>
        <v>-400</v>
      </c>
      <c r="AN105" s="1128">
        <f>'Quarterly Model'!BR196</f>
        <v>-400</v>
      </c>
      <c r="AO105" s="1128">
        <f>'Quarterly Model'!BS196</f>
        <v>-400</v>
      </c>
      <c r="AP105" s="1127">
        <f>'Quarterly Model'!BT196</f>
        <v>-1600</v>
      </c>
      <c r="AQ105" s="1128">
        <f>'Quarterly Model'!BU196</f>
        <v>-500</v>
      </c>
      <c r="AR105" s="1128">
        <f>'Quarterly Model'!BV196</f>
        <v>-500</v>
      </c>
      <c r="AS105" s="1128">
        <f>'Quarterly Model'!BW196</f>
        <v>-500</v>
      </c>
      <c r="AT105" s="1128">
        <f>'Quarterly Model'!BX196</f>
        <v>-500</v>
      </c>
      <c r="AU105" s="1127">
        <f>'Quarterly Model'!BY196</f>
        <v>-2000</v>
      </c>
      <c r="AV105" s="1128">
        <f>'Quarterly Model'!BZ196</f>
        <v>-500</v>
      </c>
      <c r="AW105" s="1128">
        <f>'Quarterly Model'!CA196</f>
        <v>-500</v>
      </c>
      <c r="AX105" s="1128">
        <f>'Quarterly Model'!CB196</f>
        <v>-500</v>
      </c>
      <c r="AY105" s="1128">
        <f>'Quarterly Model'!CC196</f>
        <v>-500</v>
      </c>
      <c r="AZ105" s="1127">
        <f>'Quarterly Model'!CD196</f>
        <v>-2000</v>
      </c>
    </row>
    <row r="106" spans="2:52">
      <c r="B106" s="374" t="str">
        <f>'Quarterly Model'!B198</f>
        <v>Cash flow from financing activities</v>
      </c>
      <c r="C106" s="152">
        <f>'Quarterly Model'!AG198</f>
        <v>0</v>
      </c>
      <c r="D106" s="152">
        <f>'Quarterly Model'!AH198</f>
        <v>0</v>
      </c>
      <c r="E106" s="152">
        <f>'Quarterly Model'!AI198</f>
        <v>0</v>
      </c>
      <c r="F106" s="152">
        <f>'Quarterly Model'!AJ198</f>
        <v>0</v>
      </c>
      <c r="G106" s="827">
        <f>'Quarterly Model'!AK198</f>
        <v>-210</v>
      </c>
      <c r="H106" s="1132">
        <f>'Quarterly Model'!AL198</f>
        <v>0</v>
      </c>
      <c r="I106" s="1132">
        <f>'Quarterly Model'!AM198</f>
        <v>0</v>
      </c>
      <c r="J106" s="1132">
        <f>'Quarterly Model'!AN198</f>
        <v>0</v>
      </c>
      <c r="K106" s="1132">
        <f>'Quarterly Model'!AO198</f>
        <v>0</v>
      </c>
      <c r="L106" s="827">
        <f>'Quarterly Model'!AP198</f>
        <v>-85</v>
      </c>
      <c r="M106" s="1132">
        <f>'Quarterly Model'!AQ198</f>
        <v>0</v>
      </c>
      <c r="N106" s="1132">
        <f>'Quarterly Model'!AR198</f>
        <v>-43</v>
      </c>
      <c r="O106" s="1132">
        <f>'Quarterly Model'!AS198</f>
        <v>15</v>
      </c>
      <c r="P106" s="1132">
        <f>'Quarterly Model'!AT198</f>
        <v>0</v>
      </c>
      <c r="Q106" s="827">
        <f>'Quarterly Model'!AU198</f>
        <v>-51</v>
      </c>
      <c r="R106" s="1131">
        <f>'Quarterly Model'!AV198</f>
        <v>-94</v>
      </c>
      <c r="S106" s="1132">
        <f>'Quarterly Model'!AW198</f>
        <v>3066</v>
      </c>
      <c r="T106" s="1132">
        <f>'Quarterly Model'!AX198</f>
        <v>62</v>
      </c>
      <c r="U106" s="1132">
        <f>'Quarterly Model'!AY198</f>
        <v>45</v>
      </c>
      <c r="V106" s="827">
        <f>'Quarterly Model'!AZ198</f>
        <v>3079</v>
      </c>
      <c r="W106" s="1132">
        <f>'Quarterly Model'!BA198</f>
        <v>113</v>
      </c>
      <c r="X106" s="1132">
        <f>'Quarterly Model'!BB198</f>
        <v>544</v>
      </c>
      <c r="Y106" s="1132">
        <f>'Quarterly Model'!BC198</f>
        <v>238</v>
      </c>
      <c r="Z106" s="1132">
        <f>'Quarterly Model'!BD198</f>
        <v>1143</v>
      </c>
      <c r="AA106" s="827">
        <f>'Quarterly Model'!BE198</f>
        <v>2038</v>
      </c>
      <c r="AB106" s="1132">
        <f>'Quarterly Model'!BF198</f>
        <v>-54</v>
      </c>
      <c r="AC106" s="1132">
        <f>'Quarterly Model'!BG198</f>
        <v>1042</v>
      </c>
      <c r="AD106" s="1132">
        <f>'Quarterly Model'!BH198</f>
        <v>1439</v>
      </c>
      <c r="AE106" s="1132">
        <f>'Quarterly Model'!BI198</f>
        <v>1657</v>
      </c>
      <c r="AF106" s="827">
        <f>'Quarterly Model'!BJ198</f>
        <v>4084</v>
      </c>
      <c r="AG106" s="1132">
        <f>'Quarterly Model'!BK198</f>
        <v>793</v>
      </c>
      <c r="AH106" s="1132">
        <f>'Quarterly Model'!BL198</f>
        <v>-400</v>
      </c>
      <c r="AI106" s="1132">
        <f>'Quarterly Model'!BM198</f>
        <v>-400</v>
      </c>
      <c r="AJ106" s="1132">
        <f>'Quarterly Model'!BN198</f>
        <v>-400</v>
      </c>
      <c r="AK106" s="827">
        <f>'Quarterly Model'!BO198</f>
        <v>-407</v>
      </c>
      <c r="AL106" s="1132">
        <f>'Quarterly Model'!BP198</f>
        <v>-400</v>
      </c>
      <c r="AM106" s="1132">
        <f>'Quarterly Model'!BQ198</f>
        <v>-400</v>
      </c>
      <c r="AN106" s="1132">
        <f>'Quarterly Model'!BR198</f>
        <v>-400</v>
      </c>
      <c r="AO106" s="1132">
        <f>'Quarterly Model'!BS198</f>
        <v>-400</v>
      </c>
      <c r="AP106" s="827">
        <f>'Quarterly Model'!BT198</f>
        <v>-1600</v>
      </c>
      <c r="AQ106" s="1132">
        <f>'Quarterly Model'!BU198</f>
        <v>-500</v>
      </c>
      <c r="AR106" s="1132">
        <f>'Quarterly Model'!BV198</f>
        <v>-500</v>
      </c>
      <c r="AS106" s="1132">
        <f>'Quarterly Model'!BW198</f>
        <v>-500</v>
      </c>
      <c r="AT106" s="1132">
        <f>'Quarterly Model'!BX198</f>
        <v>-500</v>
      </c>
      <c r="AU106" s="827">
        <f>'Quarterly Model'!BY198</f>
        <v>-2000</v>
      </c>
      <c r="AV106" s="1132">
        <f>'Quarterly Model'!BZ198</f>
        <v>-500</v>
      </c>
      <c r="AW106" s="1132">
        <f>'Quarterly Model'!CA198</f>
        <v>-500</v>
      </c>
      <c r="AX106" s="1132">
        <f>'Quarterly Model'!CB198</f>
        <v>-500</v>
      </c>
      <c r="AY106" s="1132">
        <f>'Quarterly Model'!CC198</f>
        <v>-500</v>
      </c>
      <c r="AZ106" s="827">
        <f>'Quarterly Model'!CD198</f>
        <v>-2000</v>
      </c>
    </row>
    <row r="107" spans="2:52">
      <c r="B107" s="373" t="str">
        <f>'Quarterly Model'!B199</f>
        <v>Effect of exchange rate changes on cash and cash equivalents</v>
      </c>
      <c r="C107" s="142">
        <f>'Quarterly Model'!AG199</f>
        <v>0</v>
      </c>
      <c r="D107" s="142">
        <f>'Quarterly Model'!AH199</f>
        <v>0</v>
      </c>
      <c r="E107" s="142">
        <f>'Quarterly Model'!AI199</f>
        <v>0</v>
      </c>
      <c r="F107" s="142">
        <f>'Quarterly Model'!AJ199</f>
        <v>0</v>
      </c>
      <c r="G107" s="1127">
        <f>'Quarterly Model'!AK199</f>
        <v>-1</v>
      </c>
      <c r="H107" s="1128">
        <f>'Quarterly Model'!AL199</f>
        <v>0</v>
      </c>
      <c r="I107" s="1128">
        <f>'Quarterly Model'!AM199</f>
        <v>0</v>
      </c>
      <c r="J107" s="1128">
        <f>'Quarterly Model'!AN199</f>
        <v>0</v>
      </c>
      <c r="K107" s="1128">
        <f>'Quarterly Model'!AO199</f>
        <v>0</v>
      </c>
      <c r="L107" s="1127">
        <f>'Quarterly Model'!AP199</f>
        <v>3</v>
      </c>
      <c r="M107" s="1128">
        <f>'Quarterly Model'!AQ199</f>
        <v>0</v>
      </c>
      <c r="N107" s="1128">
        <f>'Quarterly Model'!AR199</f>
        <v>0</v>
      </c>
      <c r="O107" s="1128">
        <f>'Quarterly Model'!AS199</f>
        <v>-17</v>
      </c>
      <c r="P107" s="1128">
        <f>'Quarterly Model'!AT199</f>
        <v>0</v>
      </c>
      <c r="Q107" s="1127">
        <f>'Quarterly Model'!AU199</f>
        <v>-26</v>
      </c>
      <c r="R107" s="1126">
        <f>'Quarterly Model'!AV199</f>
        <v>-32</v>
      </c>
      <c r="S107" s="1128">
        <f>'Quarterly Model'!AW199</f>
        <v>7</v>
      </c>
      <c r="T107" s="1128">
        <f>'Quarterly Model'!AX199</f>
        <v>-16</v>
      </c>
      <c r="U107" s="1128">
        <f>'Quarterly Model'!AY199</f>
        <v>-3</v>
      </c>
      <c r="V107" s="1127">
        <f>'Quarterly Model'!AZ199</f>
        <v>-44</v>
      </c>
      <c r="W107" s="1128">
        <f>'Quarterly Model'!BA199</f>
        <v>14</v>
      </c>
      <c r="X107" s="1128">
        <f>'Quarterly Model'!BB199</f>
        <v>1</v>
      </c>
      <c r="Y107" s="1128">
        <f>'Quarterly Model'!BC199</f>
        <v>1</v>
      </c>
      <c r="Z107" s="1128">
        <f>'Quarterly Model'!BD199</f>
        <v>-16</v>
      </c>
      <c r="AA107" s="1127">
        <f>'Quarterly Model'!BE199</f>
        <v>0</v>
      </c>
      <c r="AB107" s="1128">
        <f>'Quarterly Model'!BF199</f>
        <v>11</v>
      </c>
      <c r="AC107" s="1128">
        <f>'Quarterly Model'!BG199</f>
        <v>12</v>
      </c>
      <c r="AD107" s="1128">
        <f>'Quarterly Model'!BH199</f>
        <v>12</v>
      </c>
      <c r="AE107" s="1128">
        <f>'Quarterly Model'!BI199</f>
        <v>1</v>
      </c>
      <c r="AF107" s="1127">
        <f>'Quarterly Model'!BJ199</f>
        <v>36</v>
      </c>
      <c r="AG107" s="1128">
        <f>'Quarterly Model'!BK199</f>
        <v>-7</v>
      </c>
      <c r="AH107" s="1128">
        <f>'Quarterly Model'!BL199</f>
        <v>0</v>
      </c>
      <c r="AI107" s="1128">
        <f>'Quarterly Model'!BM199</f>
        <v>0</v>
      </c>
      <c r="AJ107" s="1128">
        <f>'Quarterly Model'!BN199</f>
        <v>0</v>
      </c>
      <c r="AK107" s="1127">
        <f>'Quarterly Model'!BO199</f>
        <v>-7</v>
      </c>
      <c r="AL107" s="1128">
        <f>'Quarterly Model'!BP199</f>
        <v>0</v>
      </c>
      <c r="AM107" s="1128">
        <f>'Quarterly Model'!BQ199</f>
        <v>0</v>
      </c>
      <c r="AN107" s="1128">
        <f>'Quarterly Model'!BR199</f>
        <v>0</v>
      </c>
      <c r="AO107" s="1128">
        <f>'Quarterly Model'!BS199</f>
        <v>0</v>
      </c>
      <c r="AP107" s="1127">
        <f>'Quarterly Model'!BT199</f>
        <v>0</v>
      </c>
      <c r="AQ107" s="1128">
        <f>'Quarterly Model'!BU199</f>
        <v>0</v>
      </c>
      <c r="AR107" s="1128">
        <f>'Quarterly Model'!BV199</f>
        <v>0</v>
      </c>
      <c r="AS107" s="1128">
        <f>'Quarterly Model'!BW199</f>
        <v>0</v>
      </c>
      <c r="AT107" s="1128">
        <f>'Quarterly Model'!BX199</f>
        <v>0</v>
      </c>
      <c r="AU107" s="1127">
        <f>'Quarterly Model'!BY199</f>
        <v>0</v>
      </c>
      <c r="AV107" s="1128">
        <f>'Quarterly Model'!BZ199</f>
        <v>0</v>
      </c>
      <c r="AW107" s="1128">
        <f>'Quarterly Model'!CA199</f>
        <v>0</v>
      </c>
      <c r="AX107" s="1128">
        <f>'Quarterly Model'!CB199</f>
        <v>0</v>
      </c>
      <c r="AY107" s="1128">
        <f>'Quarterly Model'!CC199</f>
        <v>0</v>
      </c>
      <c r="AZ107" s="1127">
        <f>'Quarterly Model'!CD199</f>
        <v>0</v>
      </c>
    </row>
    <row r="108" spans="2:52" ht="13.5" thickBot="1">
      <c r="B108" s="383" t="str">
        <f>'Quarterly Model'!B200</f>
        <v>Net change in cash and equivalents</v>
      </c>
      <c r="C108" s="266">
        <f>'Quarterly Model'!AG200</f>
        <v>0</v>
      </c>
      <c r="D108" s="266">
        <f>'Quarterly Model'!AH200</f>
        <v>0</v>
      </c>
      <c r="E108" s="266">
        <f>'Quarterly Model'!AI200</f>
        <v>0</v>
      </c>
      <c r="F108" s="266">
        <f>'Quarterly Model'!AJ200</f>
        <v>0</v>
      </c>
      <c r="G108" s="1174">
        <f>'Quarterly Model'!AK200</f>
        <v>-172</v>
      </c>
      <c r="H108" s="1175">
        <f>'Quarterly Model'!AL200</f>
        <v>0</v>
      </c>
      <c r="I108" s="1175">
        <f>'Quarterly Model'!AM200</f>
        <v>0</v>
      </c>
      <c r="J108" s="1175">
        <f>'Quarterly Model'!AN200</f>
        <v>0</v>
      </c>
      <c r="K108" s="1175">
        <f>'Quarterly Model'!AO200</f>
        <v>0</v>
      </c>
      <c r="L108" s="1174">
        <f>'Quarterly Model'!AP200</f>
        <v>190</v>
      </c>
      <c r="M108" s="1175">
        <f>'Quarterly Model'!AQ200</f>
        <v>0</v>
      </c>
      <c r="N108" s="1175">
        <f>'Quarterly Model'!AR200</f>
        <v>492</v>
      </c>
      <c r="O108" s="1175">
        <f>'Quarterly Model'!AS200</f>
        <v>163</v>
      </c>
      <c r="P108" s="1175">
        <f>'Quarterly Model'!AT200</f>
        <v>0</v>
      </c>
      <c r="Q108" s="1174">
        <f>'Quarterly Model'!AU200</f>
        <v>597</v>
      </c>
      <c r="R108" s="1176">
        <f>'Quarterly Model'!AV200</f>
        <v>164</v>
      </c>
      <c r="S108" s="1175">
        <f>'Quarterly Model'!AW200</f>
        <v>197</v>
      </c>
      <c r="T108" s="1175">
        <f>'Quarterly Model'!AX200</f>
        <v>-682</v>
      </c>
      <c r="U108" s="1175">
        <f>'Quarterly Model'!AY200</f>
        <v>-487</v>
      </c>
      <c r="V108" s="1174">
        <f>'Quarterly Model'!AZ200</f>
        <v>-808</v>
      </c>
      <c r="W108" s="1175">
        <f>'Quarterly Model'!BA200</f>
        <v>1190</v>
      </c>
      <c r="X108" s="1175">
        <f>'Quarterly Model'!BB200</f>
        <v>-565</v>
      </c>
      <c r="Y108" s="1175">
        <f>'Quarterly Model'!BC200</f>
        <v>-649</v>
      </c>
      <c r="Z108" s="1175">
        <f>'Quarterly Model'!BD200</f>
        <v>221</v>
      </c>
      <c r="AA108" s="1174">
        <f>'Quarterly Model'!BE200</f>
        <v>197</v>
      </c>
      <c r="AB108" s="1175">
        <f>'Quarterly Model'!BF200</f>
        <v>-350</v>
      </c>
      <c r="AC108" s="1175">
        <f>'Quarterly Model'!BG200</f>
        <v>31</v>
      </c>
      <c r="AD108" s="1175">
        <f>'Quarterly Model'!BH200</f>
        <v>1059</v>
      </c>
      <c r="AE108" s="1175">
        <f>'Quarterly Model'!BI200</f>
        <v>553</v>
      </c>
      <c r="AF108" s="1174">
        <f>'Quarterly Model'!BJ200</f>
        <v>1293</v>
      </c>
      <c r="AG108" s="1175">
        <f>'Quarterly Model'!BK200</f>
        <v>442</v>
      </c>
      <c r="AH108" s="1175">
        <f>'Quarterly Model'!BL200</f>
        <v>344.07673378221091</v>
      </c>
      <c r="AI108" s="1175">
        <f>'Quarterly Model'!BM200</f>
        <v>6512.986697927493</v>
      </c>
      <c r="AJ108" s="1175">
        <f>'Quarterly Model'!BN200</f>
        <v>405.78140438554726</v>
      </c>
      <c r="AK108" s="1174">
        <f>'Quarterly Model'!BO200</f>
        <v>7704.8448360952516</v>
      </c>
      <c r="AL108" s="1175">
        <f>'Quarterly Model'!BP200</f>
        <v>-125.29030461856348</v>
      </c>
      <c r="AM108" s="1175">
        <f>'Quarterly Model'!BQ200</f>
        <v>545.83703740768965</v>
      </c>
      <c r="AN108" s="1175">
        <f>'Quarterly Model'!BR200</f>
        <v>541.64148600652402</v>
      </c>
      <c r="AO108" s="1175">
        <f>'Quarterly Model'!BS200</f>
        <v>931.77768348980385</v>
      </c>
      <c r="AP108" s="1174">
        <f>'Quarterly Model'!BT200</f>
        <v>1893.9659022854548</v>
      </c>
      <c r="AQ108" s="1175">
        <f>'Quarterly Model'!BU200</f>
        <v>472.83385566506672</v>
      </c>
      <c r="AR108" s="1175">
        <f>'Quarterly Model'!BV200</f>
        <v>659.93073643926687</v>
      </c>
      <c r="AS108" s="1175">
        <f>'Quarterly Model'!BW200</f>
        <v>596.02992269542528</v>
      </c>
      <c r="AT108" s="1175">
        <f>'Quarterly Model'!BX200</f>
        <v>1109.9987068030619</v>
      </c>
      <c r="AU108" s="1174">
        <f>'Quarterly Model'!BY200</f>
        <v>2838.7932216028203</v>
      </c>
      <c r="AV108" s="1175">
        <f>'Quarterly Model'!BZ200</f>
        <v>582.48508646858795</v>
      </c>
      <c r="AW108" s="1175">
        <f>'Quarterly Model'!CA200</f>
        <v>886.41470251258738</v>
      </c>
      <c r="AX108" s="1175">
        <f>'Quarterly Model'!CB200</f>
        <v>844.25858714651349</v>
      </c>
      <c r="AY108" s="1175">
        <f>'Quarterly Model'!CC200</f>
        <v>1446.3829959078093</v>
      </c>
      <c r="AZ108" s="1174">
        <f>'Quarterly Model'!CD200</f>
        <v>3759.5413720354973</v>
      </c>
    </row>
    <row r="109" spans="2:52" ht="15.75" thickTop="1">
      <c r="B109" s="387"/>
      <c r="C109" s="229"/>
      <c r="D109" s="229"/>
      <c r="E109" s="229"/>
      <c r="F109" s="229"/>
      <c r="G109" s="1118"/>
      <c r="H109" s="313"/>
      <c r="I109" s="313"/>
      <c r="J109" s="313"/>
      <c r="K109" s="313"/>
      <c r="L109" s="1118"/>
      <c r="M109" s="313"/>
      <c r="N109" s="313"/>
      <c r="O109" s="313"/>
      <c r="P109" s="313"/>
      <c r="Q109" s="1118"/>
      <c r="R109" s="313"/>
      <c r="S109" s="313"/>
      <c r="T109" s="313"/>
      <c r="U109" s="313"/>
      <c r="V109" s="1118"/>
      <c r="W109" s="313"/>
      <c r="X109" s="313"/>
      <c r="Y109" s="313"/>
      <c r="Z109" s="313"/>
      <c r="AA109" s="1118"/>
      <c r="AB109" s="313"/>
      <c r="AC109" s="313"/>
      <c r="AD109" s="313"/>
      <c r="AE109" s="313"/>
      <c r="AF109" s="1118"/>
      <c r="AG109" s="313"/>
      <c r="AH109" s="313"/>
      <c r="AI109" s="313"/>
      <c r="AJ109" s="313"/>
      <c r="AK109" s="1118"/>
      <c r="AL109" s="313"/>
      <c r="AM109" s="313"/>
      <c r="AN109" s="313"/>
      <c r="AO109" s="313"/>
      <c r="AP109" s="1118"/>
      <c r="AQ109" s="313"/>
      <c r="AR109" s="313"/>
      <c r="AS109" s="313"/>
      <c r="AT109" s="313"/>
      <c r="AU109" s="1118"/>
      <c r="AV109" s="313"/>
      <c r="AW109" s="313"/>
      <c r="AX109" s="313"/>
      <c r="AY109" s="313"/>
      <c r="AZ109" s="1118"/>
    </row>
    <row r="110" spans="2:52">
      <c r="B110" s="388" t="str">
        <f>'Quarterly Model'!B202</f>
        <v>Beginning of period cash balance</v>
      </c>
      <c r="C110" s="142">
        <f>'Quarterly Model'!AG202</f>
        <v>0</v>
      </c>
      <c r="D110" s="142">
        <f>'Quarterly Model'!AH202</f>
        <v>0</v>
      </c>
      <c r="E110" s="142">
        <f>'Quarterly Model'!AI202</f>
        <v>0</v>
      </c>
      <c r="F110" s="142">
        <f>'Quarterly Model'!AJ202</f>
        <v>0</v>
      </c>
      <c r="G110" s="1127">
        <f>'Quarterly Model'!AK202</f>
        <v>1586</v>
      </c>
      <c r="H110" s="1128">
        <f>'Quarterly Model'!AL202</f>
        <v>0</v>
      </c>
      <c r="I110" s="1128">
        <f>'Quarterly Model'!AM202</f>
        <v>0</v>
      </c>
      <c r="J110" s="1128">
        <f>'Quarterly Model'!AN202</f>
        <v>0</v>
      </c>
      <c r="K110" s="1128">
        <f>'Quarterly Model'!AO202</f>
        <v>0</v>
      </c>
      <c r="L110" s="1127">
        <f>'Quarterly Model'!AP202</f>
        <v>1414</v>
      </c>
      <c r="M110" s="1128">
        <f>'Quarterly Model'!AQ202</f>
        <v>0</v>
      </c>
      <c r="N110" s="1128">
        <f>'Quarterly Model'!AR202</f>
        <v>1604</v>
      </c>
      <c r="O110" s="1128">
        <f>'Quarterly Model'!AS202</f>
        <v>2096</v>
      </c>
      <c r="P110" s="1128">
        <f>'Quarterly Model'!AT202</f>
        <v>0</v>
      </c>
      <c r="Q110" s="1127">
        <f>'Quarterly Model'!AU202</f>
        <v>1604</v>
      </c>
      <c r="R110" s="1128">
        <f>'Quarterly Model'!AV202</f>
        <v>2201</v>
      </c>
      <c r="S110" s="1128">
        <f>'Quarterly Model'!AW202</f>
        <v>2365</v>
      </c>
      <c r="T110" s="1128">
        <f>'Quarterly Model'!AX202</f>
        <v>2562</v>
      </c>
      <c r="U110" s="1128">
        <f>'Quarterly Model'!AY202</f>
        <v>1880</v>
      </c>
      <c r="V110" s="1127">
        <f>'Quarterly Model'!AZ202</f>
        <v>2201</v>
      </c>
      <c r="W110" s="1128">
        <f>'Quarterly Model'!BA202</f>
        <v>1393</v>
      </c>
      <c r="X110" s="1128">
        <f>'Quarterly Model'!BB202</f>
        <v>2583</v>
      </c>
      <c r="Y110" s="1128">
        <f>'Quarterly Model'!BC202</f>
        <v>2018</v>
      </c>
      <c r="Z110" s="1128">
        <f>'Quarterly Model'!BD202</f>
        <v>1369</v>
      </c>
      <c r="AA110" s="1127">
        <f>'Quarterly Model'!BE202</f>
        <v>1393</v>
      </c>
      <c r="AB110" s="1128">
        <f>'Quarterly Model'!BF202</f>
        <v>1590</v>
      </c>
      <c r="AC110" s="1128">
        <f>'Quarterly Model'!BG202</f>
        <v>1240</v>
      </c>
      <c r="AD110" s="1128">
        <f>'Quarterly Model'!BH202</f>
        <v>1271</v>
      </c>
      <c r="AE110" s="1128">
        <f>'Quarterly Model'!BI202</f>
        <v>2330</v>
      </c>
      <c r="AF110" s="1127">
        <f>'Quarterly Model'!BJ202</f>
        <v>1590</v>
      </c>
      <c r="AG110" s="1128">
        <f>'Quarterly Model'!BK202</f>
        <v>2883</v>
      </c>
      <c r="AH110" s="1128">
        <f>'Quarterly Model'!BL202</f>
        <v>2879</v>
      </c>
      <c r="AI110" s="1128">
        <f>'Quarterly Model'!BM202</f>
        <v>3223.0767337822108</v>
      </c>
      <c r="AJ110" s="1128">
        <f>'Quarterly Model'!BN202</f>
        <v>9736.0634317097029</v>
      </c>
      <c r="AK110" s="1127">
        <f>'Quarterly Model'!BO202</f>
        <v>2883</v>
      </c>
      <c r="AL110" s="1128">
        <f>'Quarterly Model'!BP202</f>
        <v>10141.844836095252</v>
      </c>
      <c r="AM110" s="1128">
        <f>'Quarterly Model'!BQ202</f>
        <v>10016.554531476688</v>
      </c>
      <c r="AN110" s="1128">
        <f>'Quarterly Model'!BR202</f>
        <v>10562.391568884377</v>
      </c>
      <c r="AO110" s="1128">
        <f>'Quarterly Model'!BS202</f>
        <v>11104.033054890901</v>
      </c>
      <c r="AP110" s="1127">
        <f>'Quarterly Model'!BT202</f>
        <v>10141.844836095252</v>
      </c>
      <c r="AQ110" s="1128">
        <f>'Quarterly Model'!BU202</f>
        <v>12035.810738380707</v>
      </c>
      <c r="AR110" s="1128">
        <f>'Quarterly Model'!BV202</f>
        <v>12508.644594045774</v>
      </c>
      <c r="AS110" s="1128">
        <f>'Quarterly Model'!BW202</f>
        <v>13168.57533048504</v>
      </c>
      <c r="AT110" s="1128">
        <f>'Quarterly Model'!BX202</f>
        <v>13764.605253180465</v>
      </c>
      <c r="AU110" s="1127">
        <f>'Quarterly Model'!BY202</f>
        <v>12035.810738380707</v>
      </c>
      <c r="AV110" s="1128">
        <f>'Quarterly Model'!BZ202</f>
        <v>14874.603959983528</v>
      </c>
      <c r="AW110" s="1128">
        <f>'Quarterly Model'!CA202</f>
        <v>15457.089046452116</v>
      </c>
      <c r="AX110" s="1128">
        <f>'Quarterly Model'!CB202</f>
        <v>16343.503748964704</v>
      </c>
      <c r="AY110" s="1128">
        <f>'Quarterly Model'!CC202</f>
        <v>17187.762336111216</v>
      </c>
      <c r="AZ110" s="1127">
        <f>'Quarterly Model'!CD202</f>
        <v>14874.603959983528</v>
      </c>
    </row>
    <row r="111" spans="2:52">
      <c r="B111" s="388" t="str">
        <f>'Quarterly Model'!B204</f>
        <v>End of period cash balance</v>
      </c>
      <c r="C111" s="142">
        <f>'Quarterly Model'!AG204</f>
        <v>0</v>
      </c>
      <c r="D111" s="142">
        <f>'Quarterly Model'!AH204</f>
        <v>0</v>
      </c>
      <c r="E111" s="142">
        <f>'Quarterly Model'!AI204</f>
        <v>0</v>
      </c>
      <c r="F111" s="142">
        <f>'Quarterly Model'!AJ204</f>
        <v>0</v>
      </c>
      <c r="G111" s="1127">
        <f>'Quarterly Model'!AK204</f>
        <v>1414</v>
      </c>
      <c r="H111" s="1128">
        <f>'Quarterly Model'!AL204</f>
        <v>0</v>
      </c>
      <c r="I111" s="1128">
        <f>'Quarterly Model'!AM204</f>
        <v>0</v>
      </c>
      <c r="J111" s="1128">
        <f>'Quarterly Model'!AN204</f>
        <v>0</v>
      </c>
      <c r="K111" s="1128">
        <f>'Quarterly Model'!AO204</f>
        <v>0</v>
      </c>
      <c r="L111" s="1127">
        <f>'Quarterly Model'!AP204</f>
        <v>1604</v>
      </c>
      <c r="M111" s="1128">
        <f>'Quarterly Model'!AQ204</f>
        <v>0</v>
      </c>
      <c r="N111" s="1128">
        <f>'Quarterly Model'!AR204</f>
        <v>2096</v>
      </c>
      <c r="O111" s="1128">
        <f>'Quarterly Model'!AS204</f>
        <v>2259</v>
      </c>
      <c r="P111" s="1128">
        <f>'Quarterly Model'!AT204</f>
        <v>0</v>
      </c>
      <c r="Q111" s="1127">
        <f>'Quarterly Model'!AU204</f>
        <v>2201</v>
      </c>
      <c r="R111" s="1128">
        <f>'Quarterly Model'!AV204</f>
        <v>2365</v>
      </c>
      <c r="S111" s="1128">
        <f>'Quarterly Model'!AW204</f>
        <v>2562</v>
      </c>
      <c r="T111" s="1128">
        <f>'Quarterly Model'!AX204</f>
        <v>1880</v>
      </c>
      <c r="U111" s="1128">
        <f>'Quarterly Model'!AY204</f>
        <v>1393</v>
      </c>
      <c r="V111" s="1127">
        <f>'Quarterly Model'!AZ204</f>
        <v>1393</v>
      </c>
      <c r="W111" s="1128">
        <f>'Quarterly Model'!BA204</f>
        <v>2583</v>
      </c>
      <c r="X111" s="1128">
        <f>'Quarterly Model'!BB204</f>
        <v>2018</v>
      </c>
      <c r="Y111" s="1128">
        <f>'Quarterly Model'!BC204</f>
        <v>1369</v>
      </c>
      <c r="Z111" s="1128">
        <f>'Quarterly Model'!BD204</f>
        <v>1590</v>
      </c>
      <c r="AA111" s="1127">
        <f>'Quarterly Model'!BE204</f>
        <v>1590</v>
      </c>
      <c r="AB111" s="1128">
        <f>'Quarterly Model'!BF204</f>
        <v>1240</v>
      </c>
      <c r="AC111" s="1128">
        <f>'Quarterly Model'!BG204</f>
        <v>1271</v>
      </c>
      <c r="AD111" s="1128">
        <f>'Quarterly Model'!BH204</f>
        <v>2330</v>
      </c>
      <c r="AE111" s="1128">
        <f>'Quarterly Model'!BI204</f>
        <v>2883</v>
      </c>
      <c r="AF111" s="1127">
        <f>'Quarterly Model'!BJ204</f>
        <v>2883</v>
      </c>
      <c r="AG111" s="1128">
        <f>'Quarterly Model'!BK204</f>
        <v>2879</v>
      </c>
      <c r="AH111" s="1128">
        <f>'Quarterly Model'!BL204</f>
        <v>3223.0767337822108</v>
      </c>
      <c r="AI111" s="1128">
        <f>'Quarterly Model'!BM204</f>
        <v>9736.0634317097029</v>
      </c>
      <c r="AJ111" s="1128">
        <f>'Quarterly Model'!BN204</f>
        <v>10141.84483609525</v>
      </c>
      <c r="AK111" s="1127">
        <f>'Quarterly Model'!BO204</f>
        <v>10141.844836095252</v>
      </c>
      <c r="AL111" s="1128">
        <f>'Quarterly Model'!BP204</f>
        <v>10016.554531476688</v>
      </c>
      <c r="AM111" s="1128">
        <f>'Quarterly Model'!BQ204</f>
        <v>10562.391568884377</v>
      </c>
      <c r="AN111" s="1128">
        <f>'Quarterly Model'!BR204</f>
        <v>11104.033054890901</v>
      </c>
      <c r="AO111" s="1128">
        <f>'Quarterly Model'!BS204</f>
        <v>12035.810738380704</v>
      </c>
      <c r="AP111" s="1127">
        <f>'Quarterly Model'!BT204</f>
        <v>12035.810738380707</v>
      </c>
      <c r="AQ111" s="1128">
        <f>'Quarterly Model'!BU204</f>
        <v>12508.644594045774</v>
      </c>
      <c r="AR111" s="1128">
        <f>'Quarterly Model'!BV204</f>
        <v>13168.57533048504</v>
      </c>
      <c r="AS111" s="1128">
        <f>'Quarterly Model'!BW204</f>
        <v>13764.605253180465</v>
      </c>
      <c r="AT111" s="1128">
        <f>'Quarterly Model'!BX204</f>
        <v>14874.603959983528</v>
      </c>
      <c r="AU111" s="1127">
        <f>'Quarterly Model'!BY204</f>
        <v>14874.603959983528</v>
      </c>
      <c r="AV111" s="1128">
        <f>'Quarterly Model'!BZ204</f>
        <v>15457.089046452116</v>
      </c>
      <c r="AW111" s="1128">
        <f>'Quarterly Model'!CA204</f>
        <v>16343.503748964704</v>
      </c>
      <c r="AX111" s="1128">
        <f>'Quarterly Model'!CB204</f>
        <v>17187.762336111216</v>
      </c>
      <c r="AY111" s="1128">
        <f>'Quarterly Model'!CC204</f>
        <v>18634.145332019027</v>
      </c>
      <c r="AZ111" s="1127">
        <f>'Quarterly Model'!CD204</f>
        <v>18634.145332019027</v>
      </c>
    </row>
    <row r="112" spans="2:52">
      <c r="B112" s="228"/>
      <c r="C112" s="229"/>
      <c r="D112" s="229"/>
      <c r="E112" s="229"/>
      <c r="F112" s="229"/>
      <c r="G112" s="1118"/>
      <c r="H112" s="313"/>
      <c r="I112" s="313"/>
      <c r="J112" s="313"/>
      <c r="K112" s="313"/>
      <c r="L112" s="1118"/>
      <c r="M112" s="313"/>
      <c r="N112" s="313"/>
      <c r="O112" s="313"/>
      <c r="P112" s="313"/>
      <c r="Q112" s="1118"/>
      <c r="R112" s="313"/>
      <c r="S112" s="313"/>
      <c r="T112" s="313"/>
      <c r="U112" s="313"/>
      <c r="V112" s="1118"/>
      <c r="W112" s="313"/>
      <c r="X112" s="313"/>
      <c r="Y112" s="313"/>
      <c r="Z112" s="313"/>
      <c r="AA112" s="1118"/>
      <c r="AB112" s="313"/>
      <c r="AC112" s="313"/>
      <c r="AD112" s="313"/>
      <c r="AE112" s="313"/>
      <c r="AF112" s="1118"/>
      <c r="AG112" s="313"/>
      <c r="AH112" s="313"/>
      <c r="AI112" s="313"/>
      <c r="AJ112" s="313"/>
      <c r="AK112" s="1118"/>
      <c r="AL112" s="313"/>
      <c r="AM112" s="313"/>
      <c r="AN112" s="313"/>
      <c r="AO112" s="313"/>
      <c r="AP112" s="1118"/>
      <c r="AQ112" s="313"/>
      <c r="AR112" s="313"/>
      <c r="AS112" s="313"/>
      <c r="AT112" s="313"/>
      <c r="AU112" s="1118"/>
      <c r="AV112" s="313"/>
      <c r="AW112" s="313"/>
      <c r="AX112" s="313"/>
      <c r="AY112" s="313"/>
      <c r="AZ112" s="1118"/>
    </row>
    <row r="113" spans="2:52">
      <c r="B113" s="402" t="str">
        <f>'Quarterly Model'!B208</f>
        <v>Free Cash Flow (CFO less Capex)</v>
      </c>
      <c r="C113" s="229">
        <f>'Quarterly Model'!AG208</f>
        <v>0</v>
      </c>
      <c r="D113" s="229">
        <f>'Quarterly Model'!AH208</f>
        <v>0</v>
      </c>
      <c r="E113" s="229">
        <f>'Quarterly Model'!AI208</f>
        <v>0</v>
      </c>
      <c r="F113" s="229">
        <f>'Quarterly Model'!AJ208</f>
        <v>0</v>
      </c>
      <c r="G113" s="1118">
        <f>'Quarterly Model'!AK208</f>
        <v>1054</v>
      </c>
      <c r="H113" s="313">
        <f>'Quarterly Model'!AL208</f>
        <v>0</v>
      </c>
      <c r="I113" s="313">
        <f>'Quarterly Model'!AM208</f>
        <v>0</v>
      </c>
      <c r="J113" s="313">
        <f>'Quarterly Model'!AN208</f>
        <v>0</v>
      </c>
      <c r="K113" s="313">
        <f>'Quarterly Model'!AO208</f>
        <v>0</v>
      </c>
      <c r="L113" s="1118">
        <f>'Quarterly Model'!AP208</f>
        <v>1602</v>
      </c>
      <c r="M113" s="313">
        <f>'Quarterly Model'!AQ208</f>
        <v>0</v>
      </c>
      <c r="N113" s="313">
        <f>'Quarterly Model'!AR208</f>
        <v>789</v>
      </c>
      <c r="O113" s="313">
        <f>'Quarterly Model'!AS208</f>
        <v>431</v>
      </c>
      <c r="P113" s="313">
        <f>'Quarterly Model'!AT208</f>
        <v>0</v>
      </c>
      <c r="Q113" s="1118">
        <f>'Quarterly Model'!AU208</f>
        <v>1728</v>
      </c>
      <c r="R113" s="313">
        <f>'Quarterly Model'!AV208</f>
        <v>350</v>
      </c>
      <c r="S113" s="313">
        <f>'Quarterly Model'!AW208</f>
        <v>402</v>
      </c>
      <c r="T113" s="313">
        <f>'Quarterly Model'!AX208</f>
        <v>534</v>
      </c>
      <c r="U113" s="313">
        <f>'Quarterly Model'!AY208</f>
        <v>564</v>
      </c>
      <c r="V113" s="1118">
        <f>'Quarterly Model'!AZ208</f>
        <v>1850</v>
      </c>
      <c r="W113" s="313">
        <f>'Quarterly Model'!BA208</f>
        <v>605</v>
      </c>
      <c r="X113" s="313">
        <f>'Quarterly Model'!BB208</f>
        <v>495</v>
      </c>
      <c r="Y113" s="313">
        <f>'Quarterly Model'!BC208</f>
        <v>618</v>
      </c>
      <c r="Z113" s="313">
        <f>'Quarterly Model'!BD208</f>
        <v>771</v>
      </c>
      <c r="AA113" s="1118">
        <f>'Quarterly Model'!BE208</f>
        <v>2489</v>
      </c>
      <c r="AB113" s="313">
        <f>'Quarterly Model'!BF208</f>
        <v>603</v>
      </c>
      <c r="AC113" s="313">
        <f>'Quarterly Model'!BG208</f>
        <v>747</v>
      </c>
      <c r="AD113" s="313">
        <f>'Quarterly Model'!BH208</f>
        <v>841</v>
      </c>
      <c r="AE113" s="313">
        <f>'Quarterly Model'!BI208</f>
        <v>-327</v>
      </c>
      <c r="AF113" s="1118">
        <f>'Quarterly Model'!BJ208</f>
        <v>1864</v>
      </c>
      <c r="AG113" s="313">
        <f>'Quarterly Model'!BK208</f>
        <v>-527</v>
      </c>
      <c r="AH113" s="313">
        <f>'Quarterly Model'!BL208</f>
        <v>1013.3355010198495</v>
      </c>
      <c r="AI113" s="313">
        <f>'Quarterly Model'!BM208</f>
        <v>634.03566075539561</v>
      </c>
      <c r="AJ113" s="313">
        <f>'Quarterly Model'!BN208</f>
        <v>1104.691263763282</v>
      </c>
      <c r="AK113" s="1118">
        <f>'Quarterly Model'!BO208</f>
        <v>2225.0624255385269</v>
      </c>
      <c r="AL113" s="313">
        <f>'Quarterly Model'!BP208</f>
        <v>298.08222111799057</v>
      </c>
      <c r="AM113" s="313">
        <f>'Quarterly Model'!BQ208</f>
        <v>970.13567964161825</v>
      </c>
      <c r="AN113" s="313">
        <f>'Quarterly Model'!BR208</f>
        <v>966.64111235087466</v>
      </c>
      <c r="AO113" s="313">
        <f>'Quarterly Model'!BS208</f>
        <v>1360.7527544235604</v>
      </c>
      <c r="AP113" s="1118">
        <f>'Quarterly Model'!BT208</f>
        <v>3595.6117675340442</v>
      </c>
      <c r="AQ113" s="313">
        <f>'Quarterly Model'!BU208</f>
        <v>1000.1581784400402</v>
      </c>
      <c r="AR113" s="313">
        <f>'Quarterly Model'!BV208</f>
        <v>1188.4393368209198</v>
      </c>
      <c r="AS113" s="313">
        <f>'Quarterly Model'!BW208</f>
        <v>1124.8553655891737</v>
      </c>
      <c r="AT113" s="313">
        <f>'Quarterly Model'!BX208</f>
        <v>1643.5271923518164</v>
      </c>
      <c r="AU113" s="1118">
        <f>'Quarterly Model'!BY208</f>
        <v>4956.9800732019503</v>
      </c>
      <c r="AV113" s="313">
        <f>'Quarterly Model'!BZ208</f>
        <v>1113.8874528136757</v>
      </c>
      <c r="AW113" s="313">
        <f>'Quarterly Model'!CA208</f>
        <v>1419.2335036447316</v>
      </c>
      <c r="AX113" s="313">
        <f>'Quarterly Model'!CB208</f>
        <v>1377.6657274975462</v>
      </c>
      <c r="AY113" s="313">
        <f>'Quarterly Model'!CC208</f>
        <v>1985.3004553382057</v>
      </c>
      <c r="AZ113" s="1118">
        <f>'Quarterly Model'!CD208</f>
        <v>5896.087139294159</v>
      </c>
    </row>
    <row r="114" spans="2:52">
      <c r="B114" s="402" t="str">
        <f>'Quarterly Model'!B209</f>
        <v>FCF/Net Income</v>
      </c>
      <c r="C114" s="404">
        <f>'Quarterly Model'!AG209</f>
        <v>0</v>
      </c>
      <c r="D114" s="404">
        <f>'Quarterly Model'!AH209</f>
        <v>0</v>
      </c>
      <c r="E114" s="404">
        <f>'Quarterly Model'!AI209</f>
        <v>0</v>
      </c>
      <c r="F114" s="404">
        <f>'Quarterly Model'!AJ209</f>
        <v>0</v>
      </c>
      <c r="G114" s="1177">
        <f>'Quarterly Model'!AK209</f>
        <v>39.037037037037038</v>
      </c>
      <c r="H114" s="407">
        <f>'Quarterly Model'!AL209</f>
        <v>0</v>
      </c>
      <c r="I114" s="407">
        <f>'Quarterly Model'!AM209</f>
        <v>0</v>
      </c>
      <c r="J114" s="407">
        <f>'Quarterly Model'!AN209</f>
        <v>0</v>
      </c>
      <c r="K114" s="407">
        <f>'Quarterly Model'!AO209</f>
        <v>0</v>
      </c>
      <c r="L114" s="1177">
        <f>'Quarterly Model'!AP209</f>
        <v>1.3576271186440678</v>
      </c>
      <c r="M114" s="407">
        <f>'Quarterly Model'!AQ209</f>
        <v>0</v>
      </c>
      <c r="N114" s="407">
        <f>'Quarterly Model'!AR209</f>
        <v>2.8078291814946619</v>
      </c>
      <c r="O114" s="407">
        <f>'Quarterly Model'!AS209</f>
        <v>1.8418803418803418</v>
      </c>
      <c r="P114" s="407">
        <f>'Quarterly Model'!AT209</f>
        <v>0</v>
      </c>
      <c r="Q114" s="1177">
        <f>'Quarterly Model'!AU209</f>
        <v>4.1241050119331746</v>
      </c>
      <c r="R114" s="407">
        <f>'Quarterly Model'!AV209</f>
        <v>1.3725490196078431</v>
      </c>
      <c r="S114" s="407">
        <f>'Quarterly Model'!AW209</f>
        <v>1.3094462540716612</v>
      </c>
      <c r="T114" s="407">
        <f>'Quarterly Model'!AX209</f>
        <v>1.7740863787375416</v>
      </c>
      <c r="U114" s="407">
        <f>'Quarterly Model'!AY209</f>
        <v>1.5623268698060941</v>
      </c>
      <c r="V114" s="1177">
        <f>'Quarterly Model'!AZ209</f>
        <v>1.5251442704039571</v>
      </c>
      <c r="W114" s="407">
        <f>'Quarterly Model'!BA209</f>
        <v>1.6530054644808743</v>
      </c>
      <c r="X114" s="407">
        <f>'Quarterly Model'!BB209</f>
        <v>1.5325077399380804</v>
      </c>
      <c r="Y114" s="407">
        <f>'Quarterly Model'!BC209</f>
        <v>1.9133126934984521</v>
      </c>
      <c r="Z114" s="407">
        <f>'Quarterly Model'!BD209</f>
        <v>1.976923076923077</v>
      </c>
      <c r="AA114" s="1177">
        <f>'Quarterly Model'!BE209</f>
        <v>1.7753209700427961</v>
      </c>
      <c r="AB114" s="407">
        <f>'Quarterly Model'!BF209</f>
        <v>1.5703125</v>
      </c>
      <c r="AC114" s="407">
        <f>'Quarterly Model'!BG209</f>
        <v>1.8175182481751824</v>
      </c>
      <c r="AD114" s="407">
        <f>'Quarterly Model'!BH209</f>
        <v>2.2131578947368422</v>
      </c>
      <c r="AE114" s="407">
        <f>'Quarterly Model'!BI209</f>
        <v>-0.52741935483870972</v>
      </c>
      <c r="AF114" s="1177">
        <f>'Quarterly Model'!BJ209</f>
        <v>1.0384401114206128</v>
      </c>
      <c r="AG114" s="407">
        <f>'Quarterly Model'!BK209</f>
        <v>-1.0313111545988258</v>
      </c>
      <c r="AH114" s="407">
        <f>'Quarterly Model'!BL209</f>
        <v>2.2435151558444879</v>
      </c>
      <c r="AI114" s="407">
        <f>'Quarterly Model'!BM209</f>
        <v>1.5018407234159841</v>
      </c>
      <c r="AJ114" s="407">
        <f>'Quarterly Model'!BN209</f>
        <v>2.0076232594495664</v>
      </c>
      <c r="AK114" s="1177">
        <f>'Quarterly Model'!BO209</f>
        <v>1.1498473311908783</v>
      </c>
      <c r="AL114" s="407">
        <f>'Quarterly Model'!BP209</f>
        <v>0.56780852810859916</v>
      </c>
      <c r="AM114" s="407">
        <f>'Quarterly Model'!BQ209</f>
        <v>1.7524853235128244</v>
      </c>
      <c r="AN114" s="407">
        <f>'Quarterly Model'!BR209</f>
        <v>1.7590191086154974</v>
      </c>
      <c r="AO114" s="407">
        <f>'Quarterly Model'!BS209</f>
        <v>1.9152130588464698</v>
      </c>
      <c r="AP114" s="1177">
        <f>'Quarterly Model'!BT209</f>
        <v>1.5375207955247814</v>
      </c>
      <c r="AQ114" s="407">
        <f>'Quarterly Model'!BU209</f>
        <v>1.5755846122790051</v>
      </c>
      <c r="AR114" s="407">
        <f>'Quarterly Model'!BV209</f>
        <v>1.7570805514428982</v>
      </c>
      <c r="AS114" s="407">
        <f>'Quarterly Model'!BW209</f>
        <v>1.7163680309878713</v>
      </c>
      <c r="AT114" s="407">
        <f>'Quarterly Model'!BX209</f>
        <v>1.9221539940119807</v>
      </c>
      <c r="AU114" s="1177">
        <f>'Quarterly Model'!BY209</f>
        <v>1.7568155966818224</v>
      </c>
      <c r="AV114" s="407">
        <f>'Quarterly Model'!BZ209</f>
        <v>1.3985526024497481</v>
      </c>
      <c r="AW114" s="407">
        <f>'Quarterly Model'!CA209</f>
        <v>1.6672293399766338</v>
      </c>
      <c r="AX114" s="407">
        <f>'Quarterly Model'!CB209</f>
        <v>1.6215550432881007</v>
      </c>
      <c r="AY114" s="407">
        <f>'Quarterly Model'!CC209</f>
        <v>1.8029818658690708</v>
      </c>
      <c r="AZ114" s="1177">
        <f>'Quarterly Model'!CD209</f>
        <v>1.6385183635694516</v>
      </c>
    </row>
    <row r="115" spans="2:52">
      <c r="B115" s="389"/>
      <c r="C115" s="229"/>
      <c r="D115" s="229"/>
      <c r="E115" s="229"/>
      <c r="F115" s="229"/>
      <c r="G115" s="1178"/>
      <c r="H115" s="232"/>
      <c r="I115" s="232"/>
      <c r="J115" s="232"/>
      <c r="K115" s="232"/>
      <c r="L115" s="1178"/>
      <c r="M115" s="232"/>
      <c r="N115" s="232"/>
      <c r="O115" s="232"/>
      <c r="P115" s="232"/>
      <c r="Q115" s="1178"/>
      <c r="R115" s="232"/>
      <c r="S115" s="232"/>
      <c r="T115" s="232"/>
      <c r="U115" s="232"/>
      <c r="V115" s="1178"/>
      <c r="W115" s="232"/>
      <c r="X115" s="232"/>
      <c r="Y115" s="232"/>
      <c r="Z115" s="232"/>
      <c r="AA115" s="1178"/>
      <c r="AB115" s="232"/>
      <c r="AC115" s="232"/>
      <c r="AD115" s="232"/>
      <c r="AE115" s="232"/>
      <c r="AF115" s="1178"/>
      <c r="AG115" s="232"/>
      <c r="AH115" s="232"/>
      <c r="AI115" s="232"/>
      <c r="AJ115" s="232"/>
      <c r="AK115" s="1178"/>
      <c r="AL115" s="232"/>
      <c r="AM115" s="232"/>
      <c r="AN115" s="232"/>
      <c r="AO115" s="232"/>
      <c r="AP115" s="1178"/>
      <c r="AQ115" s="232"/>
      <c r="AR115" s="232"/>
      <c r="AS115" s="232"/>
      <c r="AT115" s="232"/>
      <c r="AU115" s="1178"/>
      <c r="AV115" s="232"/>
      <c r="AW115" s="232"/>
      <c r="AX115" s="232"/>
      <c r="AY115" s="232"/>
      <c r="AZ115" s="1178"/>
    </row>
    <row r="116" spans="2:52">
      <c r="B116" s="389" t="str">
        <f>'Quarterly Model'!B211</f>
        <v>FCF/share</v>
      </c>
      <c r="C116" s="412">
        <f>'Quarterly Model'!AG211</f>
        <v>0</v>
      </c>
      <c r="D116" s="311">
        <f>'Quarterly Model'!AH211</f>
        <v>0</v>
      </c>
      <c r="E116" s="311">
        <f>'Quarterly Model'!AI211</f>
        <v>0</v>
      </c>
      <c r="F116" s="311">
        <f>'Quarterly Model'!AJ211</f>
        <v>0</v>
      </c>
      <c r="G116" s="415" t="str">
        <f>'Quarterly Model'!AK211</f>
        <v>NM</v>
      </c>
      <c r="H116" s="415">
        <f>'Quarterly Model'!AL211</f>
        <v>0</v>
      </c>
      <c r="I116" s="292">
        <f>'Quarterly Model'!AM211</f>
        <v>0</v>
      </c>
      <c r="J116" s="292">
        <f>'Quarterly Model'!AN211</f>
        <v>0</v>
      </c>
      <c r="K116" s="292">
        <f>'Quarterly Model'!AO211</f>
        <v>0</v>
      </c>
      <c r="L116" s="415">
        <f>'Quarterly Model'!AP211</f>
        <v>1.2201066260472202</v>
      </c>
      <c r="M116" s="415">
        <f>'Quarterly Model'!AQ211</f>
        <v>0</v>
      </c>
      <c r="N116" s="292">
        <f>'Quarterly Model'!AR211</f>
        <v>0.62273086029992109</v>
      </c>
      <c r="O116" s="292">
        <f>'Quarterly Model'!AS211</f>
        <v>0.34452438049560352</v>
      </c>
      <c r="P116" s="292">
        <f>'Quarterly Model'!AT211</f>
        <v>0</v>
      </c>
      <c r="Q116" s="415">
        <f>'Quarterly Model'!AU211</f>
        <v>1.3924254633360194</v>
      </c>
      <c r="R116" s="415">
        <f>'Quarterly Model'!AV211</f>
        <v>0.28478437754271768</v>
      </c>
      <c r="S116" s="292">
        <f>'Quarterly Model'!AW211</f>
        <v>0.32843137254901961</v>
      </c>
      <c r="T116" s="292">
        <f>'Quarterly Model'!AX211</f>
        <v>0.4352078239608802</v>
      </c>
      <c r="U116" s="292">
        <f>'Quarterly Model'!AY211</f>
        <v>0.45853658536585368</v>
      </c>
      <c r="V116" s="415">
        <f>'Quarterly Model'!AZ211</f>
        <v>1.5071283095723014</v>
      </c>
      <c r="W116" s="415">
        <f>'Quarterly Model'!BA211</f>
        <v>0.49387755102040815</v>
      </c>
      <c r="X116" s="292">
        <f>'Quarterly Model'!BB211</f>
        <v>0.40740740740740738</v>
      </c>
      <c r="Y116" s="292">
        <f>'Quarterly Model'!BC211</f>
        <v>0.50906095551894559</v>
      </c>
      <c r="Z116" s="292">
        <f>'Quarterly Model'!BD211</f>
        <v>0.63404605263157898</v>
      </c>
      <c r="AA116" s="415">
        <f>'Quarterly Model'!BE211</f>
        <v>2.0443531827515402</v>
      </c>
      <c r="AB116" s="415">
        <f>'Quarterly Model'!BF211</f>
        <v>0.49588815789473684</v>
      </c>
      <c r="AC116" s="292">
        <f>'Quarterly Model'!BG211</f>
        <v>0.61481481481481481</v>
      </c>
      <c r="AD116" s="292">
        <f>'Quarterly Model'!BH211</f>
        <v>0.68765331152902698</v>
      </c>
      <c r="AE116" s="292">
        <f>'Quarterly Model'!BI211</f>
        <v>-0.26628664495114007</v>
      </c>
      <c r="AF116" s="1179">
        <f>'Quarterly Model'!BJ211</f>
        <v>1.5272429332240884</v>
      </c>
      <c r="AG116" s="415">
        <f>'Quarterly Model'!BK211</f>
        <v>-0.43303204601479045</v>
      </c>
      <c r="AH116" s="292">
        <f>'Quarterly Model'!BL211</f>
        <v>0.83433261990255692</v>
      </c>
      <c r="AI116" s="292">
        <f>'Quarterly Model'!BM211</f>
        <v>0.52313763971262706</v>
      </c>
      <c r="AJ116" s="292">
        <f>'Quarterly Model'!BN211</f>
        <v>0.9129084809247221</v>
      </c>
      <c r="AK116" s="1179">
        <f>'Quarterly Model'!BO211</f>
        <v>1.833737606721733</v>
      </c>
      <c r="AL116" s="415">
        <f>'Quarterly Model'!BP211</f>
        <v>0.24681290931044789</v>
      </c>
      <c r="AM116" s="292">
        <f>'Quarterly Model'!BQ211</f>
        <v>0.80470914437775543</v>
      </c>
      <c r="AN116" s="292">
        <f>'Quarterly Model'!BR211</f>
        <v>0.80313864170486893</v>
      </c>
      <c r="AO116" s="292">
        <f>'Quarterly Model'!BS211</f>
        <v>1.1318651847430103</v>
      </c>
      <c r="AP116" s="1179">
        <f>'Quarterly Model'!BT211</f>
        <v>2.9844677858355744</v>
      </c>
      <c r="AQ116" s="415">
        <f>'Quarterly Model'!BU211</f>
        <v>0.83389439576636937</v>
      </c>
      <c r="AR116" s="292">
        <f>'Quarterly Model'!BV211</f>
        <v>0.99302830226202488</v>
      </c>
      <c r="AS116" s="292">
        <f>'Quarterly Model'!BW211</f>
        <v>0.9418599462493159</v>
      </c>
      <c r="AT116" s="292">
        <f>'Quarterly Model'!BX211</f>
        <v>1.3782128849632862</v>
      </c>
      <c r="AU116" s="1179">
        <f>'Quarterly Model'!BY211</f>
        <v>4.1455309202829964</v>
      </c>
      <c r="AV116" s="415">
        <f>'Quarterly Model'!BZ211</f>
        <v>0.9358508311378988</v>
      </c>
      <c r="AW116" s="292">
        <f>'Quarterly Model'!CA211</f>
        <v>1.1944354899650851</v>
      </c>
      <c r="AX116" s="292">
        <f>'Quarterly Model'!CB211</f>
        <v>1.1613241102032101</v>
      </c>
      <c r="AY116" s="292">
        <f>'Quarterly Model'!CC211</f>
        <v>1.6752662323666982</v>
      </c>
      <c r="AZ116" s="1179">
        <f>'Quarterly Model'!CD211</f>
        <v>4.965335939109675</v>
      </c>
    </row>
    <row r="117" spans="2:52">
      <c r="B117" s="419" t="str">
        <f>'Quarterly Model'!B212</f>
        <v>YoY % change</v>
      </c>
      <c r="C117" s="420">
        <f>'Quarterly Model'!AG212</f>
        <v>0</v>
      </c>
      <c r="D117" s="420">
        <f>'Quarterly Model'!AH212</f>
        <v>0</v>
      </c>
      <c r="E117" s="420">
        <f>'Quarterly Model'!AI212</f>
        <v>0</v>
      </c>
      <c r="F117" s="420">
        <f>'Quarterly Model'!AJ212</f>
        <v>0</v>
      </c>
      <c r="G117" s="1180">
        <f>'Quarterly Model'!AK212</f>
        <v>0</v>
      </c>
      <c r="H117" s="423">
        <f>'Quarterly Model'!AL212</f>
        <v>0</v>
      </c>
      <c r="I117" s="423">
        <f>'Quarterly Model'!AM212</f>
        <v>0</v>
      </c>
      <c r="J117" s="423">
        <f>'Quarterly Model'!AN212</f>
        <v>0</v>
      </c>
      <c r="K117" s="423">
        <f>'Quarterly Model'!AO212</f>
        <v>0</v>
      </c>
      <c r="L117" s="1180" t="str">
        <f>'Quarterly Model'!AP212</f>
        <v>NM</v>
      </c>
      <c r="M117" s="423">
        <f>'Quarterly Model'!AQ212</f>
        <v>0</v>
      </c>
      <c r="N117" s="423" t="str">
        <f>'Quarterly Model'!AR212</f>
        <v>NM</v>
      </c>
      <c r="O117" s="423">
        <f>'Quarterly Model'!AS212</f>
        <v>0</v>
      </c>
      <c r="P117" s="423">
        <f>'Quarterly Model'!AT212</f>
        <v>0</v>
      </c>
      <c r="Q117" s="1180">
        <f>'Quarterly Model'!AU212</f>
        <v>0.14123260509375357</v>
      </c>
      <c r="R117" s="423" t="str">
        <f>'Quarterly Model'!AV212</f>
        <v>NM</v>
      </c>
      <c r="S117" s="423">
        <f>'Quarterly Model'!AW212</f>
        <v>-0.47259499490543999</v>
      </c>
      <c r="T117" s="423">
        <f>'Quarterly Model'!AX212</f>
        <v>0.2632134287124388</v>
      </c>
      <c r="U117" s="423" t="str">
        <f>'Quarterly Model'!AY212</f>
        <v>NM</v>
      </c>
      <c r="V117" s="1180">
        <f>'Quarterly Model'!AZ212</f>
        <v>8.2376291770385413E-2</v>
      </c>
      <c r="W117" s="423">
        <f>'Quarterly Model'!BA212</f>
        <v>0.73421574344023299</v>
      </c>
      <c r="X117" s="423">
        <f>'Quarterly Model'!BB212</f>
        <v>0.24046434494195679</v>
      </c>
      <c r="Y117" s="423">
        <f>'Quarterly Model'!BC212</f>
        <v>0.16969624049016141</v>
      </c>
      <c r="Z117" s="423">
        <f>'Quarterly Model'!BD212</f>
        <v>0.3827600083986562</v>
      </c>
      <c r="AA117" s="1180">
        <f>'Quarterly Model'!BE212</f>
        <v>0.35645596315000838</v>
      </c>
      <c r="AB117" s="423">
        <f>'Quarterly Model'!BF212</f>
        <v>4.0710635058720523E-3</v>
      </c>
      <c r="AC117" s="423">
        <f>'Quarterly Model'!BG212</f>
        <v>0.50909090909090926</v>
      </c>
      <c r="AD117" s="423">
        <f>'Quarterly Model'!BH212</f>
        <v>0.35082705533371983</v>
      </c>
      <c r="AE117" s="423">
        <f>'Quarterly Model'!BI212</f>
        <v>-1.4199799743976476</v>
      </c>
      <c r="AF117" s="1180">
        <f>'Quarterly Model'!BJ212</f>
        <v>-0.25294565239038669</v>
      </c>
      <c r="AG117" s="423">
        <f>'Quarterly Model'!BK212</f>
        <v>-1.8732453863250169</v>
      </c>
      <c r="AH117" s="423">
        <f>'Quarterly Model'!BL212</f>
        <v>0.35704703237162883</v>
      </c>
      <c r="AI117" s="423">
        <f>'Quarterly Model'!BM212</f>
        <v>-0.23924217197557329</v>
      </c>
      <c r="AJ117" s="423">
        <f>'Quarterly Model'!BN212</f>
        <v>-4.4282923993136354</v>
      </c>
      <c r="AK117" s="1180">
        <f>'Quarterly Model'!BO212</f>
        <v>0.20068495118233654</v>
      </c>
      <c r="AL117" s="423">
        <f>'Quarterly Model'!BP212</f>
        <v>-1.5699645363013568</v>
      </c>
      <c r="AM117" s="423">
        <f>'Quarterly Model'!BQ212</f>
        <v>-3.5505594313526068E-2</v>
      </c>
      <c r="AN117" s="423">
        <f>'Quarterly Model'!BR212</f>
        <v>0.53523390545183025</v>
      </c>
      <c r="AO117" s="423">
        <f>'Quarterly Model'!BS212</f>
        <v>0.2398451853536272</v>
      </c>
      <c r="AP117" s="1180">
        <f>'Quarterly Model'!BT212</f>
        <v>0.62753262783930186</v>
      </c>
      <c r="AQ117" s="423">
        <f>'Quarterly Model'!BU212</f>
        <v>2.3786498368181976</v>
      </c>
      <c r="AR117" s="423">
        <f>'Quarterly Model'!BV212</f>
        <v>0.23402139667480482</v>
      </c>
      <c r="AS117" s="423">
        <f>'Quarterly Model'!BW212</f>
        <v>0.17272398231266184</v>
      </c>
      <c r="AT117" s="423">
        <f>'Quarterly Model'!BX212</f>
        <v>0.21764756398634977</v>
      </c>
      <c r="AU117" s="1180">
        <f>'Quarterly Model'!BY212</f>
        <v>0.38903523769225545</v>
      </c>
      <c r="AV117" s="423">
        <f>'Quarterly Model'!BZ212</f>
        <v>0.12226540421563681</v>
      </c>
      <c r="AW117" s="423">
        <f>'Quarterly Model'!CA212</f>
        <v>0.20282119577485713</v>
      </c>
      <c r="AX117" s="423">
        <f>'Quarterly Model'!CB212</f>
        <v>0.23301146293336572</v>
      </c>
      <c r="AY117" s="423">
        <f>'Quarterly Model'!CC212</f>
        <v>0.21553516923572014</v>
      </c>
      <c r="AZ117" s="1180">
        <f>'Quarterly Model'!CD212</f>
        <v>0.19775633919785451</v>
      </c>
    </row>
    <row r="118" spans="2:52">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c r="Y118" s="160"/>
      <c r="Z118" s="160"/>
      <c r="AA118" s="160"/>
      <c r="AB118" s="160"/>
      <c r="AC118" s="160"/>
      <c r="AD118" s="160"/>
      <c r="AE118" s="160"/>
      <c r="AF118" s="160"/>
      <c r="AG118" s="160"/>
      <c r="AH118" s="160"/>
      <c r="AI118" s="160"/>
      <c r="AJ118" s="160"/>
      <c r="AK118" s="160"/>
      <c r="AL118" s="160"/>
      <c r="AM118" s="160"/>
      <c r="AN118" s="160"/>
      <c r="AO118" s="160"/>
      <c r="AP118" s="160"/>
      <c r="AQ118" s="160"/>
      <c r="AR118" s="160"/>
      <c r="AS118" s="160"/>
      <c r="AT118" s="160"/>
      <c r="AU118" s="160"/>
      <c r="AV118" s="160"/>
      <c r="AW118" s="160"/>
      <c r="AX118" s="160"/>
      <c r="AY118" s="160"/>
      <c r="AZ118" s="160"/>
    </row>
    <row r="119" spans="2:52">
      <c r="C119" s="160"/>
      <c r="D119" s="160"/>
      <c r="E119" s="160"/>
      <c r="F119" s="160"/>
      <c r="G119" s="160"/>
      <c r="H119" s="160"/>
      <c r="I119" s="160"/>
      <c r="J119" s="160"/>
      <c r="K119" s="160"/>
      <c r="L119" s="160"/>
      <c r="M119" s="160"/>
      <c r="N119" s="160"/>
      <c r="O119" s="160"/>
      <c r="P119" s="160"/>
      <c r="Q119" s="160"/>
      <c r="R119" s="160"/>
      <c r="S119" s="160"/>
      <c r="T119" s="160"/>
      <c r="U119" s="160"/>
      <c r="V119" s="160"/>
      <c r="W119" s="160"/>
      <c r="X119" s="160"/>
      <c r="Y119" s="160"/>
      <c r="Z119" s="160"/>
      <c r="AA119" s="160"/>
      <c r="AB119" s="160"/>
      <c r="AC119" s="160"/>
      <c r="AD119" s="160"/>
      <c r="AE119" s="160"/>
      <c r="AF119" s="160"/>
      <c r="AG119" s="160"/>
      <c r="AH119" s="160"/>
      <c r="AI119" s="160"/>
      <c r="AJ119" s="160"/>
      <c r="AK119" s="160"/>
      <c r="AL119" s="160"/>
      <c r="AM119" s="160"/>
      <c r="AN119" s="160"/>
      <c r="AO119" s="160"/>
      <c r="AP119" s="160"/>
      <c r="AQ119" s="160"/>
      <c r="AR119" s="160"/>
      <c r="AS119" s="160"/>
      <c r="AT119" s="160"/>
      <c r="AU119" s="160"/>
      <c r="AV119" s="160"/>
      <c r="AW119" s="160"/>
      <c r="AX119" s="160"/>
      <c r="AY119" s="160"/>
      <c r="AZ119" s="160"/>
    </row>
    <row r="120" spans="2:52">
      <c r="B120" s="1337" t="s">
        <v>537</v>
      </c>
      <c r="C120" s="1107"/>
      <c r="D120" s="1107"/>
      <c r="E120" s="1107"/>
      <c r="F120" s="1107"/>
      <c r="G120" s="1108"/>
      <c r="H120" s="1107"/>
      <c r="I120" s="1107"/>
      <c r="J120" s="1107"/>
      <c r="K120" s="1107"/>
      <c r="L120" s="1108"/>
      <c r="M120" s="1107"/>
      <c r="N120" s="1107"/>
      <c r="O120" s="1107"/>
      <c r="P120" s="1107"/>
      <c r="Q120" s="1108"/>
      <c r="R120" s="1107"/>
      <c r="S120" s="1107"/>
      <c r="T120" s="1107"/>
      <c r="U120" s="1107"/>
      <c r="V120" s="1108"/>
      <c r="W120" s="1107"/>
      <c r="X120" s="1107"/>
      <c r="Y120" s="1107"/>
      <c r="Z120" s="1107"/>
      <c r="AA120" s="1108"/>
      <c r="AB120" s="1107"/>
      <c r="AC120" s="1107"/>
      <c r="AD120" s="1107"/>
      <c r="AE120" s="1107"/>
      <c r="AF120" s="1110"/>
      <c r="AG120" s="1107"/>
      <c r="AH120" s="1107"/>
      <c r="AI120" s="1107"/>
      <c r="AJ120" s="1107"/>
      <c r="AK120" s="1110"/>
      <c r="AL120" s="1107"/>
      <c r="AM120" s="1107"/>
      <c r="AN120" s="1107"/>
      <c r="AO120" s="1107"/>
      <c r="AP120" s="1110"/>
      <c r="AQ120" s="1107"/>
      <c r="AR120" s="1107"/>
      <c r="AS120" s="1107"/>
      <c r="AT120" s="1107"/>
      <c r="AU120" s="1110"/>
      <c r="AV120" s="1107"/>
      <c r="AW120" s="1107"/>
      <c r="AX120" s="1107"/>
      <c r="AY120" s="1107"/>
      <c r="AZ120" s="1110"/>
    </row>
    <row r="121" spans="2:52">
      <c r="B121" s="1339" t="s">
        <v>537</v>
      </c>
      <c r="C121" s="1111" t="str">
        <f>'Quarterly Model'!AG218</f>
        <v>1Q12A</v>
      </c>
      <c r="D121" s="1111" t="str">
        <f>'Quarterly Model'!AH218</f>
        <v>2Q12A</v>
      </c>
      <c r="E121" s="1111" t="str">
        <f>'Quarterly Model'!AI218</f>
        <v>3Q12A</v>
      </c>
      <c r="F121" s="1111" t="str">
        <f>'Quarterly Model'!AJ218</f>
        <v>4Q12A</v>
      </c>
      <c r="G121" s="1112" t="str">
        <f>'Quarterly Model'!AK218</f>
        <v>2012A</v>
      </c>
      <c r="H121" s="1111" t="str">
        <f>'Quarterly Model'!AL218</f>
        <v>1Q13A</v>
      </c>
      <c r="I121" s="1111" t="str">
        <f>'Quarterly Model'!AM218</f>
        <v>2Q13A</v>
      </c>
      <c r="J121" s="1111" t="str">
        <f>'Quarterly Model'!AN218</f>
        <v>3Q13A</v>
      </c>
      <c r="K121" s="1111" t="str">
        <f>'Quarterly Model'!AO218</f>
        <v>4Q13A</v>
      </c>
      <c r="L121" s="1112" t="str">
        <f>'Quarterly Model'!AP218</f>
        <v>2013A</v>
      </c>
      <c r="M121" s="1111" t="str">
        <f>'Quarterly Model'!AQ218</f>
        <v>1Q14A</v>
      </c>
      <c r="N121" s="1111" t="str">
        <f>'Quarterly Model'!AR218</f>
        <v>2Q14A</v>
      </c>
      <c r="O121" s="1111" t="str">
        <f>'Quarterly Model'!AS218</f>
        <v>3Q14A</v>
      </c>
      <c r="P121" s="1111" t="str">
        <f>'Quarterly Model'!AT218</f>
        <v>4Q14A</v>
      </c>
      <c r="Q121" s="1112" t="str">
        <f>'Quarterly Model'!AU218</f>
        <v>2014A</v>
      </c>
      <c r="R121" s="1111" t="str">
        <f>'Quarterly Model'!AV218</f>
        <v>1Q15A</v>
      </c>
      <c r="S121" s="1111" t="str">
        <f>'Quarterly Model'!AW218</f>
        <v>2Q15A</v>
      </c>
      <c r="T121" s="1111" t="str">
        <f>'Quarterly Model'!AX218</f>
        <v>3Q15A</v>
      </c>
      <c r="U121" s="1111" t="str">
        <f>'Quarterly Model'!AY218</f>
        <v>4Q15A</v>
      </c>
      <c r="V121" s="1112" t="str">
        <f>'Quarterly Model'!AZ218</f>
        <v>2015A</v>
      </c>
      <c r="W121" s="1111" t="str">
        <f>'Quarterly Model'!BA218</f>
        <v>1Q16A</v>
      </c>
      <c r="X121" s="1111" t="str">
        <f>'Quarterly Model'!BB218</f>
        <v>2Q16A</v>
      </c>
      <c r="Y121" s="1111" t="str">
        <f>'Quarterly Model'!BC218</f>
        <v>3Q16A</v>
      </c>
      <c r="Z121" s="1111" t="str">
        <f>'Quarterly Model'!BD218</f>
        <v>4Q16A</v>
      </c>
      <c r="AA121" s="1112" t="str">
        <f>'Quarterly Model'!BE218</f>
        <v>2016A</v>
      </c>
      <c r="AB121" s="1111" t="str">
        <f>'Quarterly Model'!BF218</f>
        <v>1Q17A</v>
      </c>
      <c r="AC121" s="1111" t="str">
        <f>'Quarterly Model'!BG218</f>
        <v>2Q17A</v>
      </c>
      <c r="AD121" s="1111" t="str">
        <f>'Quarterly Model'!BH218</f>
        <v>3Q17A</v>
      </c>
      <c r="AE121" s="1111" t="str">
        <f>'Quarterly Model'!BI218</f>
        <v>4Q17A</v>
      </c>
      <c r="AF121" s="1113" t="str">
        <f>'Quarterly Model'!BJ218</f>
        <v>2017A</v>
      </c>
      <c r="AG121" s="1111" t="str">
        <f>'Quarterly Model'!BK218</f>
        <v>1Q18A</v>
      </c>
      <c r="AH121" s="1111" t="str">
        <f>'Quarterly Model'!BL218</f>
        <v>2Q18E</v>
      </c>
      <c r="AI121" s="1111" t="str">
        <f>'Quarterly Model'!BM218</f>
        <v>3Q18E</v>
      </c>
      <c r="AJ121" s="1111" t="str">
        <f>'Quarterly Model'!BN218</f>
        <v>4Q18E</v>
      </c>
      <c r="AK121" s="1113" t="str">
        <f>'Quarterly Model'!BO218</f>
        <v>2018E</v>
      </c>
      <c r="AL121" s="1111" t="str">
        <f>'Quarterly Model'!BP218</f>
        <v>1Q19E</v>
      </c>
      <c r="AM121" s="1111" t="str">
        <f>'Quarterly Model'!BQ218</f>
        <v>2Q19E</v>
      </c>
      <c r="AN121" s="1111" t="str">
        <f>'Quarterly Model'!BR218</f>
        <v>3Q19E</v>
      </c>
      <c r="AO121" s="1111" t="str">
        <f>'Quarterly Model'!BS218</f>
        <v>4Q19E</v>
      </c>
      <c r="AP121" s="1113" t="str">
        <f>'Quarterly Model'!BT218</f>
        <v>2019E</v>
      </c>
      <c r="AQ121" s="1111" t="str">
        <f>'Quarterly Model'!BU218</f>
        <v>1Q20E</v>
      </c>
      <c r="AR121" s="1111" t="str">
        <f>'Quarterly Model'!BV218</f>
        <v>2Q20E</v>
      </c>
      <c r="AS121" s="1111" t="str">
        <f>'Quarterly Model'!BW218</f>
        <v>3Q20E</v>
      </c>
      <c r="AT121" s="1111" t="str">
        <f>'Quarterly Model'!BX218</f>
        <v>4Q20E</v>
      </c>
      <c r="AU121" s="1113" t="str">
        <f>'Quarterly Model'!BY218</f>
        <v>2020E</v>
      </c>
      <c r="AV121" s="1111" t="str">
        <f>'Quarterly Model'!BZ218</f>
        <v>1Q21E</v>
      </c>
      <c r="AW121" s="1111" t="str">
        <f>'Quarterly Model'!CA218</f>
        <v>2Q21E</v>
      </c>
      <c r="AX121" s="1111" t="str">
        <f>'Quarterly Model'!CB218</f>
        <v>3Q21E</v>
      </c>
      <c r="AY121" s="1111" t="str">
        <f>'Quarterly Model'!CC218</f>
        <v>4Q21E</v>
      </c>
      <c r="AZ121" s="1113" t="str">
        <f>'Quarterly Model'!CD218</f>
        <v>2021E</v>
      </c>
    </row>
    <row r="122" spans="2:52">
      <c r="B122" s="432" t="str">
        <f>'Quarterly Model'!B219</f>
        <v>ASSETS:</v>
      </c>
      <c r="C122" s="1181"/>
      <c r="D122" s="1181"/>
      <c r="E122" s="1181"/>
      <c r="F122" s="361"/>
      <c r="G122" s="1170"/>
      <c r="H122" s="1181"/>
      <c r="I122" s="1181"/>
      <c r="J122" s="1181"/>
      <c r="K122" s="361"/>
      <c r="L122" s="1170"/>
      <c r="M122" s="361"/>
      <c r="N122" s="361"/>
      <c r="O122" s="361"/>
      <c r="P122" s="361"/>
      <c r="Q122" s="1170"/>
      <c r="R122" s="361"/>
      <c r="S122" s="361"/>
      <c r="T122" s="361"/>
      <c r="U122" s="361"/>
      <c r="V122" s="1170"/>
      <c r="W122" s="361"/>
      <c r="X122" s="361"/>
      <c r="Y122" s="361"/>
      <c r="Z122" s="361"/>
      <c r="AA122" s="1170"/>
      <c r="AB122" s="361"/>
      <c r="AC122" s="361"/>
      <c r="AD122" s="361"/>
      <c r="AE122" s="361"/>
      <c r="AF122" s="1170"/>
      <c r="AG122" s="361"/>
      <c r="AH122" s="361"/>
      <c r="AI122" s="361"/>
      <c r="AJ122" s="361"/>
      <c r="AK122" s="1170"/>
      <c r="AL122" s="361"/>
      <c r="AM122" s="361"/>
      <c r="AN122" s="361"/>
      <c r="AO122" s="361"/>
      <c r="AP122" s="1170"/>
      <c r="AQ122" s="361"/>
      <c r="AR122" s="361"/>
      <c r="AS122" s="361"/>
      <c r="AT122" s="361"/>
      <c r="AU122" s="1170"/>
      <c r="AV122" s="361"/>
      <c r="AW122" s="361"/>
      <c r="AX122" s="361"/>
      <c r="AY122" s="361"/>
      <c r="AZ122" s="1170"/>
    </row>
    <row r="123" spans="2:52">
      <c r="B123" s="435" t="str">
        <f>'Quarterly Model'!B220</f>
        <v>Cash and cash equivalents</v>
      </c>
      <c r="C123" s="145">
        <f>'Quarterly Model'!AG220</f>
        <v>0</v>
      </c>
      <c r="D123" s="145">
        <f>'Quarterly Model'!AH220</f>
        <v>0</v>
      </c>
      <c r="E123" s="145">
        <f>'Quarterly Model'!AI220</f>
        <v>0</v>
      </c>
      <c r="F123" s="145">
        <f>'Quarterly Model'!AJ220</f>
        <v>0</v>
      </c>
      <c r="G123" s="1127">
        <f>'Quarterly Model'!AK220</f>
        <v>0</v>
      </c>
      <c r="H123" s="1128">
        <f>'Quarterly Model'!AL220</f>
        <v>0</v>
      </c>
      <c r="I123" s="1128">
        <f>'Quarterly Model'!AM220</f>
        <v>0</v>
      </c>
      <c r="J123" s="1128">
        <f>'Quarterly Model'!AN220</f>
        <v>0</v>
      </c>
      <c r="K123" s="1128">
        <f>'Quarterly Model'!AO220</f>
        <v>0</v>
      </c>
      <c r="L123" s="1127">
        <f>'Quarterly Model'!AP220</f>
        <v>1604</v>
      </c>
      <c r="M123" s="1128">
        <f>'Quarterly Model'!AQ220</f>
        <v>0</v>
      </c>
      <c r="N123" s="1128">
        <f>'Quarterly Model'!AR220</f>
        <v>0</v>
      </c>
      <c r="O123" s="1128">
        <f>'Quarterly Model'!AS220</f>
        <v>0</v>
      </c>
      <c r="P123" s="1128">
        <f>'Quarterly Model'!AT220</f>
        <v>2201</v>
      </c>
      <c r="Q123" s="1127">
        <f>'Quarterly Model'!AU220</f>
        <v>2201</v>
      </c>
      <c r="R123" s="1126">
        <f>'Quarterly Model'!AV220</f>
        <v>2365</v>
      </c>
      <c r="S123" s="1128">
        <f>'Quarterly Model'!AW220</f>
        <v>2562</v>
      </c>
      <c r="T123" s="1128">
        <f>'Quarterly Model'!AX220</f>
        <v>1880</v>
      </c>
      <c r="U123" s="1128">
        <f>'Quarterly Model'!AY220</f>
        <v>1393</v>
      </c>
      <c r="V123" s="1127">
        <f>'Quarterly Model'!AZ220</f>
        <v>1393</v>
      </c>
      <c r="W123" s="1128">
        <f>'Quarterly Model'!BA220</f>
        <v>2583</v>
      </c>
      <c r="X123" s="1128">
        <f>'Quarterly Model'!BB220</f>
        <v>2018</v>
      </c>
      <c r="Y123" s="1128">
        <f>'Quarterly Model'!BC220</f>
        <v>1369</v>
      </c>
      <c r="Z123" s="1128">
        <f>'Quarterly Model'!BD220</f>
        <v>1590</v>
      </c>
      <c r="AA123" s="1127">
        <f>'Quarterly Model'!BE220</f>
        <v>1590</v>
      </c>
      <c r="AB123" s="1128">
        <f>'Quarterly Model'!BF220</f>
        <v>1240</v>
      </c>
      <c r="AC123" s="1128">
        <f>'Quarterly Model'!BG220</f>
        <v>1271</v>
      </c>
      <c r="AD123" s="1128">
        <f>'Quarterly Model'!BH220</f>
        <v>2330</v>
      </c>
      <c r="AE123" s="1128">
        <f>'Quarterly Model'!BI220</f>
        <v>2883</v>
      </c>
      <c r="AF123" s="1127">
        <f>'Quarterly Model'!BJ220</f>
        <v>2883</v>
      </c>
      <c r="AG123" s="1128">
        <f>'Quarterly Model'!BK220</f>
        <v>2879</v>
      </c>
      <c r="AH123" s="1128">
        <f>'Quarterly Model'!BL220</f>
        <v>3223.0767337822108</v>
      </c>
      <c r="AI123" s="1128">
        <f>'Quarterly Model'!BM220</f>
        <v>9736.0634317097029</v>
      </c>
      <c r="AJ123" s="1128">
        <f>'Quarterly Model'!BN220</f>
        <v>10141.84483609525</v>
      </c>
      <c r="AK123" s="1127">
        <f>'Quarterly Model'!BO220</f>
        <v>10141.844836095252</v>
      </c>
      <c r="AL123" s="1128">
        <f>'Quarterly Model'!BP220</f>
        <v>10016.554531476688</v>
      </c>
      <c r="AM123" s="1128">
        <f>'Quarterly Model'!BQ220</f>
        <v>10562.391568884377</v>
      </c>
      <c r="AN123" s="1128">
        <f>'Quarterly Model'!BR220</f>
        <v>11104.033054890901</v>
      </c>
      <c r="AO123" s="1128">
        <f>'Quarterly Model'!BS220</f>
        <v>12035.810738380704</v>
      </c>
      <c r="AP123" s="1127">
        <f>'Quarterly Model'!BT220</f>
        <v>12035.810738380707</v>
      </c>
      <c r="AQ123" s="1128">
        <f>'Quarterly Model'!BU220</f>
        <v>12508.644594045774</v>
      </c>
      <c r="AR123" s="1128">
        <f>'Quarterly Model'!BV220</f>
        <v>13168.57533048504</v>
      </c>
      <c r="AS123" s="1128">
        <f>'Quarterly Model'!BW220</f>
        <v>13764.605253180465</v>
      </c>
      <c r="AT123" s="1128">
        <f>'Quarterly Model'!BX220</f>
        <v>14874.603959983528</v>
      </c>
      <c r="AU123" s="1127">
        <f>'Quarterly Model'!BY220</f>
        <v>14874.603959983528</v>
      </c>
      <c r="AV123" s="1128">
        <f>'Quarterly Model'!BZ220</f>
        <v>15457.089046452116</v>
      </c>
      <c r="AW123" s="1128">
        <f>'Quarterly Model'!CA220</f>
        <v>16343.503748964704</v>
      </c>
      <c r="AX123" s="1128">
        <f>'Quarterly Model'!CB220</f>
        <v>17187.762336111216</v>
      </c>
      <c r="AY123" s="1128">
        <f>'Quarterly Model'!CC220</f>
        <v>18634.145332019027</v>
      </c>
      <c r="AZ123" s="1127">
        <f>'Quarterly Model'!CD220</f>
        <v>18634.145332019027</v>
      </c>
    </row>
    <row r="124" spans="2:52">
      <c r="B124" s="435" t="str">
        <f>'Quarterly Model'!B221</f>
        <v>Short-term investments</v>
      </c>
      <c r="C124" s="145">
        <f>'Quarterly Model'!AG221</f>
        <v>0</v>
      </c>
      <c r="D124" s="145">
        <f>'Quarterly Model'!AH221</f>
        <v>0</v>
      </c>
      <c r="E124" s="145">
        <f>'Quarterly Model'!AI221</f>
        <v>0</v>
      </c>
      <c r="F124" s="145">
        <f>'Quarterly Model'!AJ221</f>
        <v>0</v>
      </c>
      <c r="G124" s="1127">
        <f>'Quarterly Model'!AK221</f>
        <v>0</v>
      </c>
      <c r="H124" s="1128">
        <f>'Quarterly Model'!AL221</f>
        <v>0</v>
      </c>
      <c r="I124" s="1128">
        <f>'Quarterly Model'!AM221</f>
        <v>0</v>
      </c>
      <c r="J124" s="1128">
        <f>'Quarterly Model'!AN221</f>
        <v>0</v>
      </c>
      <c r="K124" s="1128">
        <f>'Quarterly Model'!AO221</f>
        <v>0</v>
      </c>
      <c r="L124" s="1127">
        <f>'Quarterly Model'!AP221</f>
        <v>321</v>
      </c>
      <c r="M124" s="1128">
        <f>'Quarterly Model'!AQ221</f>
        <v>0</v>
      </c>
      <c r="N124" s="1128">
        <f>'Quarterly Model'!AR221</f>
        <v>0</v>
      </c>
      <c r="O124" s="1128">
        <f>'Quarterly Model'!AS221</f>
        <v>0</v>
      </c>
      <c r="P124" s="1128">
        <f>'Quarterly Model'!AT221</f>
        <v>29</v>
      </c>
      <c r="Q124" s="1127">
        <f>'Quarterly Model'!AU221</f>
        <v>29</v>
      </c>
      <c r="R124" s="1126">
        <f>'Quarterly Model'!AV221</f>
        <v>10</v>
      </c>
      <c r="S124" s="1128">
        <f>'Quarterly Model'!AW221</f>
        <v>1846</v>
      </c>
      <c r="T124" s="1128">
        <f>'Quarterly Model'!AX221</f>
        <v>2419</v>
      </c>
      <c r="U124" s="1128">
        <f>'Quarterly Model'!AY221</f>
        <v>2018</v>
      </c>
      <c r="V124" s="1127">
        <f>'Quarterly Model'!AZ221</f>
        <v>2018</v>
      </c>
      <c r="W124" s="1128">
        <f>'Quarterly Model'!BA221</f>
        <v>2184</v>
      </c>
      <c r="X124" s="1128">
        <f>'Quarterly Model'!BB221</f>
        <v>2939</v>
      </c>
      <c r="Y124" s="1128">
        <f>'Quarterly Model'!BC221</f>
        <v>3719</v>
      </c>
      <c r="Z124" s="1128">
        <f>'Quarterly Model'!BD221</f>
        <v>3385</v>
      </c>
      <c r="AA124" s="1127">
        <f>'Quarterly Model'!BE221</f>
        <v>3385</v>
      </c>
      <c r="AB124" s="1128">
        <f>'Quarterly Model'!BF221</f>
        <v>2815</v>
      </c>
      <c r="AC124" s="1128">
        <f>'Quarterly Model'!BG221</f>
        <v>2820</v>
      </c>
      <c r="AD124" s="1128">
        <f>'Quarterly Model'!BH221</f>
        <v>2591</v>
      </c>
      <c r="AE124" s="1128">
        <f>'Quarterly Model'!BI221</f>
        <v>2812</v>
      </c>
      <c r="AF124" s="1127">
        <f>'Quarterly Model'!BJ221</f>
        <v>2812</v>
      </c>
      <c r="AG124" s="1128">
        <f>'Quarterly Model'!BK221</f>
        <v>3427</v>
      </c>
      <c r="AH124" s="1128">
        <f>'Quarterly Model'!BL221</f>
        <v>3427</v>
      </c>
      <c r="AI124" s="1128">
        <f>'Quarterly Model'!BM221</f>
        <v>3427</v>
      </c>
      <c r="AJ124" s="1128">
        <f>'Quarterly Model'!BN221</f>
        <v>3427</v>
      </c>
      <c r="AK124" s="1127">
        <f>'Quarterly Model'!BO221</f>
        <v>3427</v>
      </c>
      <c r="AL124" s="1128">
        <f>'Quarterly Model'!BP221</f>
        <v>3427</v>
      </c>
      <c r="AM124" s="1128">
        <f>'Quarterly Model'!BQ221</f>
        <v>3427</v>
      </c>
      <c r="AN124" s="1128">
        <f>'Quarterly Model'!BR221</f>
        <v>3427</v>
      </c>
      <c r="AO124" s="1128">
        <f>'Quarterly Model'!BS221</f>
        <v>3427</v>
      </c>
      <c r="AP124" s="1127">
        <f>'Quarterly Model'!BT221</f>
        <v>3427</v>
      </c>
      <c r="AQ124" s="1128">
        <f>'Quarterly Model'!BU221</f>
        <v>3427</v>
      </c>
      <c r="AR124" s="1128">
        <f>'Quarterly Model'!BV221</f>
        <v>3427</v>
      </c>
      <c r="AS124" s="1128">
        <f>'Quarterly Model'!BW221</f>
        <v>3427</v>
      </c>
      <c r="AT124" s="1128">
        <f>'Quarterly Model'!BX221</f>
        <v>3427</v>
      </c>
      <c r="AU124" s="1127">
        <f>'Quarterly Model'!BY221</f>
        <v>3427</v>
      </c>
      <c r="AV124" s="1128">
        <f>'Quarterly Model'!BZ221</f>
        <v>3427</v>
      </c>
      <c r="AW124" s="1128">
        <f>'Quarterly Model'!CA221</f>
        <v>3427</v>
      </c>
      <c r="AX124" s="1128">
        <f>'Quarterly Model'!CB221</f>
        <v>3427</v>
      </c>
      <c r="AY124" s="1128">
        <f>'Quarterly Model'!CC221</f>
        <v>3427</v>
      </c>
      <c r="AZ124" s="1127">
        <f>'Quarterly Model'!CD221</f>
        <v>3427</v>
      </c>
    </row>
    <row r="125" spans="2:52">
      <c r="B125" s="435" t="str">
        <f>'Quarterly Model'!B222</f>
        <v>Accounts receivable, net</v>
      </c>
      <c r="C125" s="145">
        <f>'Quarterly Model'!AG222</f>
        <v>0</v>
      </c>
      <c r="D125" s="145">
        <f>'Quarterly Model'!AH222</f>
        <v>0</v>
      </c>
      <c r="E125" s="145">
        <f>'Quarterly Model'!AI222</f>
        <v>0</v>
      </c>
      <c r="F125" s="145">
        <f>'Quarterly Model'!AJ222</f>
        <v>0</v>
      </c>
      <c r="G125" s="1127">
        <f>'Quarterly Model'!AK222</f>
        <v>0</v>
      </c>
      <c r="H125" s="1128">
        <f>'Quarterly Model'!AL222</f>
        <v>0</v>
      </c>
      <c r="I125" s="1128">
        <f>'Quarterly Model'!AM222</f>
        <v>0</v>
      </c>
      <c r="J125" s="1128">
        <f>'Quarterly Model'!AN222</f>
        <v>0</v>
      </c>
      <c r="K125" s="1128">
        <f>'Quarterly Model'!AO222</f>
        <v>0</v>
      </c>
      <c r="L125" s="1127">
        <f>'Quarterly Model'!AP222</f>
        <v>52</v>
      </c>
      <c r="M125" s="1128">
        <f>'Quarterly Model'!AQ222</f>
        <v>0</v>
      </c>
      <c r="N125" s="1128">
        <f>'Quarterly Model'!AR222</f>
        <v>0</v>
      </c>
      <c r="O125" s="1128">
        <f>'Quarterly Model'!AS222</f>
        <v>0</v>
      </c>
      <c r="P125" s="1128">
        <f>'Quarterly Model'!AT222</f>
        <v>65</v>
      </c>
      <c r="Q125" s="1127">
        <f>'Quarterly Model'!AU222</f>
        <v>65</v>
      </c>
      <c r="R125" s="1126">
        <f>'Quarterly Model'!AV222</f>
        <v>53</v>
      </c>
      <c r="S125" s="1128">
        <f>'Quarterly Model'!AW222</f>
        <v>81</v>
      </c>
      <c r="T125" s="1128">
        <f>'Quarterly Model'!AX222</f>
        <v>173</v>
      </c>
      <c r="U125" s="1128">
        <f>'Quarterly Model'!AY222</f>
        <v>137</v>
      </c>
      <c r="V125" s="1127">
        <f>'Quarterly Model'!AZ222</f>
        <v>137</v>
      </c>
      <c r="W125" s="1128">
        <f>'Quarterly Model'!BA222</f>
        <v>159</v>
      </c>
      <c r="X125" s="1128">
        <f>'Quarterly Model'!BB222</f>
        <v>167</v>
      </c>
      <c r="Y125" s="1128">
        <f>'Quarterly Model'!BC222</f>
        <v>187</v>
      </c>
      <c r="Z125" s="1128">
        <f>'Quarterly Model'!BD222</f>
        <v>214</v>
      </c>
      <c r="AA125" s="1127">
        <f>'Quarterly Model'!BE222</f>
        <v>214</v>
      </c>
      <c r="AB125" s="1128">
        <f>'Quarterly Model'!BF222</f>
        <v>178</v>
      </c>
      <c r="AC125" s="1128">
        <f>'Quarterly Model'!BG222</f>
        <v>176</v>
      </c>
      <c r="AD125" s="1128">
        <f>'Quarterly Model'!BH222</f>
        <v>301</v>
      </c>
      <c r="AE125" s="1128">
        <f>'Quarterly Model'!BI222</f>
        <v>283</v>
      </c>
      <c r="AF125" s="1127">
        <f>'Quarterly Model'!BJ222</f>
        <v>283</v>
      </c>
      <c r="AG125" s="1128">
        <f>'Quarterly Model'!BK222</f>
        <v>258</v>
      </c>
      <c r="AH125" s="1128">
        <f>'Quarterly Model'!BL222</f>
        <v>267.51067406705846</v>
      </c>
      <c r="AI125" s="1128">
        <f>'Quarterly Model'!BM222</f>
        <v>256.37364642419686</v>
      </c>
      <c r="AJ125" s="1128">
        <f>'Quarterly Model'!BN222</f>
        <v>296.96926413117001</v>
      </c>
      <c r="AK125" s="1127">
        <f>'Quarterly Model'!BO222</f>
        <v>296.96926413117001</v>
      </c>
      <c r="AL125" s="1128">
        <f>'Quarterly Model'!BP222</f>
        <v>317.53111319441729</v>
      </c>
      <c r="AM125" s="1128">
        <f>'Quarterly Model'!BQ222</f>
        <v>330.11301408410696</v>
      </c>
      <c r="AN125" s="1128">
        <f>'Quarterly Model'!BR222</f>
        <v>339.63634363020736</v>
      </c>
      <c r="AO125" s="1128">
        <f>'Quarterly Model'!BS222</f>
        <v>393.6453694473222</v>
      </c>
      <c r="AP125" s="1127">
        <f>'Quarterly Model'!BT222</f>
        <v>393.6453694473222</v>
      </c>
      <c r="AQ125" s="1128">
        <f>'Quarterly Model'!BU222</f>
        <v>318.18760414258617</v>
      </c>
      <c r="AR125" s="1128">
        <f>'Quarterly Model'!BV222</f>
        <v>331.97833767374482</v>
      </c>
      <c r="AS125" s="1128">
        <f>'Quarterly Model'!BW222</f>
        <v>335.6679207841654</v>
      </c>
      <c r="AT125" s="1128">
        <f>'Quarterly Model'!BX222</f>
        <v>390.43414086217405</v>
      </c>
      <c r="AU125" s="1127">
        <f>'Quarterly Model'!BY222</f>
        <v>390.43414086217405</v>
      </c>
      <c r="AV125" s="1128">
        <f>'Quarterly Model'!BZ222</f>
        <v>365.67580444858589</v>
      </c>
      <c r="AW125" s="1128">
        <f>'Quarterly Model'!CA222</f>
        <v>382.16997321643953</v>
      </c>
      <c r="AX125" s="1128">
        <f>'Quarterly Model'!CB222</f>
        <v>389.02109439601657</v>
      </c>
      <c r="AY125" s="1128">
        <f>'Quarterly Model'!CC222</f>
        <v>453.18792628287417</v>
      </c>
      <c r="AZ125" s="1127">
        <f>'Quarterly Model'!CD222</f>
        <v>453.18792628287417</v>
      </c>
    </row>
    <row r="126" spans="2:52">
      <c r="B126" s="435" t="str">
        <f>'Quarterly Model'!B223</f>
        <v>Loans and interest receivable, net</v>
      </c>
      <c r="C126" s="145">
        <f>'Quarterly Model'!AG223</f>
        <v>0</v>
      </c>
      <c r="D126" s="145">
        <f>'Quarterly Model'!AH223</f>
        <v>0</v>
      </c>
      <c r="E126" s="145">
        <f>'Quarterly Model'!AI223</f>
        <v>0</v>
      </c>
      <c r="F126" s="145">
        <f>'Quarterly Model'!AJ223</f>
        <v>0</v>
      </c>
      <c r="G126" s="1127">
        <f>'Quarterly Model'!AK223</f>
        <v>0</v>
      </c>
      <c r="H126" s="1128">
        <f>'Quarterly Model'!AL223</f>
        <v>0</v>
      </c>
      <c r="I126" s="1128">
        <f>'Quarterly Model'!AM223</f>
        <v>0</v>
      </c>
      <c r="J126" s="1128">
        <f>'Quarterly Model'!AN223</f>
        <v>0</v>
      </c>
      <c r="K126" s="1128">
        <f>'Quarterly Model'!AO223</f>
        <v>0</v>
      </c>
      <c r="L126" s="1127">
        <f>'Quarterly Model'!AP223</f>
        <v>2789</v>
      </c>
      <c r="M126" s="1128">
        <f>'Quarterly Model'!AQ223</f>
        <v>0</v>
      </c>
      <c r="N126" s="1128">
        <f>'Quarterly Model'!AR223</f>
        <v>0</v>
      </c>
      <c r="O126" s="1128">
        <f>'Quarterly Model'!AS223</f>
        <v>0</v>
      </c>
      <c r="P126" s="1128">
        <f>'Quarterly Model'!AT223</f>
        <v>3586</v>
      </c>
      <c r="Q126" s="1127">
        <f>'Quarterly Model'!AU223</f>
        <v>3586</v>
      </c>
      <c r="R126" s="1126">
        <f>'Quarterly Model'!AV223</f>
        <v>3566</v>
      </c>
      <c r="S126" s="1128">
        <f>'Quarterly Model'!AW223</f>
        <v>3152</v>
      </c>
      <c r="T126" s="1128">
        <f>'Quarterly Model'!AX223</f>
        <v>3602</v>
      </c>
      <c r="U126" s="1128">
        <f>'Quarterly Model'!AY223</f>
        <v>4184</v>
      </c>
      <c r="V126" s="1127">
        <f>'Quarterly Model'!AZ223</f>
        <v>4184</v>
      </c>
      <c r="W126" s="1128">
        <f>'Quarterly Model'!BA223</f>
        <v>4224</v>
      </c>
      <c r="X126" s="1128">
        <f>'Quarterly Model'!BB223</f>
        <v>4507</v>
      </c>
      <c r="Y126" s="1128">
        <f>'Quarterly Model'!BC223</f>
        <v>4815</v>
      </c>
      <c r="Z126" s="1128">
        <f>'Quarterly Model'!BD223</f>
        <v>5348</v>
      </c>
      <c r="AA126" s="1127">
        <f>'Quarterly Model'!BE223</f>
        <v>5348</v>
      </c>
      <c r="AB126" s="1128">
        <f>'Quarterly Model'!BF223</f>
        <v>5354</v>
      </c>
      <c r="AC126" s="1128">
        <f>'Quarterly Model'!BG223</f>
        <v>5752</v>
      </c>
      <c r="AD126" s="1128">
        <f>'Quarterly Model'!BH223</f>
        <v>6321</v>
      </c>
      <c r="AE126" s="1128">
        <f>'Quarterly Model'!BI223</f>
        <v>1314</v>
      </c>
      <c r="AF126" s="1127">
        <f>'Quarterly Model'!BJ223</f>
        <v>1314</v>
      </c>
      <c r="AG126" s="1128">
        <f>'Quarterly Model'!BK223</f>
        <v>1579</v>
      </c>
      <c r="AH126" s="1128">
        <f>'Quarterly Model'!BL223</f>
        <v>1524.9676901327439</v>
      </c>
      <c r="AI126" s="1128">
        <f>'Quarterly Model'!BM223</f>
        <v>1444.7787575314667</v>
      </c>
      <c r="AJ126" s="1128">
        <f>'Quarterly Model'!BN223</f>
        <v>1358.2356463424499</v>
      </c>
      <c r="AK126" s="1127">
        <f>'Quarterly Model'!BO223</f>
        <v>1358.2356463424499</v>
      </c>
      <c r="AL126" s="1128">
        <f>'Quarterly Model'!BP223</f>
        <v>1011.9943090980914</v>
      </c>
      <c r="AM126" s="1128">
        <f>'Quarterly Model'!BQ223</f>
        <v>643.60674171987034</v>
      </c>
      <c r="AN126" s="1128">
        <f>'Quarterly Model'!BR223</f>
        <v>257.76497308139517</v>
      </c>
      <c r="AO126" s="1128">
        <f>'Quarterly Model'!BS223</f>
        <v>-181.45124462499388</v>
      </c>
      <c r="AP126" s="1127">
        <f>'Quarterly Model'!BT223</f>
        <v>-181.45124462499388</v>
      </c>
      <c r="AQ126" s="1128">
        <f>'Quarterly Model'!BU223</f>
        <v>-597.66355742711517</v>
      </c>
      <c r="AR126" s="1128">
        <f>'Quarterly Model'!BV223</f>
        <v>-1040.3784085800419</v>
      </c>
      <c r="AS126" s="1128">
        <f>'Quarterly Model'!BW223</f>
        <v>-1496.3458117660277</v>
      </c>
      <c r="AT126" s="1128">
        <f>'Quarterly Model'!BX223</f>
        <v>-2015.2830468126449</v>
      </c>
      <c r="AU126" s="1127">
        <f>'Quarterly Model'!BY223</f>
        <v>-2015.2830468126449</v>
      </c>
      <c r="AV126" s="1128">
        <f>'Quarterly Model'!BZ223</f>
        <v>-2502.8185440927582</v>
      </c>
      <c r="AW126" s="1128">
        <f>'Quarterly Model'!CA223</f>
        <v>-3021.3311812560719</v>
      </c>
      <c r="AX126" s="1128">
        <f>'Quarterly Model'!CB223</f>
        <v>-3555.1316708183281</v>
      </c>
      <c r="AY126" s="1128">
        <f>'Quarterly Model'!CC223</f>
        <v>-4162.5991044845159</v>
      </c>
      <c r="AZ126" s="1127">
        <f>'Quarterly Model'!CD223</f>
        <v>-4162.5991044845159</v>
      </c>
    </row>
    <row r="127" spans="2:52">
      <c r="B127" s="435" t="str">
        <f>'Quarterly Model'!B225</f>
        <v>Funds receivable and customer accounts</v>
      </c>
      <c r="C127" s="145">
        <f>'Quarterly Model'!AG225</f>
        <v>0</v>
      </c>
      <c r="D127" s="145">
        <f>'Quarterly Model'!AH225</f>
        <v>0</v>
      </c>
      <c r="E127" s="145">
        <f>'Quarterly Model'!AI225</f>
        <v>0</v>
      </c>
      <c r="F127" s="145">
        <f>'Quarterly Model'!AJ225</f>
        <v>0</v>
      </c>
      <c r="G127" s="1127">
        <f>'Quarterly Model'!AK225</f>
        <v>0</v>
      </c>
      <c r="H127" s="1128">
        <f>'Quarterly Model'!AL225</f>
        <v>0</v>
      </c>
      <c r="I127" s="1128">
        <f>'Quarterly Model'!AM225</f>
        <v>0</v>
      </c>
      <c r="J127" s="1128">
        <f>'Quarterly Model'!AN225</f>
        <v>0</v>
      </c>
      <c r="K127" s="1128">
        <f>'Quarterly Model'!AO225</f>
        <v>0</v>
      </c>
      <c r="L127" s="1127">
        <f>'Quarterly Model'!AP225</f>
        <v>9277</v>
      </c>
      <c r="M127" s="1128">
        <f>'Quarterly Model'!AQ225</f>
        <v>0</v>
      </c>
      <c r="N127" s="1128">
        <f>'Quarterly Model'!AR225</f>
        <v>0</v>
      </c>
      <c r="O127" s="1128">
        <f>'Quarterly Model'!AS225</f>
        <v>0</v>
      </c>
      <c r="P127" s="1128">
        <f>'Quarterly Model'!AT225</f>
        <v>10612</v>
      </c>
      <c r="Q127" s="1127">
        <f>'Quarterly Model'!AU225</f>
        <v>10612</v>
      </c>
      <c r="R127" s="1126">
        <f>'Quarterly Model'!AV225</f>
        <v>10945</v>
      </c>
      <c r="S127" s="1128">
        <f>'Quarterly Model'!AW225</f>
        <v>11386</v>
      </c>
      <c r="T127" s="1128">
        <f>'Quarterly Model'!AX225</f>
        <v>11802</v>
      </c>
      <c r="U127" s="1128">
        <f>'Quarterly Model'!AY225</f>
        <v>12261</v>
      </c>
      <c r="V127" s="1127">
        <f>'Quarterly Model'!AZ225</f>
        <v>12261</v>
      </c>
      <c r="W127" s="1128">
        <f>'Quarterly Model'!BA225</f>
        <v>12232</v>
      </c>
      <c r="X127" s="1128">
        <f>'Quarterly Model'!BB225</f>
        <v>13034</v>
      </c>
      <c r="Y127" s="1128">
        <f>'Quarterly Model'!BC225</f>
        <v>13320</v>
      </c>
      <c r="Z127" s="1128">
        <f>'Quarterly Model'!BD225</f>
        <v>14363</v>
      </c>
      <c r="AA127" s="1127">
        <f>'Quarterly Model'!BE225</f>
        <v>14363</v>
      </c>
      <c r="AB127" s="1128">
        <f>'Quarterly Model'!BF225</f>
        <v>14941</v>
      </c>
      <c r="AC127" s="1128">
        <f>'Quarterly Model'!BG225</f>
        <v>16178</v>
      </c>
      <c r="AD127" s="1128">
        <f>'Quarterly Model'!BH225</f>
        <v>17175</v>
      </c>
      <c r="AE127" s="1128">
        <f>'Quarterly Model'!BI225</f>
        <v>18242</v>
      </c>
      <c r="AF127" s="1127">
        <f>'Quarterly Model'!BJ225</f>
        <v>18242</v>
      </c>
      <c r="AG127" s="1128">
        <f>'Quarterly Model'!BK225</f>
        <v>19162</v>
      </c>
      <c r="AH127" s="1128">
        <f>'Quarterly Model'!BL225</f>
        <v>19162</v>
      </c>
      <c r="AI127" s="1128">
        <f>'Quarterly Model'!BM225</f>
        <v>19162</v>
      </c>
      <c r="AJ127" s="1128">
        <f>'Quarterly Model'!BN225</f>
        <v>19162</v>
      </c>
      <c r="AK127" s="1127">
        <f>'Quarterly Model'!BO225</f>
        <v>19162</v>
      </c>
      <c r="AL127" s="1128">
        <f>'Quarterly Model'!BP225</f>
        <v>19162</v>
      </c>
      <c r="AM127" s="1128">
        <f>'Quarterly Model'!BQ225</f>
        <v>19162</v>
      </c>
      <c r="AN127" s="1128">
        <f>'Quarterly Model'!BR225</f>
        <v>19162</v>
      </c>
      <c r="AO127" s="1128">
        <f>'Quarterly Model'!BS225</f>
        <v>19162</v>
      </c>
      <c r="AP127" s="1127">
        <f>'Quarterly Model'!BT225</f>
        <v>19162</v>
      </c>
      <c r="AQ127" s="1128">
        <f>'Quarterly Model'!BU225</f>
        <v>19162</v>
      </c>
      <c r="AR127" s="1128">
        <f>'Quarterly Model'!BV225</f>
        <v>19162</v>
      </c>
      <c r="AS127" s="1128">
        <f>'Quarterly Model'!BW225</f>
        <v>19162</v>
      </c>
      <c r="AT127" s="1128">
        <f>'Quarterly Model'!BX225</f>
        <v>19162</v>
      </c>
      <c r="AU127" s="1127">
        <f>'Quarterly Model'!BY225</f>
        <v>19162</v>
      </c>
      <c r="AV127" s="1128">
        <f>'Quarterly Model'!BZ225</f>
        <v>19162</v>
      </c>
      <c r="AW127" s="1128">
        <f>'Quarterly Model'!CA225</f>
        <v>19162</v>
      </c>
      <c r="AX127" s="1128">
        <f>'Quarterly Model'!CB225</f>
        <v>19162</v>
      </c>
      <c r="AY127" s="1128">
        <f>'Quarterly Model'!CC225</f>
        <v>19162</v>
      </c>
      <c r="AZ127" s="1127">
        <f>'Quarterly Model'!CD225</f>
        <v>19162</v>
      </c>
    </row>
    <row r="128" spans="2:52">
      <c r="B128" s="435" t="str">
        <f>'Quarterly Model'!B226</f>
        <v>Notes and receivable from affiliates</v>
      </c>
      <c r="C128" s="145">
        <f>'Quarterly Model'!AG226</f>
        <v>0</v>
      </c>
      <c r="D128" s="145">
        <f>'Quarterly Model'!AH226</f>
        <v>0</v>
      </c>
      <c r="E128" s="145">
        <f>'Quarterly Model'!AI226</f>
        <v>0</v>
      </c>
      <c r="F128" s="145">
        <f>'Quarterly Model'!AJ226</f>
        <v>0</v>
      </c>
      <c r="G128" s="1127">
        <f>'Quarterly Model'!AK226</f>
        <v>0</v>
      </c>
      <c r="H128" s="1128">
        <f>'Quarterly Model'!AL226</f>
        <v>0</v>
      </c>
      <c r="I128" s="1128">
        <f>'Quarterly Model'!AM226</f>
        <v>0</v>
      </c>
      <c r="J128" s="1128">
        <f>'Quarterly Model'!AN226</f>
        <v>0</v>
      </c>
      <c r="K128" s="1128">
        <f>'Quarterly Model'!AO226</f>
        <v>0</v>
      </c>
      <c r="L128" s="1127">
        <f>'Quarterly Model'!AP226</f>
        <v>310</v>
      </c>
      <c r="M128" s="1128">
        <f>'Quarterly Model'!AQ226</f>
        <v>0</v>
      </c>
      <c r="N128" s="1128">
        <f>'Quarterly Model'!AR226</f>
        <v>0</v>
      </c>
      <c r="O128" s="1128">
        <f>'Quarterly Model'!AS226</f>
        <v>0</v>
      </c>
      <c r="P128" s="1128">
        <f>'Quarterly Model'!AT226</f>
        <v>694</v>
      </c>
      <c r="Q128" s="1127">
        <f>'Quarterly Model'!AU226</f>
        <v>694</v>
      </c>
      <c r="R128" s="1126">
        <f>'Quarterly Model'!AV226</f>
        <v>788</v>
      </c>
      <c r="S128" s="1128">
        <f>'Quarterly Model'!AW226</f>
        <v>103</v>
      </c>
      <c r="T128" s="1128">
        <f>'Quarterly Model'!AX226</f>
        <v>0</v>
      </c>
      <c r="U128" s="1128">
        <f>'Quarterly Model'!AY226</f>
        <v>0</v>
      </c>
      <c r="V128" s="1127">
        <f>'Quarterly Model'!AZ226</f>
        <v>0</v>
      </c>
      <c r="W128" s="1128">
        <f>'Quarterly Model'!BA226</f>
        <v>0</v>
      </c>
      <c r="X128" s="1128">
        <f>'Quarterly Model'!BB226</f>
        <v>0</v>
      </c>
      <c r="Y128" s="1128">
        <f>'Quarterly Model'!BC226</f>
        <v>0</v>
      </c>
      <c r="Z128" s="1128">
        <f>'Quarterly Model'!BD226</f>
        <v>0</v>
      </c>
      <c r="AA128" s="1127">
        <f>'Quarterly Model'!BE226</f>
        <v>0</v>
      </c>
      <c r="AB128" s="1128">
        <f>'Quarterly Model'!BF226</f>
        <v>0</v>
      </c>
      <c r="AC128" s="1128">
        <f>'Quarterly Model'!BG226</f>
        <v>0</v>
      </c>
      <c r="AD128" s="1128">
        <f>'Quarterly Model'!BH226</f>
        <v>0</v>
      </c>
      <c r="AE128" s="1128">
        <f>'Quarterly Model'!BI226</f>
        <v>0</v>
      </c>
      <c r="AF128" s="1127">
        <f>'Quarterly Model'!BJ226</f>
        <v>0</v>
      </c>
      <c r="AG128" s="1128">
        <f>'Quarterly Model'!BK226</f>
        <v>0</v>
      </c>
      <c r="AH128" s="1128">
        <f>'Quarterly Model'!BL226</f>
        <v>0</v>
      </c>
      <c r="AI128" s="1128">
        <f>'Quarterly Model'!BM226</f>
        <v>0</v>
      </c>
      <c r="AJ128" s="1128">
        <f>'Quarterly Model'!BN226</f>
        <v>0</v>
      </c>
      <c r="AK128" s="1127">
        <f>'Quarterly Model'!BO226</f>
        <v>0</v>
      </c>
      <c r="AL128" s="1128">
        <f>'Quarterly Model'!BP226</f>
        <v>0</v>
      </c>
      <c r="AM128" s="1128">
        <f>'Quarterly Model'!BQ226</f>
        <v>0</v>
      </c>
      <c r="AN128" s="1128">
        <f>'Quarterly Model'!BR226</f>
        <v>0</v>
      </c>
      <c r="AO128" s="1128">
        <f>'Quarterly Model'!BS226</f>
        <v>0</v>
      </c>
      <c r="AP128" s="1127">
        <f>'Quarterly Model'!BT226</f>
        <v>0</v>
      </c>
      <c r="AQ128" s="1128">
        <f>'Quarterly Model'!BU226</f>
        <v>0</v>
      </c>
      <c r="AR128" s="1128">
        <f>'Quarterly Model'!BV226</f>
        <v>0</v>
      </c>
      <c r="AS128" s="1128">
        <f>'Quarterly Model'!BW226</f>
        <v>0</v>
      </c>
      <c r="AT128" s="1128">
        <f>'Quarterly Model'!BX226</f>
        <v>0</v>
      </c>
      <c r="AU128" s="1127">
        <f>'Quarterly Model'!BY226</f>
        <v>0</v>
      </c>
      <c r="AV128" s="1128">
        <f>'Quarterly Model'!BZ226</f>
        <v>0</v>
      </c>
      <c r="AW128" s="1128">
        <f>'Quarterly Model'!CA226</f>
        <v>0</v>
      </c>
      <c r="AX128" s="1128">
        <f>'Quarterly Model'!CB226</f>
        <v>0</v>
      </c>
      <c r="AY128" s="1128">
        <f>'Quarterly Model'!CC226</f>
        <v>0</v>
      </c>
      <c r="AZ128" s="1127">
        <f>'Quarterly Model'!CD226</f>
        <v>0</v>
      </c>
    </row>
    <row r="129" spans="2:52" ht="13.5" thickBot="1">
      <c r="B129" s="435" t="str">
        <f>'Quarterly Model'!B227</f>
        <v>Other current assets</v>
      </c>
      <c r="C129" s="145">
        <f>'Quarterly Model'!AG227</f>
        <v>0</v>
      </c>
      <c r="D129" s="145">
        <f>'Quarterly Model'!AH227</f>
        <v>0</v>
      </c>
      <c r="E129" s="145">
        <f>'Quarterly Model'!AI227</f>
        <v>0</v>
      </c>
      <c r="F129" s="145">
        <f>'Quarterly Model'!AJ227</f>
        <v>0</v>
      </c>
      <c r="G129" s="1127">
        <f>'Quarterly Model'!AK227</f>
        <v>0</v>
      </c>
      <c r="H129" s="1128">
        <f>'Quarterly Model'!AL227</f>
        <v>0</v>
      </c>
      <c r="I129" s="1128">
        <f>'Quarterly Model'!AM227</f>
        <v>0</v>
      </c>
      <c r="J129" s="1128">
        <f>'Quarterly Model'!AN227</f>
        <v>0</v>
      </c>
      <c r="K129" s="1128">
        <f>'Quarterly Model'!AO227</f>
        <v>0</v>
      </c>
      <c r="L129" s="1127">
        <f>'Quarterly Model'!AP227</f>
        <v>267</v>
      </c>
      <c r="M129" s="1128">
        <f>'Quarterly Model'!AQ227</f>
        <v>0</v>
      </c>
      <c r="N129" s="1128">
        <f>'Quarterly Model'!AR227</f>
        <v>0</v>
      </c>
      <c r="O129" s="1128">
        <f>'Quarterly Model'!AS227</f>
        <v>0</v>
      </c>
      <c r="P129" s="1128">
        <f>'Quarterly Model'!AT227</f>
        <v>378</v>
      </c>
      <c r="Q129" s="1127">
        <f>'Quarterly Model'!AU227</f>
        <v>378</v>
      </c>
      <c r="R129" s="1126">
        <f>'Quarterly Model'!AV227</f>
        <v>480</v>
      </c>
      <c r="S129" s="1128">
        <f>'Quarterly Model'!AW227</f>
        <v>583</v>
      </c>
      <c r="T129" s="1128">
        <f>'Quarterly Model'!AX227</f>
        <v>678</v>
      </c>
      <c r="U129" s="1128">
        <f>'Quarterly Model'!AY227</f>
        <v>655</v>
      </c>
      <c r="V129" s="1127">
        <f>'Quarterly Model'!AZ227</f>
        <v>655</v>
      </c>
      <c r="W129" s="1128">
        <f>'Quarterly Model'!BA227</f>
        <v>586</v>
      </c>
      <c r="X129" s="1128">
        <f>'Quarterly Model'!BB227</f>
        <v>792</v>
      </c>
      <c r="Y129" s="1128">
        <f>'Quarterly Model'!BC227</f>
        <v>751</v>
      </c>
      <c r="Z129" s="1128">
        <f>'Quarterly Model'!BD227</f>
        <v>833</v>
      </c>
      <c r="AA129" s="1127">
        <f>'Quarterly Model'!BE227</f>
        <v>833</v>
      </c>
      <c r="AB129" s="1128">
        <f>'Quarterly Model'!BF227</f>
        <v>897</v>
      </c>
      <c r="AC129" s="1128">
        <f>'Quarterly Model'!BG227</f>
        <v>838</v>
      </c>
      <c r="AD129" s="1128">
        <f>'Quarterly Model'!BH227</f>
        <v>719</v>
      </c>
      <c r="AE129" s="1128">
        <f>'Quarterly Model'!BI227</f>
        <v>713</v>
      </c>
      <c r="AF129" s="1127">
        <f>'Quarterly Model'!BJ227</f>
        <v>713</v>
      </c>
      <c r="AG129" s="1128">
        <f>'Quarterly Model'!BK227</f>
        <v>900</v>
      </c>
      <c r="AH129" s="1128">
        <f>'Quarterly Model'!BL227</f>
        <v>1079.0248057868739</v>
      </c>
      <c r="AI129" s="1128">
        <f>'Quarterly Model'!BM227</f>
        <v>1250.5964352929893</v>
      </c>
      <c r="AJ129" s="1128">
        <f>'Quarterly Model'!BN227</f>
        <v>1449.3356632552591</v>
      </c>
      <c r="AK129" s="1127">
        <f>'Quarterly Model'!BO227</f>
        <v>1449.3356632552591</v>
      </c>
      <c r="AL129" s="1128">
        <f>'Quarterly Model'!BP227</f>
        <v>1640.622490873368</v>
      </c>
      <c r="AM129" s="1128">
        <f>'Quarterly Model'!BQ227</f>
        <v>1839.4888967015675</v>
      </c>
      <c r="AN129" s="1128">
        <f>'Quarterly Model'!BR227</f>
        <v>2044.0923387493326</v>
      </c>
      <c r="AO129" s="1128">
        <f>'Quarterly Model'!BS227</f>
        <v>2281.2318529550876</v>
      </c>
      <c r="AP129" s="1127">
        <f>'Quarterly Model'!BT227</f>
        <v>2281.2318529550876</v>
      </c>
      <c r="AQ129" s="1128">
        <f>'Quarterly Model'!BU227</f>
        <v>2504.8612150254166</v>
      </c>
      <c r="AR129" s="1128">
        <f>'Quarterly Model'!BV227</f>
        <v>2738.1830129477498</v>
      </c>
      <c r="AS129" s="1128">
        <f>'Quarterly Model'!BW227</f>
        <v>2974.0979323699357</v>
      </c>
      <c r="AT129" s="1128">
        <f>'Quarterly Model'!BX227</f>
        <v>3248.5037756986358</v>
      </c>
      <c r="AU129" s="1127">
        <f>'Quarterly Model'!BY227</f>
        <v>3248.5037756986358</v>
      </c>
      <c r="AV129" s="1128">
        <f>'Quarterly Model'!BZ227</f>
        <v>3505.5089066613941</v>
      </c>
      <c r="AW129" s="1128">
        <f>'Quarterly Model'!CA227</f>
        <v>3774.1065082025552</v>
      </c>
      <c r="AX129" s="1128">
        <f>'Quarterly Model'!CB227</f>
        <v>4047.5192308826554</v>
      </c>
      <c r="AY129" s="1128">
        <f>'Quarterly Model'!CC227</f>
        <v>4366.0298376226947</v>
      </c>
      <c r="AZ129" s="1127">
        <f>'Quarterly Model'!CD227</f>
        <v>4366.0298376226947</v>
      </c>
    </row>
    <row r="130" spans="2:52" ht="14.25" thickTop="1" thickBot="1">
      <c r="B130" s="439" t="str">
        <f>'Quarterly Model'!B228</f>
        <v>Total Current Assets</v>
      </c>
      <c r="C130" s="440">
        <f>'Quarterly Model'!AG228</f>
        <v>0</v>
      </c>
      <c r="D130" s="440">
        <f>'Quarterly Model'!AH228</f>
        <v>0</v>
      </c>
      <c r="E130" s="440">
        <f>'Quarterly Model'!AI228</f>
        <v>0</v>
      </c>
      <c r="F130" s="440">
        <f>'Quarterly Model'!AJ228</f>
        <v>0</v>
      </c>
      <c r="G130" s="1182">
        <f>'Quarterly Model'!AK228</f>
        <v>0</v>
      </c>
      <c r="H130" s="1183">
        <f>'Quarterly Model'!AL228</f>
        <v>0</v>
      </c>
      <c r="I130" s="1183">
        <f>'Quarterly Model'!AM228</f>
        <v>0</v>
      </c>
      <c r="J130" s="1183">
        <f>'Quarterly Model'!AN228</f>
        <v>0</v>
      </c>
      <c r="K130" s="1183">
        <f>'Quarterly Model'!AO228</f>
        <v>0</v>
      </c>
      <c r="L130" s="1182">
        <f>'Quarterly Model'!AP228</f>
        <v>14620</v>
      </c>
      <c r="M130" s="1183">
        <f>'Quarterly Model'!AQ228</f>
        <v>0</v>
      </c>
      <c r="N130" s="1183">
        <f>'Quarterly Model'!AR228</f>
        <v>0</v>
      </c>
      <c r="O130" s="1183">
        <f>'Quarterly Model'!AS228</f>
        <v>0</v>
      </c>
      <c r="P130" s="1183">
        <f>'Quarterly Model'!AT228</f>
        <v>17565</v>
      </c>
      <c r="Q130" s="1182">
        <f>'Quarterly Model'!AU228</f>
        <v>17565</v>
      </c>
      <c r="R130" s="1184">
        <f>'Quarterly Model'!AV228</f>
        <v>18207</v>
      </c>
      <c r="S130" s="1183">
        <f>'Quarterly Model'!AW228</f>
        <v>19713</v>
      </c>
      <c r="T130" s="1183">
        <f>'Quarterly Model'!AX228</f>
        <v>20554</v>
      </c>
      <c r="U130" s="1183">
        <f>'Quarterly Model'!AY228</f>
        <v>20648</v>
      </c>
      <c r="V130" s="1182">
        <f>'Quarterly Model'!AZ228</f>
        <v>20648</v>
      </c>
      <c r="W130" s="1183">
        <f>'Quarterly Model'!BA228</f>
        <v>21968</v>
      </c>
      <c r="X130" s="1183">
        <f>'Quarterly Model'!BB228</f>
        <v>23457</v>
      </c>
      <c r="Y130" s="1183">
        <f>'Quarterly Model'!BC228</f>
        <v>24161</v>
      </c>
      <c r="Z130" s="1183">
        <f>'Quarterly Model'!BD228</f>
        <v>25733</v>
      </c>
      <c r="AA130" s="1182">
        <f>'Quarterly Model'!BE228</f>
        <v>25733</v>
      </c>
      <c r="AB130" s="1183">
        <f>'Quarterly Model'!BF228</f>
        <v>25425</v>
      </c>
      <c r="AC130" s="1183">
        <f>'Quarterly Model'!BG228</f>
        <v>27035</v>
      </c>
      <c r="AD130" s="1183">
        <f>'Quarterly Model'!BH228</f>
        <v>29437</v>
      </c>
      <c r="AE130" s="1183">
        <f>'Quarterly Model'!BI228</f>
        <v>32645</v>
      </c>
      <c r="AF130" s="1182">
        <f>'Quarterly Model'!BJ228</f>
        <v>32645</v>
      </c>
      <c r="AG130" s="1183">
        <f>'Quarterly Model'!BK228</f>
        <v>34742</v>
      </c>
      <c r="AH130" s="1183">
        <f>'Quarterly Model'!BL228</f>
        <v>35220.579903768885</v>
      </c>
      <c r="AI130" s="1183">
        <f>'Quarterly Model'!BM228</f>
        <v>35276.812270958355</v>
      </c>
      <c r="AJ130" s="1183">
        <f>'Quarterly Model'!BN228</f>
        <v>35835.385409824128</v>
      </c>
      <c r="AK130" s="1182">
        <f>'Quarterly Model'!BO228</f>
        <v>35835.385409824128</v>
      </c>
      <c r="AL130" s="1183">
        <f>'Quarterly Model'!BP228</f>
        <v>35575.702444642564</v>
      </c>
      <c r="AM130" s="1183">
        <f>'Quarterly Model'!BQ228</f>
        <v>35964.600221389919</v>
      </c>
      <c r="AN130" s="1183">
        <f>'Quarterly Model'!BR228</f>
        <v>36334.526710351834</v>
      </c>
      <c r="AO130" s="1183">
        <f>'Quarterly Model'!BS228</f>
        <v>37118.236716158121</v>
      </c>
      <c r="AP130" s="1182">
        <f>'Quarterly Model'!BT228</f>
        <v>37118.236716158128</v>
      </c>
      <c r="AQ130" s="1183">
        <f>'Quarterly Model'!BU228</f>
        <v>37323.029855786663</v>
      </c>
      <c r="AR130" s="1183">
        <f>'Quarterly Model'!BV228</f>
        <v>37787.358272526493</v>
      </c>
      <c r="AS130" s="1183">
        <f>'Quarterly Model'!BW228</f>
        <v>38167.025294568542</v>
      </c>
      <c r="AT130" s="1183">
        <f>'Quarterly Model'!BX228</f>
        <v>39087.258829731691</v>
      </c>
      <c r="AU130" s="1182">
        <f>'Quarterly Model'!BY228</f>
        <v>39087.258829731691</v>
      </c>
      <c r="AV130" s="1183">
        <f>'Quarterly Model'!BZ228</f>
        <v>39414.455213469337</v>
      </c>
      <c r="AW130" s="1183">
        <f>'Quarterly Model'!CA228</f>
        <v>40067.449049127623</v>
      </c>
      <c r="AX130" s="1183">
        <f>'Quarterly Model'!CB228</f>
        <v>40658.170990571554</v>
      </c>
      <c r="AY130" s="1183">
        <f>'Quarterly Model'!CC228</f>
        <v>41879.763991440079</v>
      </c>
      <c r="AZ130" s="1182">
        <f>'Quarterly Model'!CD228</f>
        <v>41879.763991440079</v>
      </c>
    </row>
    <row r="131" spans="2:52" ht="13.5" thickTop="1">
      <c r="B131" s="435"/>
      <c r="C131" s="145"/>
      <c r="D131" s="145"/>
      <c r="E131" s="145"/>
      <c r="F131" s="145"/>
      <c r="G131" s="1118"/>
      <c r="H131" s="1128"/>
      <c r="I131" s="1128"/>
      <c r="J131" s="1128"/>
      <c r="K131" s="1128"/>
      <c r="L131" s="1118"/>
      <c r="M131" s="1128"/>
      <c r="N131" s="1128"/>
      <c r="O131" s="1128"/>
      <c r="P131" s="1128"/>
      <c r="Q131" s="1118"/>
      <c r="R131" s="1126"/>
      <c r="S131" s="1128"/>
      <c r="T131" s="1128"/>
      <c r="U131" s="1128"/>
      <c r="V131" s="1118"/>
      <c r="W131" s="1128"/>
      <c r="X131" s="1128"/>
      <c r="Y131" s="1128"/>
      <c r="Z131" s="1128"/>
      <c r="AA131" s="1118"/>
      <c r="AB131" s="1128"/>
      <c r="AC131" s="1128"/>
      <c r="AD131" s="1128"/>
      <c r="AE131" s="1128"/>
      <c r="AF131" s="1118"/>
      <c r="AG131" s="1128"/>
      <c r="AH131" s="1128"/>
      <c r="AI131" s="1128"/>
      <c r="AJ131" s="1128"/>
      <c r="AK131" s="1118"/>
      <c r="AL131" s="1128"/>
      <c r="AM131" s="1128"/>
      <c r="AN131" s="1128"/>
      <c r="AO131" s="1128"/>
      <c r="AP131" s="1118"/>
      <c r="AQ131" s="1128"/>
      <c r="AR131" s="1128"/>
      <c r="AS131" s="1128"/>
      <c r="AT131" s="1128"/>
      <c r="AU131" s="1118"/>
      <c r="AV131" s="1128"/>
      <c r="AW131" s="1128"/>
      <c r="AX131" s="1128"/>
      <c r="AY131" s="1128"/>
      <c r="AZ131" s="1118"/>
    </row>
    <row r="132" spans="2:52">
      <c r="B132" s="435" t="str">
        <f>'Quarterly Model'!B230</f>
        <v>Long-term investments</v>
      </c>
      <c r="C132" s="145">
        <f>'Quarterly Model'!AG230</f>
        <v>0</v>
      </c>
      <c r="D132" s="145">
        <f>'Quarterly Model'!AH230</f>
        <v>0</v>
      </c>
      <c r="E132" s="145">
        <f>'Quarterly Model'!AI230</f>
        <v>0</v>
      </c>
      <c r="F132" s="145">
        <f>'Quarterly Model'!AJ230</f>
        <v>0</v>
      </c>
      <c r="G132" s="1127">
        <f>'Quarterly Model'!AK230</f>
        <v>0</v>
      </c>
      <c r="H132" s="1128">
        <f>'Quarterly Model'!AL230</f>
        <v>0</v>
      </c>
      <c r="I132" s="1128">
        <f>'Quarterly Model'!AM230</f>
        <v>0</v>
      </c>
      <c r="J132" s="1128">
        <f>'Quarterly Model'!AN230</f>
        <v>0</v>
      </c>
      <c r="K132" s="1128">
        <f>'Quarterly Model'!AO230</f>
        <v>0</v>
      </c>
      <c r="L132" s="1127">
        <f>'Quarterly Model'!AP230</f>
        <v>5461</v>
      </c>
      <c r="M132" s="1128">
        <f>'Quarterly Model'!AQ230</f>
        <v>0</v>
      </c>
      <c r="N132" s="1128">
        <f>'Quarterly Model'!AR230</f>
        <v>0</v>
      </c>
      <c r="O132" s="1128">
        <f>'Quarterly Model'!AS230</f>
        <v>0</v>
      </c>
      <c r="P132" s="1128">
        <f>'Quarterly Model'!AT230</f>
        <v>4609</v>
      </c>
      <c r="Q132" s="1127">
        <f>'Quarterly Model'!AU230</f>
        <v>4609</v>
      </c>
      <c r="R132" s="1126">
        <f>'Quarterly Model'!AV230</f>
        <v>4249</v>
      </c>
      <c r="S132" s="1128">
        <f>'Quarterly Model'!AW230</f>
        <v>2258</v>
      </c>
      <c r="T132" s="1128">
        <f>'Quarterly Model'!AX230</f>
        <v>2392</v>
      </c>
      <c r="U132" s="1128">
        <f>'Quarterly Model'!AY230</f>
        <v>2348</v>
      </c>
      <c r="V132" s="1127">
        <f>'Quarterly Model'!AZ230</f>
        <v>2348</v>
      </c>
      <c r="W132" s="1128">
        <f>'Quarterly Model'!BA230</f>
        <v>1661</v>
      </c>
      <c r="X132" s="1128">
        <f>'Quarterly Model'!BB230</f>
        <v>1315</v>
      </c>
      <c r="Y132" s="1128">
        <f>'Quarterly Model'!BC230</f>
        <v>1339</v>
      </c>
      <c r="Z132" s="1128">
        <f>'Quarterly Model'!BD230</f>
        <v>1539</v>
      </c>
      <c r="AA132" s="1127">
        <f>'Quarterly Model'!BE230</f>
        <v>1539</v>
      </c>
      <c r="AB132" s="1128">
        <f>'Quarterly Model'!BF230</f>
        <v>2325</v>
      </c>
      <c r="AC132" s="1128">
        <f>'Quarterly Model'!BG230</f>
        <v>2511</v>
      </c>
      <c r="AD132" s="1128">
        <f>'Quarterly Model'!BH230</f>
        <v>2217</v>
      </c>
      <c r="AE132" s="1128">
        <f>'Quarterly Model'!BI230</f>
        <v>1961</v>
      </c>
      <c r="AF132" s="1127">
        <f>'Quarterly Model'!BJ230</f>
        <v>1961</v>
      </c>
      <c r="AG132" s="1128">
        <f>'Quarterly Model'!BK230</f>
        <v>1487</v>
      </c>
      <c r="AH132" s="1128">
        <f>'Quarterly Model'!BL230</f>
        <v>1487</v>
      </c>
      <c r="AI132" s="1128">
        <f>'Quarterly Model'!BM230</f>
        <v>1487</v>
      </c>
      <c r="AJ132" s="1128">
        <f>'Quarterly Model'!BN230</f>
        <v>1487</v>
      </c>
      <c r="AK132" s="1127">
        <f>'Quarterly Model'!BO230</f>
        <v>1487</v>
      </c>
      <c r="AL132" s="1128">
        <f>'Quarterly Model'!BP230</f>
        <v>1487</v>
      </c>
      <c r="AM132" s="1128">
        <f>'Quarterly Model'!BQ230</f>
        <v>1487</v>
      </c>
      <c r="AN132" s="1128">
        <f>'Quarterly Model'!BR230</f>
        <v>1487</v>
      </c>
      <c r="AO132" s="1128">
        <f>'Quarterly Model'!BS230</f>
        <v>1487</v>
      </c>
      <c r="AP132" s="1127">
        <f>'Quarterly Model'!BT230</f>
        <v>1487</v>
      </c>
      <c r="AQ132" s="1128">
        <f>'Quarterly Model'!BU230</f>
        <v>1487</v>
      </c>
      <c r="AR132" s="1128">
        <f>'Quarterly Model'!BV230</f>
        <v>1487</v>
      </c>
      <c r="AS132" s="1128">
        <f>'Quarterly Model'!BW230</f>
        <v>1487</v>
      </c>
      <c r="AT132" s="1128">
        <f>'Quarterly Model'!BX230</f>
        <v>1487</v>
      </c>
      <c r="AU132" s="1127">
        <f>'Quarterly Model'!BY230</f>
        <v>1487</v>
      </c>
      <c r="AV132" s="1128">
        <f>'Quarterly Model'!BZ230</f>
        <v>1487</v>
      </c>
      <c r="AW132" s="1128">
        <f>'Quarterly Model'!CA230</f>
        <v>1487</v>
      </c>
      <c r="AX132" s="1128">
        <f>'Quarterly Model'!CB230</f>
        <v>1487</v>
      </c>
      <c r="AY132" s="1128">
        <f>'Quarterly Model'!CC230</f>
        <v>1487</v>
      </c>
      <c r="AZ132" s="1127">
        <f>'Quarterly Model'!CD230</f>
        <v>1487</v>
      </c>
    </row>
    <row r="133" spans="2:52">
      <c r="B133" s="435" t="str">
        <f>'Quarterly Model'!B231</f>
        <v xml:space="preserve">Property and equipment, net </v>
      </c>
      <c r="C133" s="145">
        <f>'Quarterly Model'!AG231</f>
        <v>0</v>
      </c>
      <c r="D133" s="145">
        <f>'Quarterly Model'!AH231</f>
        <v>0</v>
      </c>
      <c r="E133" s="145">
        <f>'Quarterly Model'!AI231</f>
        <v>0</v>
      </c>
      <c r="F133" s="145">
        <f>'Quarterly Model'!AJ231</f>
        <v>0</v>
      </c>
      <c r="G133" s="1127">
        <f>'Quarterly Model'!AK231</f>
        <v>0</v>
      </c>
      <c r="H133" s="1128">
        <f>'Quarterly Model'!AL231</f>
        <v>0</v>
      </c>
      <c r="I133" s="1128">
        <f>'Quarterly Model'!AM231</f>
        <v>0</v>
      </c>
      <c r="J133" s="1128">
        <f>'Quarterly Model'!AN231</f>
        <v>0</v>
      </c>
      <c r="K133" s="1128">
        <f>'Quarterly Model'!AO231</f>
        <v>0</v>
      </c>
      <c r="L133" s="1127">
        <f>'Quarterly Model'!AP231</f>
        <v>858</v>
      </c>
      <c r="M133" s="1128">
        <f>'Quarterly Model'!AQ231</f>
        <v>0</v>
      </c>
      <c r="N133" s="1128">
        <f>'Quarterly Model'!AR231</f>
        <v>0</v>
      </c>
      <c r="O133" s="1128">
        <f>'Quarterly Model'!AS231</f>
        <v>0</v>
      </c>
      <c r="P133" s="1128">
        <f>'Quarterly Model'!AT231</f>
        <v>922</v>
      </c>
      <c r="Q133" s="1127">
        <f>'Quarterly Model'!AU231</f>
        <v>922</v>
      </c>
      <c r="R133" s="1126">
        <f>'Quarterly Model'!AV231</f>
        <v>989</v>
      </c>
      <c r="S133" s="1128">
        <f>'Quarterly Model'!AW231</f>
        <v>1291</v>
      </c>
      <c r="T133" s="1128">
        <f>'Quarterly Model'!AX231</f>
        <v>1298</v>
      </c>
      <c r="U133" s="1128">
        <f>'Quarterly Model'!AY231</f>
        <v>1344</v>
      </c>
      <c r="V133" s="1127">
        <f>'Quarterly Model'!AZ231</f>
        <v>1344</v>
      </c>
      <c r="W133" s="1128">
        <f>'Quarterly Model'!BA231</f>
        <v>1345</v>
      </c>
      <c r="X133" s="1128">
        <f>'Quarterly Model'!BB231</f>
        <v>1412</v>
      </c>
      <c r="Y133" s="1128">
        <f>'Quarterly Model'!BC231</f>
        <v>1451</v>
      </c>
      <c r="Z133" s="1128">
        <f>'Quarterly Model'!BD231</f>
        <v>1482</v>
      </c>
      <c r="AA133" s="1127">
        <f>'Quarterly Model'!BE231</f>
        <v>1482</v>
      </c>
      <c r="AB133" s="1128">
        <f>'Quarterly Model'!BF231</f>
        <v>1448</v>
      </c>
      <c r="AC133" s="1128">
        <f>'Quarterly Model'!BG231</f>
        <v>1479</v>
      </c>
      <c r="AD133" s="1128">
        <f>'Quarterly Model'!BH231</f>
        <v>1485</v>
      </c>
      <c r="AE133" s="1128">
        <f>'Quarterly Model'!BI231</f>
        <v>1528</v>
      </c>
      <c r="AF133" s="1127">
        <f>'Quarterly Model'!BJ231</f>
        <v>1528</v>
      </c>
      <c r="AG133" s="1128">
        <f>'Quarterly Model'!BK231</f>
        <v>1523</v>
      </c>
      <c r="AH133" s="1128">
        <f>'Quarterly Model'!BL231</f>
        <v>1613.0233253929607</v>
      </c>
      <c r="AI133" s="1128">
        <f>'Quarterly Model'!BM231</f>
        <v>1692.4751510003523</v>
      </c>
      <c r="AJ133" s="1128">
        <f>'Quarterly Model'!BN231</f>
        <v>1803.8419143863728</v>
      </c>
      <c r="AK133" s="1127">
        <f>'Quarterly Model'!BO231</f>
        <v>1803.8419143863728</v>
      </c>
      <c r="AL133" s="1128">
        <f>'Quarterly Model'!BP231</f>
        <v>1893.006773002425</v>
      </c>
      <c r="AM133" s="1128">
        <f>'Quarterly Model'!BQ231</f>
        <v>1989.6438329619007</v>
      </c>
      <c r="AN133" s="1128">
        <f>'Quarterly Model'!BR231</f>
        <v>2091.5902473861188</v>
      </c>
      <c r="AO133" s="1128">
        <f>'Quarterly Model'!BS231</f>
        <v>2230.3037586381538</v>
      </c>
      <c r="AP133" s="1127">
        <f>'Quarterly Model'!BT231</f>
        <v>2230.3037586381538</v>
      </c>
      <c r="AQ133" s="1128">
        <f>'Quarterly Model'!BU231</f>
        <v>2336.4764969004405</v>
      </c>
      <c r="AR133" s="1128">
        <f>'Quarterly Model'!BV231</f>
        <v>2452.0844378185147</v>
      </c>
      <c r="AS133" s="1128">
        <f>'Quarterly Model'!BW231</f>
        <v>2569.1729254360448</v>
      </c>
      <c r="AT133" s="1128">
        <f>'Quarterly Model'!BX231</f>
        <v>2727.9648113650064</v>
      </c>
      <c r="AU133" s="1127">
        <f>'Quarterly Model'!BY231</f>
        <v>2727.9648113650064</v>
      </c>
      <c r="AV133" s="1128">
        <f>'Quarterly Model'!BZ231</f>
        <v>2862.5095073682678</v>
      </c>
      <c r="AW133" s="1128">
        <f>'Quarterly Model'!CA231</f>
        <v>3008.6183612762138</v>
      </c>
      <c r="AX133" s="1128">
        <f>'Quarterly Model'!CB231</f>
        <v>3158.6974731130767</v>
      </c>
      <c r="AY133" s="1128">
        <f>'Quarterly Model'!CC231</f>
        <v>3357.8829650608404</v>
      </c>
      <c r="AZ133" s="1127">
        <f>'Quarterly Model'!CD231</f>
        <v>3357.8829650608404</v>
      </c>
    </row>
    <row r="134" spans="2:52">
      <c r="B134" s="435" t="str">
        <f>'Quarterly Model'!B232</f>
        <v>Goodwill</v>
      </c>
      <c r="C134" s="145">
        <f>'Quarterly Model'!AG232</f>
        <v>0</v>
      </c>
      <c r="D134" s="145">
        <f>'Quarterly Model'!AH232</f>
        <v>0</v>
      </c>
      <c r="E134" s="145">
        <f>'Quarterly Model'!AI232</f>
        <v>0</v>
      </c>
      <c r="F134" s="145">
        <f>'Quarterly Model'!AJ232</f>
        <v>0</v>
      </c>
      <c r="G134" s="1127">
        <f>'Quarterly Model'!AK232</f>
        <v>0</v>
      </c>
      <c r="H134" s="1128">
        <f>'Quarterly Model'!AL232</f>
        <v>0</v>
      </c>
      <c r="I134" s="1128">
        <f>'Quarterly Model'!AM232</f>
        <v>0</v>
      </c>
      <c r="J134" s="1128">
        <f>'Quarterly Model'!AN232</f>
        <v>0</v>
      </c>
      <c r="K134" s="1128">
        <f>'Quarterly Model'!AO232</f>
        <v>0</v>
      </c>
      <c r="L134" s="1127">
        <f>'Quarterly Model'!AP232</f>
        <v>3187</v>
      </c>
      <c r="M134" s="1128">
        <f>'Quarterly Model'!AQ232</f>
        <v>0</v>
      </c>
      <c r="N134" s="1128">
        <f>'Quarterly Model'!AR232</f>
        <v>0</v>
      </c>
      <c r="O134" s="1128">
        <f>'Quarterly Model'!AS232</f>
        <v>0</v>
      </c>
      <c r="P134" s="1128">
        <f>'Quarterly Model'!AT232</f>
        <v>3189</v>
      </c>
      <c r="Q134" s="1127">
        <f>'Quarterly Model'!AU232</f>
        <v>3189</v>
      </c>
      <c r="R134" s="1126">
        <f>'Quarterly Model'!AV232</f>
        <v>3184</v>
      </c>
      <c r="S134" s="1128">
        <f>'Quarterly Model'!AW232</f>
        <v>3409</v>
      </c>
      <c r="T134" s="1128">
        <f>'Quarterly Model'!AX232</f>
        <v>3415</v>
      </c>
      <c r="U134" s="1128">
        <f>'Quarterly Model'!AY232</f>
        <v>4069</v>
      </c>
      <c r="V134" s="1127">
        <f>'Quarterly Model'!AZ232</f>
        <v>4069</v>
      </c>
      <c r="W134" s="1128">
        <f>'Quarterly Model'!BA232</f>
        <v>4071</v>
      </c>
      <c r="X134" s="1128">
        <f>'Quarterly Model'!BB232</f>
        <v>4069</v>
      </c>
      <c r="Y134" s="1128">
        <f>'Quarterly Model'!BC232</f>
        <v>4068</v>
      </c>
      <c r="Z134" s="1128">
        <f>'Quarterly Model'!BD232</f>
        <v>4059</v>
      </c>
      <c r="AA134" s="1127">
        <f>'Quarterly Model'!BE232</f>
        <v>4059</v>
      </c>
      <c r="AB134" s="1128">
        <f>'Quarterly Model'!BF232</f>
        <v>4060</v>
      </c>
      <c r="AC134" s="1128">
        <f>'Quarterly Model'!BG232</f>
        <v>4062</v>
      </c>
      <c r="AD134" s="1128">
        <f>'Quarterly Model'!BH232</f>
        <v>4326</v>
      </c>
      <c r="AE134" s="1128">
        <f>'Quarterly Model'!BI232</f>
        <v>4339</v>
      </c>
      <c r="AF134" s="1127">
        <f>'Quarterly Model'!BJ232</f>
        <v>4339</v>
      </c>
      <c r="AG134" s="1128">
        <f>'Quarterly Model'!BK232</f>
        <v>4338</v>
      </c>
      <c r="AH134" s="1128">
        <f>'Quarterly Model'!BL232</f>
        <v>4338</v>
      </c>
      <c r="AI134" s="1128">
        <f>'Quarterly Model'!BM232</f>
        <v>4338</v>
      </c>
      <c r="AJ134" s="1128">
        <f>'Quarterly Model'!BN232</f>
        <v>4338</v>
      </c>
      <c r="AK134" s="1127">
        <f>'Quarterly Model'!BO232</f>
        <v>4338</v>
      </c>
      <c r="AL134" s="1128">
        <f>'Quarterly Model'!BP232</f>
        <v>4338</v>
      </c>
      <c r="AM134" s="1128">
        <f>'Quarterly Model'!BQ232</f>
        <v>4338</v>
      </c>
      <c r="AN134" s="1128">
        <f>'Quarterly Model'!BR232</f>
        <v>4338</v>
      </c>
      <c r="AO134" s="1128">
        <f>'Quarterly Model'!BS232</f>
        <v>4338</v>
      </c>
      <c r="AP134" s="1127">
        <f>'Quarterly Model'!BT232</f>
        <v>4338</v>
      </c>
      <c r="AQ134" s="1128">
        <f>'Quarterly Model'!BU232</f>
        <v>4338</v>
      </c>
      <c r="AR134" s="1128">
        <f>'Quarterly Model'!BV232</f>
        <v>4338</v>
      </c>
      <c r="AS134" s="1128">
        <f>'Quarterly Model'!BW232</f>
        <v>4338</v>
      </c>
      <c r="AT134" s="1128">
        <f>'Quarterly Model'!BX232</f>
        <v>4338</v>
      </c>
      <c r="AU134" s="1127">
        <f>'Quarterly Model'!BY232</f>
        <v>4338</v>
      </c>
      <c r="AV134" s="1128">
        <f>'Quarterly Model'!BZ232</f>
        <v>4338</v>
      </c>
      <c r="AW134" s="1128">
        <f>'Quarterly Model'!CA232</f>
        <v>4338</v>
      </c>
      <c r="AX134" s="1128">
        <f>'Quarterly Model'!CB232</f>
        <v>4338</v>
      </c>
      <c r="AY134" s="1128">
        <f>'Quarterly Model'!CC232</f>
        <v>4338</v>
      </c>
      <c r="AZ134" s="1127">
        <f>'Quarterly Model'!CD232</f>
        <v>4338</v>
      </c>
    </row>
    <row r="135" spans="2:52">
      <c r="B135" s="435" t="str">
        <f>'Quarterly Model'!B233</f>
        <v>Intangible assets, net</v>
      </c>
      <c r="C135" s="145">
        <f>'Quarterly Model'!AG233</f>
        <v>0</v>
      </c>
      <c r="D135" s="145">
        <f>'Quarterly Model'!AH233</f>
        <v>0</v>
      </c>
      <c r="E135" s="145">
        <f>'Quarterly Model'!AI233</f>
        <v>0</v>
      </c>
      <c r="F135" s="145">
        <f>'Quarterly Model'!AJ233</f>
        <v>0</v>
      </c>
      <c r="G135" s="1127">
        <f>'Quarterly Model'!AK233</f>
        <v>0</v>
      </c>
      <c r="H135" s="1128">
        <f>'Quarterly Model'!AL233</f>
        <v>0</v>
      </c>
      <c r="I135" s="1128">
        <f>'Quarterly Model'!AM233</f>
        <v>0</v>
      </c>
      <c r="J135" s="1128">
        <f>'Quarterly Model'!AN233</f>
        <v>0</v>
      </c>
      <c r="K135" s="1128">
        <f>'Quarterly Model'!AO233</f>
        <v>0</v>
      </c>
      <c r="L135" s="1127">
        <f>'Quarterly Model'!AP233</f>
        <v>258</v>
      </c>
      <c r="M135" s="1128">
        <f>'Quarterly Model'!AQ233</f>
        <v>0</v>
      </c>
      <c r="N135" s="1128">
        <f>'Quarterly Model'!AR233</f>
        <v>0</v>
      </c>
      <c r="O135" s="1128">
        <f>'Quarterly Model'!AS233</f>
        <v>0</v>
      </c>
      <c r="P135" s="1128">
        <f>'Quarterly Model'!AT233</f>
        <v>156</v>
      </c>
      <c r="Q135" s="1127">
        <f>'Quarterly Model'!AU233</f>
        <v>156</v>
      </c>
      <c r="R135" s="1126">
        <f>'Quarterly Model'!AV233</f>
        <v>138</v>
      </c>
      <c r="S135" s="1128">
        <f>'Quarterly Model'!AW233</f>
        <v>186</v>
      </c>
      <c r="T135" s="1128">
        <f>'Quarterly Model'!AX233</f>
        <v>174</v>
      </c>
      <c r="U135" s="1128">
        <f>'Quarterly Model'!AY233</f>
        <v>358</v>
      </c>
      <c r="V135" s="1127">
        <f>'Quarterly Model'!AZ233</f>
        <v>358</v>
      </c>
      <c r="W135" s="1128">
        <f>'Quarterly Model'!BA233</f>
        <v>320</v>
      </c>
      <c r="X135" s="1128">
        <f>'Quarterly Model'!BB233</f>
        <v>281</v>
      </c>
      <c r="Y135" s="1128">
        <f>'Quarterly Model'!BC233</f>
        <v>245</v>
      </c>
      <c r="Z135" s="1128">
        <f>'Quarterly Model'!BD233</f>
        <v>211</v>
      </c>
      <c r="AA135" s="1127">
        <f>'Quarterly Model'!BE233</f>
        <v>211</v>
      </c>
      <c r="AB135" s="1128">
        <f>'Quarterly Model'!BF233</f>
        <v>184</v>
      </c>
      <c r="AC135" s="1128">
        <f>'Quarterly Model'!BG233</f>
        <v>143</v>
      </c>
      <c r="AD135" s="1128">
        <f>'Quarterly Model'!BH233</f>
        <v>226</v>
      </c>
      <c r="AE135" s="1128">
        <f>'Quarterly Model'!BI233</f>
        <v>168</v>
      </c>
      <c r="AF135" s="1127">
        <f>'Quarterly Model'!BJ233</f>
        <v>168</v>
      </c>
      <c r="AG135" s="1128">
        <f>'Quarterly Model'!BK233</f>
        <v>138</v>
      </c>
      <c r="AH135" s="1128">
        <f>'Quarterly Model'!BL233</f>
        <v>131.17500000000001</v>
      </c>
      <c r="AI135" s="1128">
        <f>'Quarterly Model'!BM233</f>
        <v>124.27500000000001</v>
      </c>
      <c r="AJ135" s="1128">
        <f>'Quarterly Model'!BN233</f>
        <v>117.30000000000001</v>
      </c>
      <c r="AK135" s="1127">
        <f>'Quarterly Model'!BO233</f>
        <v>117.30000000000001</v>
      </c>
      <c r="AL135" s="1128">
        <f>'Quarterly Model'!BP233</f>
        <v>110.17500000000001</v>
      </c>
      <c r="AM135" s="1128">
        <f>'Quarterly Model'!BQ233</f>
        <v>102.97500000000001</v>
      </c>
      <c r="AN135" s="1128">
        <f>'Quarterly Model'!BR233</f>
        <v>95.7</v>
      </c>
      <c r="AO135" s="1128">
        <f>'Quarterly Model'!BS233</f>
        <v>88.350000000000009</v>
      </c>
      <c r="AP135" s="1127">
        <f>'Quarterly Model'!BT233</f>
        <v>88.350000000000009</v>
      </c>
      <c r="AQ135" s="1128">
        <f>'Quarterly Model'!BU233</f>
        <v>80.750000000000014</v>
      </c>
      <c r="AR135" s="1128">
        <f>'Quarterly Model'!BV233</f>
        <v>73.075000000000017</v>
      </c>
      <c r="AS135" s="1128">
        <f>'Quarterly Model'!BW233</f>
        <v>65.325000000000017</v>
      </c>
      <c r="AT135" s="1128">
        <f>'Quarterly Model'!BX233</f>
        <v>57.500000000000014</v>
      </c>
      <c r="AU135" s="1127">
        <f>'Quarterly Model'!BY233</f>
        <v>57.500000000000014</v>
      </c>
      <c r="AV135" s="1128">
        <f>'Quarterly Model'!BZ233</f>
        <v>49.425000000000011</v>
      </c>
      <c r="AW135" s="1128">
        <f>'Quarterly Model'!CA233</f>
        <v>41.275000000000013</v>
      </c>
      <c r="AX135" s="1128">
        <f>'Quarterly Model'!CB233</f>
        <v>33.050000000000011</v>
      </c>
      <c r="AY135" s="1128">
        <f>'Quarterly Model'!CC233</f>
        <v>24.750000000000011</v>
      </c>
      <c r="AZ135" s="1127">
        <f>'Quarterly Model'!CD233</f>
        <v>24.750000000000011</v>
      </c>
    </row>
    <row r="136" spans="2:52" ht="13.5" thickBot="1">
      <c r="B136" s="435" t="str">
        <f>'Quarterly Model'!B234</f>
        <v>Other assets</v>
      </c>
      <c r="C136" s="145">
        <f>'Quarterly Model'!AG234</f>
        <v>0</v>
      </c>
      <c r="D136" s="145">
        <f>'Quarterly Model'!AH234</f>
        <v>0</v>
      </c>
      <c r="E136" s="145">
        <f>'Quarterly Model'!AI234</f>
        <v>0</v>
      </c>
      <c r="F136" s="145">
        <f>'Quarterly Model'!AJ234</f>
        <v>0</v>
      </c>
      <c r="G136" s="1127">
        <f>'Quarterly Model'!AK234</f>
        <v>0</v>
      </c>
      <c r="H136" s="1128">
        <f>'Quarterly Model'!AL234</f>
        <v>0</v>
      </c>
      <c r="I136" s="1128">
        <f>'Quarterly Model'!AM234</f>
        <v>0</v>
      </c>
      <c r="J136" s="1128">
        <f>'Quarterly Model'!AN234</f>
        <v>0</v>
      </c>
      <c r="K136" s="1128">
        <f>'Quarterly Model'!AO234</f>
        <v>0</v>
      </c>
      <c r="L136" s="1127">
        <f>'Quarterly Model'!AP234</f>
        <v>41</v>
      </c>
      <c r="M136" s="1128">
        <f>'Quarterly Model'!AQ234</f>
        <v>0</v>
      </c>
      <c r="N136" s="1128">
        <f>'Quarterly Model'!AR234</f>
        <v>0</v>
      </c>
      <c r="O136" s="1128">
        <f>'Quarterly Model'!AS234</f>
        <v>0</v>
      </c>
      <c r="P136" s="1128">
        <f>'Quarterly Model'!AT234</f>
        <v>54</v>
      </c>
      <c r="Q136" s="1127">
        <f>'Quarterly Model'!AU234</f>
        <v>54</v>
      </c>
      <c r="R136" s="1126">
        <f>'Quarterly Model'!AV234</f>
        <v>30</v>
      </c>
      <c r="S136" s="1128">
        <f>'Quarterly Model'!AW234</f>
        <v>54</v>
      </c>
      <c r="T136" s="1128">
        <f>'Quarterly Model'!AX234</f>
        <v>63</v>
      </c>
      <c r="U136" s="1128">
        <f>'Quarterly Model'!AY234</f>
        <v>114</v>
      </c>
      <c r="V136" s="1127">
        <f>'Quarterly Model'!AZ234</f>
        <v>114</v>
      </c>
      <c r="W136" s="1128">
        <f>'Quarterly Model'!BA234</f>
        <v>105</v>
      </c>
      <c r="X136" s="1128">
        <f>'Quarterly Model'!BB234</f>
        <v>97</v>
      </c>
      <c r="Y136" s="1128">
        <f>'Quarterly Model'!BC234</f>
        <v>92</v>
      </c>
      <c r="Z136" s="1128">
        <f>'Quarterly Model'!BD234</f>
        <v>79</v>
      </c>
      <c r="AA136" s="1127">
        <f>'Quarterly Model'!BE234</f>
        <v>79</v>
      </c>
      <c r="AB136" s="1128">
        <f>'Quarterly Model'!BF234</f>
        <v>51</v>
      </c>
      <c r="AC136" s="1128">
        <f>'Quarterly Model'!BG234</f>
        <v>60</v>
      </c>
      <c r="AD136" s="1128">
        <f>'Quarterly Model'!BH234</f>
        <v>70</v>
      </c>
      <c r="AE136" s="1128">
        <f>'Quarterly Model'!BI234</f>
        <v>133</v>
      </c>
      <c r="AF136" s="1127">
        <f>'Quarterly Model'!BJ234</f>
        <v>133</v>
      </c>
      <c r="AG136" s="1128">
        <f>'Quarterly Model'!BK234</f>
        <v>94</v>
      </c>
      <c r="AH136" s="1128">
        <f>'Quarterly Model'!BL234</f>
        <v>94</v>
      </c>
      <c r="AI136" s="1128">
        <f>'Quarterly Model'!BM234</f>
        <v>94</v>
      </c>
      <c r="AJ136" s="1128">
        <f>'Quarterly Model'!BN234</f>
        <v>94</v>
      </c>
      <c r="AK136" s="1127">
        <f>'Quarterly Model'!BO234</f>
        <v>94</v>
      </c>
      <c r="AL136" s="1128">
        <f>'Quarterly Model'!BP234</f>
        <v>94</v>
      </c>
      <c r="AM136" s="1128">
        <f>'Quarterly Model'!BQ234</f>
        <v>94</v>
      </c>
      <c r="AN136" s="1128">
        <f>'Quarterly Model'!BR234</f>
        <v>94</v>
      </c>
      <c r="AO136" s="1128">
        <f>'Quarterly Model'!BS234</f>
        <v>94</v>
      </c>
      <c r="AP136" s="1127">
        <f>'Quarterly Model'!BT234</f>
        <v>94</v>
      </c>
      <c r="AQ136" s="1128">
        <f>'Quarterly Model'!BU234</f>
        <v>94</v>
      </c>
      <c r="AR136" s="1128">
        <f>'Quarterly Model'!BV234</f>
        <v>94</v>
      </c>
      <c r="AS136" s="1128">
        <f>'Quarterly Model'!BW234</f>
        <v>94</v>
      </c>
      <c r="AT136" s="1128">
        <f>'Quarterly Model'!BX234</f>
        <v>94</v>
      </c>
      <c r="AU136" s="1127">
        <f>'Quarterly Model'!BY234</f>
        <v>94</v>
      </c>
      <c r="AV136" s="1128">
        <f>'Quarterly Model'!BZ234</f>
        <v>94</v>
      </c>
      <c r="AW136" s="1128">
        <f>'Quarterly Model'!CA234</f>
        <v>94</v>
      </c>
      <c r="AX136" s="1128">
        <f>'Quarterly Model'!CB234</f>
        <v>94</v>
      </c>
      <c r="AY136" s="1128">
        <f>'Quarterly Model'!CC234</f>
        <v>94</v>
      </c>
      <c r="AZ136" s="1127">
        <f>'Quarterly Model'!CD234</f>
        <v>94</v>
      </c>
    </row>
    <row r="137" spans="2:52" ht="14.25" thickTop="1" thickBot="1">
      <c r="B137" s="443" t="str">
        <f>'Quarterly Model'!B235</f>
        <v>Total Assets</v>
      </c>
      <c r="C137" s="444">
        <f>'Quarterly Model'!AG235</f>
        <v>0</v>
      </c>
      <c r="D137" s="444">
        <f>'Quarterly Model'!AH235</f>
        <v>0</v>
      </c>
      <c r="E137" s="444">
        <f>'Quarterly Model'!AI235</f>
        <v>0</v>
      </c>
      <c r="F137" s="444">
        <f>'Quarterly Model'!AJ235</f>
        <v>0</v>
      </c>
      <c r="G137" s="1185">
        <f>'Quarterly Model'!AK235</f>
        <v>0</v>
      </c>
      <c r="H137" s="1186">
        <f>'Quarterly Model'!AL235</f>
        <v>0</v>
      </c>
      <c r="I137" s="1186">
        <f>'Quarterly Model'!AM235</f>
        <v>0</v>
      </c>
      <c r="J137" s="1186">
        <f>'Quarterly Model'!AN235</f>
        <v>0</v>
      </c>
      <c r="K137" s="1186">
        <f>'Quarterly Model'!AO235</f>
        <v>0</v>
      </c>
      <c r="L137" s="1185">
        <f>'Quarterly Model'!AP235</f>
        <v>24425</v>
      </c>
      <c r="M137" s="1186">
        <f>'Quarterly Model'!AQ235</f>
        <v>0</v>
      </c>
      <c r="N137" s="1186">
        <f>'Quarterly Model'!AR235</f>
        <v>0</v>
      </c>
      <c r="O137" s="1186">
        <f>'Quarterly Model'!AS235</f>
        <v>0</v>
      </c>
      <c r="P137" s="1186">
        <f>'Quarterly Model'!AT235</f>
        <v>21917</v>
      </c>
      <c r="Q137" s="1185">
        <f>'Quarterly Model'!AU235</f>
        <v>26495</v>
      </c>
      <c r="R137" s="1187">
        <f>'Quarterly Model'!AV235</f>
        <v>26797</v>
      </c>
      <c r="S137" s="1186">
        <f>'Quarterly Model'!AW235</f>
        <v>26911</v>
      </c>
      <c r="T137" s="1186">
        <f>'Quarterly Model'!AX235</f>
        <v>27896</v>
      </c>
      <c r="U137" s="1186">
        <f>'Quarterly Model'!AY235</f>
        <v>28881</v>
      </c>
      <c r="V137" s="1185">
        <f>'Quarterly Model'!AZ235</f>
        <v>28881</v>
      </c>
      <c r="W137" s="1186">
        <f>'Quarterly Model'!BA235</f>
        <v>29470</v>
      </c>
      <c r="X137" s="1186">
        <f>'Quarterly Model'!BB235</f>
        <v>30631</v>
      </c>
      <c r="Y137" s="1186">
        <f>'Quarterly Model'!BC235</f>
        <v>31356</v>
      </c>
      <c r="Z137" s="1186">
        <f>'Quarterly Model'!BD235</f>
        <v>33103</v>
      </c>
      <c r="AA137" s="1185">
        <f>'Quarterly Model'!BE235</f>
        <v>33103</v>
      </c>
      <c r="AB137" s="1186">
        <f>'Quarterly Model'!BF235</f>
        <v>33493</v>
      </c>
      <c r="AC137" s="1186">
        <f>'Quarterly Model'!BG235</f>
        <v>35290</v>
      </c>
      <c r="AD137" s="1186">
        <f>'Quarterly Model'!BH235</f>
        <v>37761</v>
      </c>
      <c r="AE137" s="1186">
        <f>'Quarterly Model'!BI235</f>
        <v>40774</v>
      </c>
      <c r="AF137" s="1185">
        <f>'Quarterly Model'!BJ235</f>
        <v>40774</v>
      </c>
      <c r="AG137" s="1186">
        <f>'Quarterly Model'!BK235</f>
        <v>42322</v>
      </c>
      <c r="AH137" s="1186">
        <f>'Quarterly Model'!BL235</f>
        <v>42883.77822916185</v>
      </c>
      <c r="AI137" s="1186">
        <f>'Quarterly Model'!BM235</f>
        <v>43012.562421958712</v>
      </c>
      <c r="AJ137" s="1186">
        <f>'Quarterly Model'!BN235</f>
        <v>43675.527324210503</v>
      </c>
      <c r="AK137" s="1185">
        <f>'Quarterly Model'!BO235</f>
        <v>43675.527324210503</v>
      </c>
      <c r="AL137" s="1186">
        <f>'Quarterly Model'!BP235</f>
        <v>43497.884217644991</v>
      </c>
      <c r="AM137" s="1186">
        <f>'Quarterly Model'!BQ235</f>
        <v>43976.219054351815</v>
      </c>
      <c r="AN137" s="1186">
        <f>'Quarterly Model'!BR235</f>
        <v>44440.816957737952</v>
      </c>
      <c r="AO137" s="1186">
        <f>'Quarterly Model'!BS235</f>
        <v>45355.890474796273</v>
      </c>
      <c r="AP137" s="1185">
        <f>'Quarterly Model'!BT235</f>
        <v>45355.890474796281</v>
      </c>
      <c r="AQ137" s="1186">
        <f>'Quarterly Model'!BU235</f>
        <v>45659.256352687102</v>
      </c>
      <c r="AR137" s="1186">
        <f>'Quarterly Model'!BV235</f>
        <v>46231.517710345004</v>
      </c>
      <c r="AS137" s="1186">
        <f>'Quarterly Model'!BW235</f>
        <v>46720.523220004587</v>
      </c>
      <c r="AT137" s="1186">
        <f>'Quarterly Model'!BX235</f>
        <v>47791.723641096694</v>
      </c>
      <c r="AU137" s="1185">
        <f>'Quarterly Model'!BY235</f>
        <v>47791.723641096694</v>
      </c>
      <c r="AV137" s="1186">
        <f>'Quarterly Model'!BZ235</f>
        <v>48245.389720837607</v>
      </c>
      <c r="AW137" s="1186">
        <f>'Quarterly Model'!CA235</f>
        <v>49036.342410403835</v>
      </c>
      <c r="AX137" s="1186">
        <f>'Quarterly Model'!CB235</f>
        <v>49768.918463684633</v>
      </c>
      <c r="AY137" s="1186">
        <f>'Quarterly Model'!CC235</f>
        <v>51181.396956500917</v>
      </c>
      <c r="AZ137" s="1185">
        <f>'Quarterly Model'!CD235</f>
        <v>51181.396956500917</v>
      </c>
    </row>
    <row r="138" spans="2:52" ht="13.5" thickTop="1">
      <c r="B138" s="388"/>
      <c r="C138" s="232"/>
      <c r="D138" s="232"/>
      <c r="E138" s="232"/>
      <c r="F138" s="232"/>
      <c r="G138" s="1118"/>
      <c r="H138" s="313"/>
      <c r="I138" s="313"/>
      <c r="J138" s="313"/>
      <c r="K138" s="313"/>
      <c r="L138" s="1118"/>
      <c r="M138" s="313"/>
      <c r="N138" s="313"/>
      <c r="O138" s="313"/>
      <c r="P138" s="313"/>
      <c r="Q138" s="1118"/>
      <c r="R138" s="1171"/>
      <c r="S138" s="313"/>
      <c r="T138" s="313"/>
      <c r="U138" s="313"/>
      <c r="V138" s="1118"/>
      <c r="W138" s="313"/>
      <c r="X138" s="313"/>
      <c r="Y138" s="313"/>
      <c r="Z138" s="313"/>
      <c r="AA138" s="1118"/>
      <c r="AB138" s="313"/>
      <c r="AC138" s="313"/>
      <c r="AD138" s="313"/>
      <c r="AE138" s="313"/>
      <c r="AF138" s="1118"/>
      <c r="AG138" s="313"/>
      <c r="AH138" s="313"/>
      <c r="AI138" s="313"/>
      <c r="AJ138" s="313"/>
      <c r="AK138" s="1118"/>
      <c r="AL138" s="313"/>
      <c r="AM138" s="313"/>
      <c r="AN138" s="313"/>
      <c r="AO138" s="313"/>
      <c r="AP138" s="1118"/>
      <c r="AQ138" s="313"/>
      <c r="AR138" s="313"/>
      <c r="AS138" s="313"/>
      <c r="AT138" s="313"/>
      <c r="AU138" s="1118"/>
      <c r="AV138" s="313"/>
      <c r="AW138" s="313"/>
      <c r="AX138" s="313"/>
      <c r="AY138" s="313"/>
      <c r="AZ138" s="1118"/>
    </row>
    <row r="139" spans="2:52">
      <c r="B139" s="446" t="str">
        <f>'Quarterly Model'!B237</f>
        <v>LIABILITIES:</v>
      </c>
      <c r="C139" s="145"/>
      <c r="D139" s="232"/>
      <c r="E139" s="232"/>
      <c r="F139" s="232"/>
      <c r="G139" s="1118"/>
      <c r="H139" s="1128"/>
      <c r="I139" s="313"/>
      <c r="J139" s="313"/>
      <c r="K139" s="313"/>
      <c r="L139" s="1118"/>
      <c r="M139" s="1128"/>
      <c r="N139" s="1128"/>
      <c r="O139" s="1128"/>
      <c r="P139" s="313"/>
      <c r="Q139" s="1118"/>
      <c r="R139" s="1171"/>
      <c r="S139" s="313"/>
      <c r="T139" s="313"/>
      <c r="U139" s="313"/>
      <c r="V139" s="1118"/>
      <c r="W139" s="313"/>
      <c r="X139" s="313"/>
      <c r="Y139" s="313"/>
      <c r="Z139" s="313"/>
      <c r="AA139" s="1118"/>
      <c r="AB139" s="313"/>
      <c r="AC139" s="313"/>
      <c r="AD139" s="313"/>
      <c r="AE139" s="313"/>
      <c r="AF139" s="1118"/>
      <c r="AG139" s="313"/>
      <c r="AH139" s="313"/>
      <c r="AI139" s="313"/>
      <c r="AJ139" s="313"/>
      <c r="AK139" s="1118"/>
      <c r="AL139" s="313"/>
      <c r="AM139" s="313"/>
      <c r="AN139" s="313"/>
      <c r="AO139" s="313"/>
      <c r="AP139" s="1118"/>
      <c r="AQ139" s="313"/>
      <c r="AR139" s="313"/>
      <c r="AS139" s="313"/>
      <c r="AT139" s="313"/>
      <c r="AU139" s="1118"/>
      <c r="AV139" s="313"/>
      <c r="AW139" s="313"/>
      <c r="AX139" s="313"/>
      <c r="AY139" s="313"/>
      <c r="AZ139" s="1118"/>
    </row>
    <row r="140" spans="2:52">
      <c r="B140" s="435" t="str">
        <f>'Quarterly Model'!B238</f>
        <v>Accounts payable</v>
      </c>
      <c r="C140" s="145">
        <f>'Quarterly Model'!AG238</f>
        <v>0</v>
      </c>
      <c r="D140" s="145">
        <f>'Quarterly Model'!AH238</f>
        <v>0</v>
      </c>
      <c r="E140" s="145">
        <f>'Quarterly Model'!AI238</f>
        <v>0</v>
      </c>
      <c r="F140" s="145">
        <f>'Quarterly Model'!AJ238</f>
        <v>0</v>
      </c>
      <c r="G140" s="1127">
        <f>'Quarterly Model'!AK238</f>
        <v>0</v>
      </c>
      <c r="H140" s="1128">
        <f>'Quarterly Model'!AL238</f>
        <v>0</v>
      </c>
      <c r="I140" s="1128">
        <f>'Quarterly Model'!AM238</f>
        <v>0</v>
      </c>
      <c r="J140" s="1128">
        <f>'Quarterly Model'!AN238</f>
        <v>0</v>
      </c>
      <c r="K140" s="1128">
        <f>'Quarterly Model'!AO238</f>
        <v>0</v>
      </c>
      <c r="L140" s="1127">
        <f>'Quarterly Model'!AP238</f>
        <v>73</v>
      </c>
      <c r="M140" s="1128">
        <f>'Quarterly Model'!AQ238</f>
        <v>0</v>
      </c>
      <c r="N140" s="1128">
        <f>'Quarterly Model'!AR238</f>
        <v>0</v>
      </c>
      <c r="O140" s="1128">
        <f>'Quarterly Model'!AS238</f>
        <v>0</v>
      </c>
      <c r="P140" s="1128">
        <f>'Quarterly Model'!AT238</f>
        <v>115</v>
      </c>
      <c r="Q140" s="1127">
        <f>'Quarterly Model'!AU238</f>
        <v>115</v>
      </c>
      <c r="R140" s="1126">
        <f>'Quarterly Model'!AV238</f>
        <v>125</v>
      </c>
      <c r="S140" s="1128">
        <f>'Quarterly Model'!AW238</f>
        <v>188</v>
      </c>
      <c r="T140" s="1128">
        <f>'Quarterly Model'!AX238</f>
        <v>114</v>
      </c>
      <c r="U140" s="1128">
        <f>'Quarterly Model'!AY238</f>
        <v>145</v>
      </c>
      <c r="V140" s="1127">
        <f>'Quarterly Model'!AZ238</f>
        <v>145</v>
      </c>
      <c r="W140" s="1128">
        <f>'Quarterly Model'!BA238</f>
        <v>158</v>
      </c>
      <c r="X140" s="1128">
        <f>'Quarterly Model'!BB238</f>
        <v>169</v>
      </c>
      <c r="Y140" s="1128">
        <f>'Quarterly Model'!BC238</f>
        <v>174</v>
      </c>
      <c r="Z140" s="1128">
        <f>'Quarterly Model'!BD238</f>
        <v>192</v>
      </c>
      <c r="AA140" s="1127">
        <f>'Quarterly Model'!BE238</f>
        <v>192</v>
      </c>
      <c r="AB140" s="1128">
        <f>'Quarterly Model'!BF238</f>
        <v>164</v>
      </c>
      <c r="AC140" s="1128">
        <f>'Quarterly Model'!BG238</f>
        <v>171</v>
      </c>
      <c r="AD140" s="1128">
        <f>'Quarterly Model'!BH238</f>
        <v>974</v>
      </c>
      <c r="AE140" s="1128">
        <f>'Quarterly Model'!BI238</f>
        <v>257</v>
      </c>
      <c r="AF140" s="1127">
        <f>'Quarterly Model'!BJ238</f>
        <v>257</v>
      </c>
      <c r="AG140" s="1128">
        <f>'Quarterly Model'!BK238</f>
        <v>187</v>
      </c>
      <c r="AH140" s="1128">
        <f>'Quarterly Model'!BL238</f>
        <v>382.08404416167082</v>
      </c>
      <c r="AI140" s="1128">
        <f>'Quarterly Model'!BM238</f>
        <v>325.49074490031541</v>
      </c>
      <c r="AJ140" s="1128">
        <f>'Quarterly Model'!BN238</f>
        <v>282.77305899828463</v>
      </c>
      <c r="AK140" s="1127">
        <f>'Quarterly Model'!BO238</f>
        <v>282.77305899828463</v>
      </c>
      <c r="AL140" s="1128">
        <f>'Quarterly Model'!BP238</f>
        <v>136.08476279760743</v>
      </c>
      <c r="AM140" s="1128">
        <f>'Quarterly Model'!BQ238</f>
        <v>141.47700603604582</v>
      </c>
      <c r="AN140" s="1128">
        <f>'Quarterly Model'!BR238</f>
        <v>145.55843298437458</v>
      </c>
      <c r="AO140" s="1128">
        <f>'Quarterly Model'!BS238</f>
        <v>168.70515833456665</v>
      </c>
      <c r="AP140" s="1127">
        <f>'Quarterly Model'!BT238</f>
        <v>168.70515833456665</v>
      </c>
      <c r="AQ140" s="1128">
        <f>'Quarterly Model'!BU238</f>
        <v>159.09380207129308</v>
      </c>
      <c r="AR140" s="1128">
        <f>'Quarterly Model'!BV238</f>
        <v>165.98916883687241</v>
      </c>
      <c r="AS140" s="1128">
        <f>'Quarterly Model'!BW238</f>
        <v>167.8339603920827</v>
      </c>
      <c r="AT140" s="1128">
        <f>'Quarterly Model'!BX238</f>
        <v>195.21707043108702</v>
      </c>
      <c r="AU140" s="1127">
        <f>'Quarterly Model'!BY238</f>
        <v>195.21707043108702</v>
      </c>
      <c r="AV140" s="1128">
        <f>'Quarterly Model'!BZ238</f>
        <v>182.83790222429295</v>
      </c>
      <c r="AW140" s="1128">
        <f>'Quarterly Model'!CA238</f>
        <v>191.08498660821977</v>
      </c>
      <c r="AX140" s="1128">
        <f>'Quarterly Model'!CB238</f>
        <v>194.51054719800828</v>
      </c>
      <c r="AY140" s="1128">
        <f>'Quarterly Model'!CC238</f>
        <v>226.59396314143709</v>
      </c>
      <c r="AZ140" s="1127">
        <f>'Quarterly Model'!CD238</f>
        <v>226.59396314143709</v>
      </c>
    </row>
    <row r="141" spans="2:52">
      <c r="B141" s="435" t="str">
        <f>'Quarterly Model'!B239</f>
        <v>Funds payable and amounts due to customers</v>
      </c>
      <c r="C141" s="145">
        <f>'Quarterly Model'!AG239</f>
        <v>0</v>
      </c>
      <c r="D141" s="145">
        <f>'Quarterly Model'!AH239</f>
        <v>0</v>
      </c>
      <c r="E141" s="145">
        <f>'Quarterly Model'!AI239</f>
        <v>0</v>
      </c>
      <c r="F141" s="145">
        <f>'Quarterly Model'!AJ239</f>
        <v>0</v>
      </c>
      <c r="G141" s="1127">
        <f>'Quarterly Model'!AK239</f>
        <v>0</v>
      </c>
      <c r="H141" s="1128">
        <f>'Quarterly Model'!AL239</f>
        <v>0</v>
      </c>
      <c r="I141" s="1128">
        <f>'Quarterly Model'!AM239</f>
        <v>0</v>
      </c>
      <c r="J141" s="1128">
        <f>'Quarterly Model'!AN239</f>
        <v>0</v>
      </c>
      <c r="K141" s="1128">
        <f>'Quarterly Model'!AO239</f>
        <v>0</v>
      </c>
      <c r="L141" s="1127">
        <f>'Quarterly Model'!AP239</f>
        <v>9277</v>
      </c>
      <c r="M141" s="1128">
        <f>'Quarterly Model'!AQ239</f>
        <v>0</v>
      </c>
      <c r="N141" s="1128">
        <f>'Quarterly Model'!AR239</f>
        <v>0</v>
      </c>
      <c r="O141" s="1128">
        <f>'Quarterly Model'!AS239</f>
        <v>0</v>
      </c>
      <c r="P141" s="1128">
        <f>'Quarterly Model'!AT239</f>
        <v>10612</v>
      </c>
      <c r="Q141" s="1127">
        <f>'Quarterly Model'!AU239</f>
        <v>10612</v>
      </c>
      <c r="R141" s="1126">
        <f>'Quarterly Model'!AV239</f>
        <v>10945</v>
      </c>
      <c r="S141" s="1128">
        <f>'Quarterly Model'!AW239</f>
        <v>11386</v>
      </c>
      <c r="T141" s="1128">
        <f>'Quarterly Model'!AX239</f>
        <v>11802</v>
      </c>
      <c r="U141" s="1128">
        <f>'Quarterly Model'!AY239</f>
        <v>12261</v>
      </c>
      <c r="V141" s="1127">
        <f>'Quarterly Model'!AZ239</f>
        <v>12261</v>
      </c>
      <c r="W141" s="1128">
        <f>'Quarterly Model'!BA239</f>
        <v>13032</v>
      </c>
      <c r="X141" s="1128">
        <f>'Quarterly Model'!BB239</f>
        <v>13834</v>
      </c>
      <c r="Y141" s="1128">
        <f>'Quarterly Model'!BC239</f>
        <v>14120</v>
      </c>
      <c r="Z141" s="1128">
        <f>'Quarterly Model'!BD239</f>
        <v>15163</v>
      </c>
      <c r="AA141" s="1127">
        <f>'Quarterly Model'!BE239</f>
        <v>15163</v>
      </c>
      <c r="AB141" s="1128">
        <f>'Quarterly Model'!BF239</f>
        <v>15741</v>
      </c>
      <c r="AC141" s="1128">
        <f>'Quarterly Model'!BG239</f>
        <v>16978</v>
      </c>
      <c r="AD141" s="1128">
        <f>'Quarterly Model'!BH239</f>
        <v>17975</v>
      </c>
      <c r="AE141" s="1128">
        <f>'Quarterly Model'!BI239</f>
        <v>19742</v>
      </c>
      <c r="AF141" s="1127">
        <f>'Quarterly Model'!BJ239</f>
        <v>19742</v>
      </c>
      <c r="AG141" s="1128">
        <f>'Quarterly Model'!BK239</f>
        <v>20662</v>
      </c>
      <c r="AH141" s="1128">
        <f>'Quarterly Model'!BL239</f>
        <v>20662</v>
      </c>
      <c r="AI141" s="1128">
        <f>'Quarterly Model'!BM239</f>
        <v>20662</v>
      </c>
      <c r="AJ141" s="1128">
        <f>'Quarterly Model'!BN239</f>
        <v>20662</v>
      </c>
      <c r="AK141" s="1127">
        <f>'Quarterly Model'!BO239</f>
        <v>20662</v>
      </c>
      <c r="AL141" s="1128">
        <f>'Quarterly Model'!BP239</f>
        <v>20662</v>
      </c>
      <c r="AM141" s="1128">
        <f>'Quarterly Model'!BQ239</f>
        <v>20662</v>
      </c>
      <c r="AN141" s="1128">
        <f>'Quarterly Model'!BR239</f>
        <v>20662</v>
      </c>
      <c r="AO141" s="1128">
        <f>'Quarterly Model'!BS239</f>
        <v>20662</v>
      </c>
      <c r="AP141" s="1127">
        <f>'Quarterly Model'!BT239</f>
        <v>20662</v>
      </c>
      <c r="AQ141" s="1128">
        <f>'Quarterly Model'!BU239</f>
        <v>20662</v>
      </c>
      <c r="AR141" s="1128">
        <f>'Quarterly Model'!BV239</f>
        <v>20662</v>
      </c>
      <c r="AS141" s="1128">
        <f>'Quarterly Model'!BW239</f>
        <v>20662</v>
      </c>
      <c r="AT141" s="1128">
        <f>'Quarterly Model'!BX239</f>
        <v>20662</v>
      </c>
      <c r="AU141" s="1127">
        <f>'Quarterly Model'!BY239</f>
        <v>20662</v>
      </c>
      <c r="AV141" s="1128">
        <f>'Quarterly Model'!BZ239</f>
        <v>20662</v>
      </c>
      <c r="AW141" s="1128">
        <f>'Quarterly Model'!CA239</f>
        <v>20662</v>
      </c>
      <c r="AX141" s="1128">
        <f>'Quarterly Model'!CB239</f>
        <v>20662</v>
      </c>
      <c r="AY141" s="1128">
        <f>'Quarterly Model'!CC239</f>
        <v>20662</v>
      </c>
      <c r="AZ141" s="1127">
        <f>'Quarterly Model'!CD239</f>
        <v>20662</v>
      </c>
    </row>
    <row r="142" spans="2:52">
      <c r="B142" s="435" t="str">
        <f>'Quarterly Model'!B240</f>
        <v>Notes and payable to affiliates</v>
      </c>
      <c r="C142" s="145">
        <f>'Quarterly Model'!AG240</f>
        <v>0</v>
      </c>
      <c r="D142" s="145">
        <f>'Quarterly Model'!AH240</f>
        <v>0</v>
      </c>
      <c r="E142" s="145">
        <f>'Quarterly Model'!AI240</f>
        <v>0</v>
      </c>
      <c r="F142" s="145">
        <f>'Quarterly Model'!AJ240</f>
        <v>0</v>
      </c>
      <c r="G142" s="1127">
        <f>'Quarterly Model'!AK240</f>
        <v>0</v>
      </c>
      <c r="H142" s="1128">
        <f>'Quarterly Model'!AL240</f>
        <v>0</v>
      </c>
      <c r="I142" s="1128">
        <f>'Quarterly Model'!AM240</f>
        <v>0</v>
      </c>
      <c r="J142" s="1128">
        <f>'Quarterly Model'!AN240</f>
        <v>0</v>
      </c>
      <c r="K142" s="1128">
        <f>'Quarterly Model'!AO240</f>
        <v>0</v>
      </c>
      <c r="L142" s="1127">
        <f>'Quarterly Model'!AP240</f>
        <v>1103</v>
      </c>
      <c r="M142" s="1128">
        <f>'Quarterly Model'!AQ240</f>
        <v>0</v>
      </c>
      <c r="N142" s="1128">
        <f>'Quarterly Model'!AR240</f>
        <v>0</v>
      </c>
      <c r="O142" s="1128">
        <f>'Quarterly Model'!AS240</f>
        <v>0</v>
      </c>
      <c r="P142" s="1128">
        <f>'Quarterly Model'!AT240</f>
        <v>1093</v>
      </c>
      <c r="Q142" s="1127">
        <f>'Quarterly Model'!AU240</f>
        <v>1093</v>
      </c>
      <c r="R142" s="1126">
        <f>'Quarterly Model'!AV240</f>
        <v>868</v>
      </c>
      <c r="S142" s="1128">
        <f>'Quarterly Model'!AW240</f>
        <v>102</v>
      </c>
      <c r="T142" s="1128">
        <f>'Quarterly Model'!AX240</f>
        <v>0</v>
      </c>
      <c r="U142" s="1128">
        <f>'Quarterly Model'!AY240</f>
        <v>0</v>
      </c>
      <c r="V142" s="1127">
        <f>'Quarterly Model'!AZ240</f>
        <v>0</v>
      </c>
      <c r="W142" s="1128">
        <f>'Quarterly Model'!BA240</f>
        <v>0</v>
      </c>
      <c r="X142" s="1128">
        <f>'Quarterly Model'!BB240</f>
        <v>0</v>
      </c>
      <c r="Y142" s="1128">
        <f>'Quarterly Model'!BC240</f>
        <v>0</v>
      </c>
      <c r="Z142" s="1128">
        <f>'Quarterly Model'!BD240</f>
        <v>0</v>
      </c>
      <c r="AA142" s="1127">
        <f>'Quarterly Model'!BE240</f>
        <v>0</v>
      </c>
      <c r="AB142" s="1128">
        <f>'Quarterly Model'!BF240</f>
        <v>0</v>
      </c>
      <c r="AC142" s="1128">
        <f>'Quarterly Model'!BG240</f>
        <v>0</v>
      </c>
      <c r="AD142" s="1128">
        <f>'Quarterly Model'!BH240</f>
        <v>0</v>
      </c>
      <c r="AE142" s="1128">
        <f>'Quarterly Model'!BI240</f>
        <v>1000</v>
      </c>
      <c r="AF142" s="1127">
        <f>'Quarterly Model'!BJ240</f>
        <v>1000</v>
      </c>
      <c r="AG142" s="1128">
        <f>'Quarterly Model'!BK240</f>
        <v>3000</v>
      </c>
      <c r="AH142" s="1128">
        <f>'Quarterly Model'!BL240</f>
        <v>3000</v>
      </c>
      <c r="AI142" s="1128">
        <f>'Quarterly Model'!BM240</f>
        <v>3000</v>
      </c>
      <c r="AJ142" s="1128">
        <f>'Quarterly Model'!BN240</f>
        <v>3000</v>
      </c>
      <c r="AK142" s="1127">
        <f>'Quarterly Model'!BO240</f>
        <v>3000</v>
      </c>
      <c r="AL142" s="1128">
        <f>'Quarterly Model'!BP240</f>
        <v>3000</v>
      </c>
      <c r="AM142" s="1128">
        <f>'Quarterly Model'!BQ240</f>
        <v>3000</v>
      </c>
      <c r="AN142" s="1128">
        <f>'Quarterly Model'!BR240</f>
        <v>3000</v>
      </c>
      <c r="AO142" s="1128">
        <f>'Quarterly Model'!BS240</f>
        <v>3000</v>
      </c>
      <c r="AP142" s="1127">
        <f>'Quarterly Model'!BT240</f>
        <v>3000</v>
      </c>
      <c r="AQ142" s="1128">
        <f>'Quarterly Model'!BU240</f>
        <v>3000</v>
      </c>
      <c r="AR142" s="1128">
        <f>'Quarterly Model'!BV240</f>
        <v>3000</v>
      </c>
      <c r="AS142" s="1128">
        <f>'Quarterly Model'!BW240</f>
        <v>3000</v>
      </c>
      <c r="AT142" s="1128">
        <f>'Quarterly Model'!BX240</f>
        <v>3000</v>
      </c>
      <c r="AU142" s="1127">
        <f>'Quarterly Model'!BY240</f>
        <v>3000</v>
      </c>
      <c r="AV142" s="1128">
        <f>'Quarterly Model'!BZ240</f>
        <v>3000</v>
      </c>
      <c r="AW142" s="1128">
        <f>'Quarterly Model'!CA240</f>
        <v>3000</v>
      </c>
      <c r="AX142" s="1128">
        <f>'Quarterly Model'!CB240</f>
        <v>3000</v>
      </c>
      <c r="AY142" s="1128">
        <f>'Quarterly Model'!CC240</f>
        <v>3000</v>
      </c>
      <c r="AZ142" s="1127">
        <f>'Quarterly Model'!CD240</f>
        <v>3000</v>
      </c>
    </row>
    <row r="143" spans="2:52">
      <c r="B143" s="435" t="str">
        <f>'Quarterly Model'!B241</f>
        <v>Accrued expenses and other current liabilities</v>
      </c>
      <c r="C143" s="145">
        <f>'Quarterly Model'!AG241</f>
        <v>0</v>
      </c>
      <c r="D143" s="145">
        <f>'Quarterly Model'!AH241</f>
        <v>0</v>
      </c>
      <c r="E143" s="145">
        <f>'Quarterly Model'!AI241</f>
        <v>0</v>
      </c>
      <c r="F143" s="145">
        <f>'Quarterly Model'!AJ241</f>
        <v>0</v>
      </c>
      <c r="G143" s="1127">
        <f>'Quarterly Model'!AK241</f>
        <v>0</v>
      </c>
      <c r="H143" s="1128">
        <f>'Quarterly Model'!AL241</f>
        <v>0</v>
      </c>
      <c r="I143" s="1128">
        <f>'Quarterly Model'!AM241</f>
        <v>0</v>
      </c>
      <c r="J143" s="1128">
        <f>'Quarterly Model'!AN241</f>
        <v>0</v>
      </c>
      <c r="K143" s="1128">
        <f>'Quarterly Model'!AO241</f>
        <v>0</v>
      </c>
      <c r="L143" s="1127">
        <f>'Quarterly Model'!AP241</f>
        <v>771</v>
      </c>
      <c r="M143" s="1128">
        <f>'Quarterly Model'!AQ241</f>
        <v>0</v>
      </c>
      <c r="N143" s="1128">
        <f>'Quarterly Model'!AR241</f>
        <v>0</v>
      </c>
      <c r="O143" s="1128">
        <f>'Quarterly Model'!AS241</f>
        <v>0</v>
      </c>
      <c r="P143" s="1128">
        <f>'Quarterly Model'!AT241</f>
        <v>1434</v>
      </c>
      <c r="Q143" s="1127">
        <f>'Quarterly Model'!AU241</f>
        <v>1434</v>
      </c>
      <c r="R143" s="1126">
        <f>'Quarterly Model'!AV241</f>
        <v>1565</v>
      </c>
      <c r="S143" s="1128">
        <f>'Quarterly Model'!AW241</f>
        <v>877</v>
      </c>
      <c r="T143" s="1128">
        <f>'Quarterly Model'!AX241</f>
        <v>1089</v>
      </c>
      <c r="U143" s="1128">
        <f>'Quarterly Model'!AY241</f>
        <v>1179</v>
      </c>
      <c r="V143" s="1127">
        <f>'Quarterly Model'!AZ241</f>
        <v>1179</v>
      </c>
      <c r="W143" s="1128">
        <f>'Quarterly Model'!BA241</f>
        <v>1145</v>
      </c>
      <c r="X143" s="1128">
        <f>'Quarterly Model'!BB241</f>
        <v>1181</v>
      </c>
      <c r="Y143" s="1128">
        <f>'Quarterly Model'!BC241</f>
        <v>1272</v>
      </c>
      <c r="Z143" s="1128">
        <f>'Quarterly Model'!BD241</f>
        <v>1459</v>
      </c>
      <c r="AA143" s="1127">
        <f>'Quarterly Model'!BE241</f>
        <v>1459</v>
      </c>
      <c r="AB143" s="1128">
        <f>'Quarterly Model'!BF241</f>
        <v>1300</v>
      </c>
      <c r="AC143" s="1128">
        <f>'Quarterly Model'!BG241</f>
        <v>1407</v>
      </c>
      <c r="AD143" s="1128">
        <f>'Quarterly Model'!BH241</f>
        <v>1665</v>
      </c>
      <c r="AE143" s="1128">
        <f>'Quarterly Model'!BI241</f>
        <v>1781</v>
      </c>
      <c r="AF143" s="1127">
        <f>'Quarterly Model'!BJ241</f>
        <v>1781</v>
      </c>
      <c r="AG143" s="1128">
        <f>'Quarterly Model'!BK241</f>
        <v>1767</v>
      </c>
      <c r="AH143" s="1128">
        <f>'Quarterly Model'!BL241</f>
        <v>1832.137058436017</v>
      </c>
      <c r="AI143" s="1128">
        <f>'Quarterly Model'!BM241</f>
        <v>1755.8613691145579</v>
      </c>
      <c r="AJ143" s="1128">
        <f>'Quarterly Model'!BN241</f>
        <v>2033.8941462006876</v>
      </c>
      <c r="AK143" s="1127">
        <f>'Quarterly Model'!BO241</f>
        <v>2033.8941462006876</v>
      </c>
      <c r="AL143" s="1128">
        <f>'Quarterly Model'!BP241</f>
        <v>1633.0171535712889</v>
      </c>
      <c r="AM143" s="1128">
        <f>'Quarterly Model'!BQ241</f>
        <v>1697.7240724325502</v>
      </c>
      <c r="AN143" s="1128">
        <f>'Quarterly Model'!BR241</f>
        <v>1746.7011958124949</v>
      </c>
      <c r="AO143" s="1128">
        <f>'Quarterly Model'!BS241</f>
        <v>2024.4619000148</v>
      </c>
      <c r="AP143" s="1127">
        <f>'Quarterly Model'!BT241</f>
        <v>2024.4619000148</v>
      </c>
      <c r="AQ143" s="1128">
        <f>'Quarterly Model'!BU241</f>
        <v>1909.1256248555173</v>
      </c>
      <c r="AR143" s="1128">
        <f>'Quarterly Model'!BV241</f>
        <v>1991.8700260424689</v>
      </c>
      <c r="AS143" s="1128">
        <f>'Quarterly Model'!BW241</f>
        <v>2014.0075247049926</v>
      </c>
      <c r="AT143" s="1128">
        <f>'Quarterly Model'!BX241</f>
        <v>2342.6048451730444</v>
      </c>
      <c r="AU143" s="1127">
        <f>'Quarterly Model'!BY241</f>
        <v>2342.6048451730444</v>
      </c>
      <c r="AV143" s="1128">
        <f>'Quarterly Model'!BZ241</f>
        <v>2194.0548266915152</v>
      </c>
      <c r="AW143" s="1128">
        <f>'Quarterly Model'!CA241</f>
        <v>2293.0198392986376</v>
      </c>
      <c r="AX143" s="1128">
        <f>'Quarterly Model'!CB241</f>
        <v>2334.1265663761001</v>
      </c>
      <c r="AY143" s="1128">
        <f>'Quarterly Model'!CC241</f>
        <v>2719.1275576972453</v>
      </c>
      <c r="AZ143" s="1127">
        <f>'Quarterly Model'!CD241</f>
        <v>2719.1275576972453</v>
      </c>
    </row>
    <row r="144" spans="2:52" ht="13.5" thickBot="1">
      <c r="B144" s="435" t="str">
        <f>'Quarterly Model'!B242</f>
        <v>Income taxes payable</v>
      </c>
      <c r="C144" s="145">
        <f>'Quarterly Model'!AG242</f>
        <v>0</v>
      </c>
      <c r="D144" s="145">
        <f>'Quarterly Model'!AH242</f>
        <v>0</v>
      </c>
      <c r="E144" s="145">
        <f>'Quarterly Model'!AI242</f>
        <v>0</v>
      </c>
      <c r="F144" s="145">
        <f>'Quarterly Model'!AJ242</f>
        <v>0</v>
      </c>
      <c r="G144" s="1127">
        <f>'Quarterly Model'!AK242</f>
        <v>0</v>
      </c>
      <c r="H144" s="1128">
        <f>'Quarterly Model'!AL242</f>
        <v>0</v>
      </c>
      <c r="I144" s="1128">
        <f>'Quarterly Model'!AM242</f>
        <v>0</v>
      </c>
      <c r="J144" s="1128">
        <f>'Quarterly Model'!AN242</f>
        <v>0</v>
      </c>
      <c r="K144" s="1128">
        <f>'Quarterly Model'!AO242</f>
        <v>0</v>
      </c>
      <c r="L144" s="1127">
        <f>'Quarterly Model'!AP242</f>
        <v>37</v>
      </c>
      <c r="M144" s="1128">
        <f>'Quarterly Model'!AQ242</f>
        <v>0</v>
      </c>
      <c r="N144" s="1128">
        <f>'Quarterly Model'!AR242</f>
        <v>0</v>
      </c>
      <c r="O144" s="1128">
        <f>'Quarterly Model'!AS242</f>
        <v>0</v>
      </c>
      <c r="P144" s="1128">
        <f>'Quarterly Model'!AT242</f>
        <v>29</v>
      </c>
      <c r="Q144" s="1127">
        <f>'Quarterly Model'!AU242</f>
        <v>29</v>
      </c>
      <c r="R144" s="1126">
        <f>'Quarterly Model'!AV242</f>
        <v>46</v>
      </c>
      <c r="S144" s="1128">
        <f>'Quarterly Model'!AW242</f>
        <v>31</v>
      </c>
      <c r="T144" s="1128">
        <f>'Quarterly Model'!AX242</f>
        <v>67</v>
      </c>
      <c r="U144" s="1128">
        <f>'Quarterly Model'!AY242</f>
        <v>32</v>
      </c>
      <c r="V144" s="1127">
        <f>'Quarterly Model'!AZ242</f>
        <v>32</v>
      </c>
      <c r="W144" s="1128">
        <f>'Quarterly Model'!BA242</f>
        <v>27</v>
      </c>
      <c r="X144" s="1128">
        <f>'Quarterly Model'!BB242</f>
        <v>39</v>
      </c>
      <c r="Y144" s="1128">
        <f>'Quarterly Model'!BC242</f>
        <v>50</v>
      </c>
      <c r="Z144" s="1128">
        <f>'Quarterly Model'!BD242</f>
        <v>64</v>
      </c>
      <c r="AA144" s="1127">
        <f>'Quarterly Model'!BE242</f>
        <v>64</v>
      </c>
      <c r="AB144" s="1128">
        <f>'Quarterly Model'!BF242</f>
        <v>81</v>
      </c>
      <c r="AC144" s="1128">
        <f>'Quarterly Model'!BG242</f>
        <v>85</v>
      </c>
      <c r="AD144" s="1128">
        <f>'Quarterly Model'!BH242</f>
        <v>89</v>
      </c>
      <c r="AE144" s="1128">
        <f>'Quarterly Model'!BI242</f>
        <v>83</v>
      </c>
      <c r="AF144" s="1127">
        <f>'Quarterly Model'!BJ242</f>
        <v>83</v>
      </c>
      <c r="AG144" s="1128">
        <f>'Quarterly Model'!BK242</f>
        <v>98</v>
      </c>
      <c r="AH144" s="1128">
        <f>'Quarterly Model'!BL242</f>
        <v>98</v>
      </c>
      <c r="AI144" s="1128">
        <f>'Quarterly Model'!BM242</f>
        <v>98</v>
      </c>
      <c r="AJ144" s="1128">
        <f>'Quarterly Model'!BN242</f>
        <v>98</v>
      </c>
      <c r="AK144" s="1127">
        <f>'Quarterly Model'!BO242</f>
        <v>98</v>
      </c>
      <c r="AL144" s="1128">
        <f>'Quarterly Model'!BP242</f>
        <v>98</v>
      </c>
      <c r="AM144" s="1128">
        <f>'Quarterly Model'!BQ242</f>
        <v>98</v>
      </c>
      <c r="AN144" s="1128">
        <f>'Quarterly Model'!BR242</f>
        <v>98</v>
      </c>
      <c r="AO144" s="1128">
        <f>'Quarterly Model'!BS242</f>
        <v>98</v>
      </c>
      <c r="AP144" s="1127">
        <f>'Quarterly Model'!BT242</f>
        <v>98</v>
      </c>
      <c r="AQ144" s="1128">
        <f>'Quarterly Model'!BU242</f>
        <v>98</v>
      </c>
      <c r="AR144" s="1128">
        <f>'Quarterly Model'!BV242</f>
        <v>98</v>
      </c>
      <c r="AS144" s="1128">
        <f>'Quarterly Model'!BW242</f>
        <v>98</v>
      </c>
      <c r="AT144" s="1128">
        <f>'Quarterly Model'!BX242</f>
        <v>98</v>
      </c>
      <c r="AU144" s="1127">
        <f>'Quarterly Model'!BY242</f>
        <v>98</v>
      </c>
      <c r="AV144" s="1128">
        <f>'Quarterly Model'!BZ242</f>
        <v>98</v>
      </c>
      <c r="AW144" s="1128">
        <f>'Quarterly Model'!CA242</f>
        <v>98</v>
      </c>
      <c r="AX144" s="1128">
        <f>'Quarterly Model'!CB242</f>
        <v>98</v>
      </c>
      <c r="AY144" s="1128">
        <f>'Quarterly Model'!CC242</f>
        <v>98</v>
      </c>
      <c r="AZ144" s="1127">
        <f>'Quarterly Model'!CD242</f>
        <v>98</v>
      </c>
    </row>
    <row r="145" spans="2:52" ht="14.25" thickTop="1" thickBot="1">
      <c r="B145" s="439" t="str">
        <f>'Quarterly Model'!B243</f>
        <v>Total Current Liabilities</v>
      </c>
      <c r="C145" s="440">
        <f>'Quarterly Model'!AG243</f>
        <v>0</v>
      </c>
      <c r="D145" s="440">
        <f>'Quarterly Model'!AH243</f>
        <v>0</v>
      </c>
      <c r="E145" s="440">
        <f>'Quarterly Model'!AI243</f>
        <v>0</v>
      </c>
      <c r="F145" s="440">
        <f>'Quarterly Model'!AJ243</f>
        <v>0</v>
      </c>
      <c r="G145" s="1182">
        <f>'Quarterly Model'!AK243</f>
        <v>0</v>
      </c>
      <c r="H145" s="1183">
        <f>'Quarterly Model'!AL243</f>
        <v>0</v>
      </c>
      <c r="I145" s="1183">
        <f>'Quarterly Model'!AM243</f>
        <v>0</v>
      </c>
      <c r="J145" s="1183">
        <f>'Quarterly Model'!AN243</f>
        <v>0</v>
      </c>
      <c r="K145" s="1183">
        <f>'Quarterly Model'!AO243</f>
        <v>0</v>
      </c>
      <c r="L145" s="1182">
        <f>'Quarterly Model'!AP243</f>
        <v>11261</v>
      </c>
      <c r="M145" s="1183">
        <f>'Quarterly Model'!AQ243</f>
        <v>0</v>
      </c>
      <c r="N145" s="1183">
        <f>'Quarterly Model'!AR243</f>
        <v>0</v>
      </c>
      <c r="O145" s="1183">
        <f>'Quarterly Model'!AS243</f>
        <v>0</v>
      </c>
      <c r="P145" s="1183">
        <f>'Quarterly Model'!AT243</f>
        <v>13283</v>
      </c>
      <c r="Q145" s="1182">
        <f>'Quarterly Model'!AU243</f>
        <v>13283</v>
      </c>
      <c r="R145" s="1184">
        <f>'Quarterly Model'!AV243</f>
        <v>13549</v>
      </c>
      <c r="S145" s="1183">
        <f>'Quarterly Model'!AW243</f>
        <v>12584</v>
      </c>
      <c r="T145" s="1183">
        <f>'Quarterly Model'!AX243</f>
        <v>13072</v>
      </c>
      <c r="U145" s="1183">
        <f>'Quarterly Model'!AY243</f>
        <v>13617</v>
      </c>
      <c r="V145" s="1182">
        <f>'Quarterly Model'!AZ243</f>
        <v>13617</v>
      </c>
      <c r="W145" s="1183">
        <f>'Quarterly Model'!BA243</f>
        <v>14362</v>
      </c>
      <c r="X145" s="1183">
        <f>'Quarterly Model'!BB243</f>
        <v>15223</v>
      </c>
      <c r="Y145" s="1183">
        <f>'Quarterly Model'!BC243</f>
        <v>15616</v>
      </c>
      <c r="Z145" s="1183">
        <f>'Quarterly Model'!BD243</f>
        <v>16878</v>
      </c>
      <c r="AA145" s="1182">
        <f>'Quarterly Model'!BE243</f>
        <v>16878</v>
      </c>
      <c r="AB145" s="1183">
        <f>'Quarterly Model'!BF243</f>
        <v>17286</v>
      </c>
      <c r="AC145" s="1183">
        <f>'Quarterly Model'!BG243</f>
        <v>18641</v>
      </c>
      <c r="AD145" s="1183">
        <f>'Quarterly Model'!BH243</f>
        <v>20703</v>
      </c>
      <c r="AE145" s="1183">
        <f>'Quarterly Model'!BI243</f>
        <v>22863</v>
      </c>
      <c r="AF145" s="1182">
        <f>'Quarterly Model'!BJ243</f>
        <v>22863</v>
      </c>
      <c r="AG145" s="1183">
        <f>'Quarterly Model'!BK243</f>
        <v>25714</v>
      </c>
      <c r="AH145" s="1183">
        <f>'Quarterly Model'!BL243</f>
        <v>25974.221102597687</v>
      </c>
      <c r="AI145" s="1183">
        <f>'Quarterly Model'!BM243</f>
        <v>25841.352114014873</v>
      </c>
      <c r="AJ145" s="1183">
        <f>'Quarterly Model'!BN243</f>
        <v>26076.667205198974</v>
      </c>
      <c r="AK145" s="1182">
        <f>'Quarterly Model'!BO243</f>
        <v>26076.667205198974</v>
      </c>
      <c r="AL145" s="1183">
        <f>'Quarterly Model'!BP243</f>
        <v>25529.101916368898</v>
      </c>
      <c r="AM145" s="1183">
        <f>'Quarterly Model'!BQ243</f>
        <v>25599.201078468595</v>
      </c>
      <c r="AN145" s="1183">
        <f>'Quarterly Model'!BR243</f>
        <v>25652.25962879687</v>
      </c>
      <c r="AO145" s="1183">
        <f>'Quarterly Model'!BS243</f>
        <v>25953.167058349369</v>
      </c>
      <c r="AP145" s="1182">
        <f>'Quarterly Model'!BT243</f>
        <v>25953.167058349369</v>
      </c>
      <c r="AQ145" s="1183">
        <f>'Quarterly Model'!BU243</f>
        <v>25828.219426926811</v>
      </c>
      <c r="AR145" s="1183">
        <f>'Quarterly Model'!BV243</f>
        <v>25917.859194879344</v>
      </c>
      <c r="AS145" s="1183">
        <f>'Quarterly Model'!BW243</f>
        <v>25941.841485097077</v>
      </c>
      <c r="AT145" s="1183">
        <f>'Quarterly Model'!BX243</f>
        <v>26297.821915604134</v>
      </c>
      <c r="AU145" s="1182">
        <f>'Quarterly Model'!BY243</f>
        <v>26297.821915604134</v>
      </c>
      <c r="AV145" s="1183">
        <f>'Quarterly Model'!BZ243</f>
        <v>26136.892728915805</v>
      </c>
      <c r="AW145" s="1183">
        <f>'Quarterly Model'!CA243</f>
        <v>26244.104825906859</v>
      </c>
      <c r="AX145" s="1183">
        <f>'Quarterly Model'!CB243</f>
        <v>26288.63711357411</v>
      </c>
      <c r="AY145" s="1183">
        <f>'Quarterly Model'!CC243</f>
        <v>26705.721520838681</v>
      </c>
      <c r="AZ145" s="1182">
        <f>'Quarterly Model'!CD243</f>
        <v>26705.721520838681</v>
      </c>
    </row>
    <row r="146" spans="2:52" ht="13.5" thickTop="1">
      <c r="B146" s="447"/>
      <c r="C146" s="145"/>
      <c r="D146" s="232"/>
      <c r="E146" s="232"/>
      <c r="F146" s="232"/>
      <c r="G146" s="1118"/>
      <c r="H146" s="1128"/>
      <c r="I146" s="313"/>
      <c r="J146" s="313"/>
      <c r="K146" s="313"/>
      <c r="L146" s="1118"/>
      <c r="M146" s="1128"/>
      <c r="N146" s="1128"/>
      <c r="O146" s="1128"/>
      <c r="P146" s="313"/>
      <c r="Q146" s="1118"/>
      <c r="R146" s="1171"/>
      <c r="S146" s="313"/>
      <c r="T146" s="313"/>
      <c r="U146" s="313"/>
      <c r="V146" s="1118"/>
      <c r="W146" s="313"/>
      <c r="X146" s="313"/>
      <c r="Y146" s="313"/>
      <c r="Z146" s="313"/>
      <c r="AA146" s="1118"/>
      <c r="AB146" s="313"/>
      <c r="AC146" s="313"/>
      <c r="AD146" s="313"/>
      <c r="AE146" s="313"/>
      <c r="AF146" s="1118"/>
      <c r="AG146" s="313"/>
      <c r="AH146" s="313"/>
      <c r="AI146" s="313"/>
      <c r="AJ146" s="313"/>
      <c r="AK146" s="1118"/>
      <c r="AL146" s="313"/>
      <c r="AM146" s="313"/>
      <c r="AN146" s="313"/>
      <c r="AO146" s="313"/>
      <c r="AP146" s="1118"/>
      <c r="AQ146" s="313"/>
      <c r="AR146" s="313"/>
      <c r="AS146" s="313"/>
      <c r="AT146" s="313"/>
      <c r="AU146" s="1118"/>
      <c r="AV146" s="313"/>
      <c r="AW146" s="313"/>
      <c r="AX146" s="313"/>
      <c r="AY146" s="313"/>
      <c r="AZ146" s="1118"/>
    </row>
    <row r="147" spans="2:52">
      <c r="B147" s="435" t="str">
        <f>'Quarterly Model'!B245</f>
        <v>Long-term liabilities</v>
      </c>
      <c r="C147" s="145">
        <f>'Quarterly Model'!AG245</f>
        <v>0</v>
      </c>
      <c r="D147" s="145">
        <f>'Quarterly Model'!AH245</f>
        <v>0</v>
      </c>
      <c r="E147" s="145">
        <f>'Quarterly Model'!AI245</f>
        <v>0</v>
      </c>
      <c r="F147" s="145">
        <f>'Quarterly Model'!AJ245</f>
        <v>0</v>
      </c>
      <c r="G147" s="1127">
        <f>'Quarterly Model'!AK245</f>
        <v>0</v>
      </c>
      <c r="H147" s="1128">
        <f>'Quarterly Model'!AL245</f>
        <v>0</v>
      </c>
      <c r="I147" s="1128">
        <f>'Quarterly Model'!AM245</f>
        <v>0</v>
      </c>
      <c r="J147" s="1128">
        <f>'Quarterly Model'!AN245</f>
        <v>0</v>
      </c>
      <c r="K147" s="1128">
        <f>'Quarterly Model'!AO245</f>
        <v>0</v>
      </c>
      <c r="L147" s="1127">
        <f>'Quarterly Model'!AP245</f>
        <v>509</v>
      </c>
      <c r="M147" s="1128">
        <f>'Quarterly Model'!AQ245</f>
        <v>0</v>
      </c>
      <c r="N147" s="1128">
        <f>'Quarterly Model'!AR245</f>
        <v>0</v>
      </c>
      <c r="O147" s="1128">
        <f>'Quarterly Model'!AS245</f>
        <v>0</v>
      </c>
      <c r="P147" s="1128">
        <f>'Quarterly Model'!AT245</f>
        <v>386</v>
      </c>
      <c r="Q147" s="1127">
        <f>'Quarterly Model'!AU245</f>
        <v>386</v>
      </c>
      <c r="R147" s="1126">
        <f>'Quarterly Model'!AV245</f>
        <v>390</v>
      </c>
      <c r="S147" s="1128">
        <f>'Quarterly Model'!AW245</f>
        <v>1587</v>
      </c>
      <c r="T147" s="1128">
        <f>'Quarterly Model'!AX245</f>
        <v>1610</v>
      </c>
      <c r="U147" s="1128">
        <f>'Quarterly Model'!AY245</f>
        <v>1505</v>
      </c>
      <c r="V147" s="1127">
        <f>'Quarterly Model'!AZ245</f>
        <v>1505</v>
      </c>
      <c r="W147" s="1128">
        <f>'Quarterly Model'!BA245</f>
        <v>1510</v>
      </c>
      <c r="X147" s="1128">
        <f>'Quarterly Model'!BB245</f>
        <v>1591</v>
      </c>
      <c r="Y147" s="1128">
        <f>'Quarterly Model'!BC245</f>
        <v>1548</v>
      </c>
      <c r="Z147" s="1128">
        <f>'Quarterly Model'!BD245</f>
        <v>1513</v>
      </c>
      <c r="AA147" s="1127">
        <f>'Quarterly Model'!BE245</f>
        <v>1513</v>
      </c>
      <c r="AB147" s="1128">
        <f>'Quarterly Model'!BF245</f>
        <v>1581</v>
      </c>
      <c r="AC147" s="1128">
        <f>'Quarterly Model'!BG245</f>
        <v>1651</v>
      </c>
      <c r="AD147" s="1128">
        <f>'Quarterly Model'!BH245</f>
        <v>1626</v>
      </c>
      <c r="AE147" s="1128">
        <f>'Quarterly Model'!BI245</f>
        <v>1917</v>
      </c>
      <c r="AF147" s="1127">
        <f>'Quarterly Model'!BJ245</f>
        <v>1917</v>
      </c>
      <c r="AG147" s="1128">
        <f>'Quarterly Model'!BK245</f>
        <v>1967</v>
      </c>
      <c r="AH147" s="1128">
        <f>'Quarterly Model'!BL245</f>
        <v>1967</v>
      </c>
      <c r="AI147" s="1128">
        <f>'Quarterly Model'!BM245</f>
        <v>1967</v>
      </c>
      <c r="AJ147" s="1128">
        <f>'Quarterly Model'!BN245</f>
        <v>1967</v>
      </c>
      <c r="AK147" s="1127">
        <f>'Quarterly Model'!BO245</f>
        <v>1967</v>
      </c>
      <c r="AL147" s="1128">
        <f>'Quarterly Model'!BP245</f>
        <v>1967</v>
      </c>
      <c r="AM147" s="1128">
        <f>'Quarterly Model'!BQ245</f>
        <v>1967</v>
      </c>
      <c r="AN147" s="1128">
        <f>'Quarterly Model'!BR245</f>
        <v>1967</v>
      </c>
      <c r="AO147" s="1128">
        <f>'Quarterly Model'!BS245</f>
        <v>1967</v>
      </c>
      <c r="AP147" s="1127">
        <f>'Quarterly Model'!BT245</f>
        <v>1967</v>
      </c>
      <c r="AQ147" s="1128">
        <f>'Quarterly Model'!BU245</f>
        <v>1967</v>
      </c>
      <c r="AR147" s="1128">
        <f>'Quarterly Model'!BV245</f>
        <v>1967</v>
      </c>
      <c r="AS147" s="1128">
        <f>'Quarterly Model'!BW245</f>
        <v>1967</v>
      </c>
      <c r="AT147" s="1128">
        <f>'Quarterly Model'!BX245</f>
        <v>1967</v>
      </c>
      <c r="AU147" s="1127">
        <f>'Quarterly Model'!BY245</f>
        <v>1967</v>
      </c>
      <c r="AV147" s="1128">
        <f>'Quarterly Model'!BZ245</f>
        <v>1967</v>
      </c>
      <c r="AW147" s="1128">
        <f>'Quarterly Model'!CA245</f>
        <v>1967</v>
      </c>
      <c r="AX147" s="1128">
        <f>'Quarterly Model'!CB245</f>
        <v>1967</v>
      </c>
      <c r="AY147" s="1128">
        <f>'Quarterly Model'!CC245</f>
        <v>1967</v>
      </c>
      <c r="AZ147" s="1127">
        <f>'Quarterly Model'!CD245</f>
        <v>1967</v>
      </c>
    </row>
    <row r="148" spans="2:52" ht="13.5" thickBot="1">
      <c r="B148" s="435" t="str">
        <f>'Quarterly Model'!B246</f>
        <v>Other non-current liabilities</v>
      </c>
      <c r="C148" s="145">
        <f>'Quarterly Model'!AG246</f>
        <v>0</v>
      </c>
      <c r="D148" s="145">
        <f>'Quarterly Model'!AH246</f>
        <v>0</v>
      </c>
      <c r="E148" s="145">
        <f>'Quarterly Model'!AI246</f>
        <v>0</v>
      </c>
      <c r="F148" s="145">
        <f>'Quarterly Model'!AJ246</f>
        <v>0</v>
      </c>
      <c r="G148" s="1127">
        <f>'Quarterly Model'!AK246</f>
        <v>0</v>
      </c>
      <c r="H148" s="1128">
        <f>'Quarterly Model'!AL246</f>
        <v>0</v>
      </c>
      <c r="I148" s="1128">
        <f>'Quarterly Model'!AM246</f>
        <v>0</v>
      </c>
      <c r="J148" s="1128">
        <f>'Quarterly Model'!AN246</f>
        <v>0</v>
      </c>
      <c r="K148" s="1128">
        <f>'Quarterly Model'!AO246</f>
        <v>0</v>
      </c>
      <c r="L148" s="1127">
        <f>'Quarterly Model'!AP246</f>
        <v>0</v>
      </c>
      <c r="M148" s="1128">
        <f>'Quarterly Model'!AQ246</f>
        <v>0</v>
      </c>
      <c r="N148" s="1128">
        <f>'Quarterly Model'!AR246</f>
        <v>0</v>
      </c>
      <c r="O148" s="1128">
        <f>'Quarterly Model'!AS246</f>
        <v>0</v>
      </c>
      <c r="P148" s="1128">
        <f>'Quarterly Model'!AT246</f>
        <v>0</v>
      </c>
      <c r="Q148" s="1127">
        <f>'Quarterly Model'!AU246</f>
        <v>0</v>
      </c>
      <c r="R148" s="1126">
        <f>'Quarterly Model'!AV246</f>
        <v>0</v>
      </c>
      <c r="S148" s="1128">
        <f>'Quarterly Model'!AW246</f>
        <v>0</v>
      </c>
      <c r="T148" s="1128">
        <f>'Quarterly Model'!AX246</f>
        <v>0</v>
      </c>
      <c r="U148" s="1128">
        <f>'Quarterly Model'!AY246</f>
        <v>0</v>
      </c>
      <c r="V148" s="1127">
        <f>'Quarterly Model'!AZ246</f>
        <v>0</v>
      </c>
      <c r="W148" s="1128">
        <f>'Quarterly Model'!BA246</f>
        <v>0</v>
      </c>
      <c r="X148" s="1128">
        <f>'Quarterly Model'!BB246</f>
        <v>0</v>
      </c>
      <c r="Y148" s="1128">
        <f>'Quarterly Model'!BC246</f>
        <v>0</v>
      </c>
      <c r="Z148" s="1128">
        <f>'Quarterly Model'!BD246</f>
        <v>0</v>
      </c>
      <c r="AA148" s="1127">
        <f>'Quarterly Model'!BE246</f>
        <v>0</v>
      </c>
      <c r="AB148" s="1128">
        <f>'Quarterly Model'!BF246</f>
        <v>0</v>
      </c>
      <c r="AC148" s="1128">
        <f>'Quarterly Model'!BG246</f>
        <v>0</v>
      </c>
      <c r="AD148" s="1128">
        <f>'Quarterly Model'!BH246</f>
        <v>0</v>
      </c>
      <c r="AE148" s="1128">
        <f>'Quarterly Model'!BI246</f>
        <v>0</v>
      </c>
      <c r="AF148" s="1127">
        <f>'Quarterly Model'!BJ246</f>
        <v>0</v>
      </c>
      <c r="AG148" s="1128">
        <f>'Quarterly Model'!BK246</f>
        <v>0</v>
      </c>
      <c r="AH148" s="1128">
        <f>'Quarterly Model'!BL246</f>
        <v>0</v>
      </c>
      <c r="AI148" s="1128">
        <f>'Quarterly Model'!BM246</f>
        <v>0</v>
      </c>
      <c r="AJ148" s="1128">
        <f>'Quarterly Model'!BN246</f>
        <v>0</v>
      </c>
      <c r="AK148" s="1127">
        <f>'Quarterly Model'!BO246</f>
        <v>0</v>
      </c>
      <c r="AL148" s="1128">
        <f>'Quarterly Model'!BP246</f>
        <v>0</v>
      </c>
      <c r="AM148" s="1128">
        <f>'Quarterly Model'!BQ246</f>
        <v>0</v>
      </c>
      <c r="AN148" s="1128">
        <f>'Quarterly Model'!BR246</f>
        <v>0</v>
      </c>
      <c r="AO148" s="1128">
        <f>'Quarterly Model'!BS246</f>
        <v>0</v>
      </c>
      <c r="AP148" s="1127">
        <f>'Quarterly Model'!BT246</f>
        <v>0</v>
      </c>
      <c r="AQ148" s="1128">
        <f>'Quarterly Model'!BU246</f>
        <v>0</v>
      </c>
      <c r="AR148" s="1128">
        <f>'Quarterly Model'!BV246</f>
        <v>0</v>
      </c>
      <c r="AS148" s="1128">
        <f>'Quarterly Model'!BW246</f>
        <v>0</v>
      </c>
      <c r="AT148" s="1128">
        <f>'Quarterly Model'!BX246</f>
        <v>0</v>
      </c>
      <c r="AU148" s="1127">
        <f>'Quarterly Model'!BY246</f>
        <v>0</v>
      </c>
      <c r="AV148" s="1128">
        <f>'Quarterly Model'!BZ246</f>
        <v>0</v>
      </c>
      <c r="AW148" s="1128">
        <f>'Quarterly Model'!CA246</f>
        <v>0</v>
      </c>
      <c r="AX148" s="1128">
        <f>'Quarterly Model'!CB246</f>
        <v>0</v>
      </c>
      <c r="AY148" s="1128">
        <f>'Quarterly Model'!CC246</f>
        <v>0</v>
      </c>
      <c r="AZ148" s="1127">
        <f>'Quarterly Model'!CD246</f>
        <v>0</v>
      </c>
    </row>
    <row r="149" spans="2:52" ht="14.25" thickTop="1" thickBot="1">
      <c r="B149" s="443" t="str">
        <f>'Quarterly Model'!B247</f>
        <v>Total liabilities</v>
      </c>
      <c r="C149" s="444">
        <f>'Quarterly Model'!AG247</f>
        <v>0</v>
      </c>
      <c r="D149" s="444">
        <f>'Quarterly Model'!AH247</f>
        <v>0</v>
      </c>
      <c r="E149" s="444">
        <f>'Quarterly Model'!AI247</f>
        <v>0</v>
      </c>
      <c r="F149" s="444">
        <f>'Quarterly Model'!AJ247</f>
        <v>0</v>
      </c>
      <c r="G149" s="1185">
        <f>'Quarterly Model'!AK247</f>
        <v>0</v>
      </c>
      <c r="H149" s="1186">
        <f>'Quarterly Model'!AL247</f>
        <v>0</v>
      </c>
      <c r="I149" s="1186">
        <f>'Quarterly Model'!AM247</f>
        <v>0</v>
      </c>
      <c r="J149" s="1186">
        <f>'Quarterly Model'!AN247</f>
        <v>0</v>
      </c>
      <c r="K149" s="1186">
        <f>'Quarterly Model'!AO247</f>
        <v>0</v>
      </c>
      <c r="L149" s="1185">
        <f>'Quarterly Model'!AP247</f>
        <v>11770</v>
      </c>
      <c r="M149" s="1186">
        <f>'Quarterly Model'!AQ247</f>
        <v>0</v>
      </c>
      <c r="N149" s="1186">
        <f>'Quarterly Model'!AR247</f>
        <v>0</v>
      </c>
      <c r="O149" s="1186">
        <f>'Quarterly Model'!AS247</f>
        <v>0</v>
      </c>
      <c r="P149" s="1186">
        <f>'Quarterly Model'!AT247</f>
        <v>13669</v>
      </c>
      <c r="Q149" s="1185">
        <f>'Quarterly Model'!AU247</f>
        <v>13669</v>
      </c>
      <c r="R149" s="1187">
        <f>'Quarterly Model'!AV247</f>
        <v>13939</v>
      </c>
      <c r="S149" s="1186">
        <f>'Quarterly Model'!AW247</f>
        <v>14171</v>
      </c>
      <c r="T149" s="1186">
        <f>'Quarterly Model'!AX247</f>
        <v>14682</v>
      </c>
      <c r="U149" s="1186">
        <f>'Quarterly Model'!AY247</f>
        <v>15122</v>
      </c>
      <c r="V149" s="1185">
        <f>'Quarterly Model'!AZ247</f>
        <v>15122</v>
      </c>
      <c r="W149" s="1186">
        <f>'Quarterly Model'!BA247</f>
        <v>15872</v>
      </c>
      <c r="X149" s="1186">
        <f>'Quarterly Model'!BB247</f>
        <v>16814</v>
      </c>
      <c r="Y149" s="1186">
        <f>'Quarterly Model'!BC247</f>
        <v>17164</v>
      </c>
      <c r="Z149" s="1186">
        <f>'Quarterly Model'!BD247</f>
        <v>18391</v>
      </c>
      <c r="AA149" s="1185">
        <f>'Quarterly Model'!BE247</f>
        <v>18391</v>
      </c>
      <c r="AB149" s="1186">
        <f>'Quarterly Model'!BF247</f>
        <v>18867</v>
      </c>
      <c r="AC149" s="1186">
        <f>'Quarterly Model'!BG247</f>
        <v>20292</v>
      </c>
      <c r="AD149" s="1186">
        <f>'Quarterly Model'!BH247</f>
        <v>22329</v>
      </c>
      <c r="AE149" s="1186">
        <f>'Quarterly Model'!BI247</f>
        <v>24780</v>
      </c>
      <c r="AF149" s="1185">
        <f>'Quarterly Model'!BJ247</f>
        <v>24780</v>
      </c>
      <c r="AG149" s="1186">
        <f>'Quarterly Model'!BK247</f>
        <v>27681</v>
      </c>
      <c r="AH149" s="1186">
        <f>'Quarterly Model'!BL247</f>
        <v>27941.221102597687</v>
      </c>
      <c r="AI149" s="1186">
        <f>'Quarterly Model'!BM247</f>
        <v>27808.352114014873</v>
      </c>
      <c r="AJ149" s="1186">
        <f>'Quarterly Model'!BN247</f>
        <v>28043.667205198974</v>
      </c>
      <c r="AK149" s="1185">
        <f>'Quarterly Model'!BO247</f>
        <v>28043.667205198974</v>
      </c>
      <c r="AL149" s="1186">
        <f>'Quarterly Model'!BP247</f>
        <v>27496.101916368898</v>
      </c>
      <c r="AM149" s="1186">
        <f>'Quarterly Model'!BQ247</f>
        <v>27566.201078468595</v>
      </c>
      <c r="AN149" s="1186">
        <f>'Quarterly Model'!BR247</f>
        <v>27619.25962879687</v>
      </c>
      <c r="AO149" s="1186">
        <f>'Quarterly Model'!BS247</f>
        <v>27920.167058349369</v>
      </c>
      <c r="AP149" s="1185">
        <f>'Quarterly Model'!BT247</f>
        <v>27920.167058349369</v>
      </c>
      <c r="AQ149" s="1186">
        <f>'Quarterly Model'!BU247</f>
        <v>27795.219426926811</v>
      </c>
      <c r="AR149" s="1186">
        <f>'Quarterly Model'!BV247</f>
        <v>27884.859194879344</v>
      </c>
      <c r="AS149" s="1186">
        <f>'Quarterly Model'!BW247</f>
        <v>27908.841485097077</v>
      </c>
      <c r="AT149" s="1186">
        <f>'Quarterly Model'!BX247</f>
        <v>28264.821915604134</v>
      </c>
      <c r="AU149" s="1185">
        <f>'Quarterly Model'!BY247</f>
        <v>28264.821915604134</v>
      </c>
      <c r="AV149" s="1186">
        <f>'Quarterly Model'!BZ247</f>
        <v>28103.892728915805</v>
      </c>
      <c r="AW149" s="1186">
        <f>'Quarterly Model'!CA247</f>
        <v>28211.104825906859</v>
      </c>
      <c r="AX149" s="1186">
        <f>'Quarterly Model'!CB247</f>
        <v>28255.63711357411</v>
      </c>
      <c r="AY149" s="1186">
        <f>'Quarterly Model'!CC247</f>
        <v>28672.721520838681</v>
      </c>
      <c r="AZ149" s="1185">
        <f>'Quarterly Model'!CD247</f>
        <v>28672.721520838681</v>
      </c>
    </row>
    <row r="150" spans="2:52" ht="13.5" thickTop="1">
      <c r="B150" s="448"/>
      <c r="C150" s="232"/>
      <c r="D150" s="232"/>
      <c r="E150" s="232"/>
      <c r="F150" s="232"/>
      <c r="G150" s="1118"/>
      <c r="H150" s="313"/>
      <c r="I150" s="313"/>
      <c r="J150" s="313"/>
      <c r="K150" s="313"/>
      <c r="L150" s="1118"/>
      <c r="M150" s="313"/>
      <c r="N150" s="313"/>
      <c r="O150" s="313"/>
      <c r="P150" s="313"/>
      <c r="Q150" s="1118"/>
      <c r="R150" s="1171"/>
      <c r="S150" s="313"/>
      <c r="T150" s="313"/>
      <c r="U150" s="313"/>
      <c r="V150" s="1118"/>
      <c r="W150" s="313"/>
      <c r="X150" s="313"/>
      <c r="Y150" s="313"/>
      <c r="Z150" s="313"/>
      <c r="AA150" s="1118"/>
      <c r="AB150" s="313"/>
      <c r="AC150" s="313"/>
      <c r="AD150" s="313"/>
      <c r="AE150" s="313"/>
      <c r="AF150" s="1118"/>
      <c r="AG150" s="313"/>
      <c r="AH150" s="313"/>
      <c r="AI150" s="313"/>
      <c r="AJ150" s="313"/>
      <c r="AK150" s="1118"/>
      <c r="AL150" s="313"/>
      <c r="AM150" s="313"/>
      <c r="AN150" s="313"/>
      <c r="AO150" s="313"/>
      <c r="AP150" s="1118"/>
      <c r="AQ150" s="313"/>
      <c r="AR150" s="313"/>
      <c r="AS150" s="313"/>
      <c r="AT150" s="313"/>
      <c r="AU150" s="1118"/>
      <c r="AV150" s="313"/>
      <c r="AW150" s="313"/>
      <c r="AX150" s="313"/>
      <c r="AY150" s="313"/>
      <c r="AZ150" s="1118"/>
    </row>
    <row r="151" spans="2:52">
      <c r="B151" s="446" t="str">
        <f>'Quarterly Model'!B249</f>
        <v>STOCKHOLDERS' EQUITY</v>
      </c>
      <c r="C151" s="232"/>
      <c r="D151" s="232"/>
      <c r="E151" s="232"/>
      <c r="F151" s="232"/>
      <c r="G151" s="1118"/>
      <c r="H151" s="313"/>
      <c r="I151" s="313"/>
      <c r="J151" s="313"/>
      <c r="K151" s="313"/>
      <c r="L151" s="1118"/>
      <c r="M151" s="313"/>
      <c r="N151" s="313"/>
      <c r="O151" s="313"/>
      <c r="P151" s="313"/>
      <c r="Q151" s="1118"/>
      <c r="R151" s="1171"/>
      <c r="S151" s="313"/>
      <c r="T151" s="313"/>
      <c r="U151" s="313"/>
      <c r="V151" s="1118"/>
      <c r="W151" s="313"/>
      <c r="X151" s="313"/>
      <c r="Y151" s="313"/>
      <c r="Z151" s="313"/>
      <c r="AA151" s="1118"/>
      <c r="AB151" s="313"/>
      <c r="AC151" s="313"/>
      <c r="AD151" s="313"/>
      <c r="AE151" s="313"/>
      <c r="AF151" s="1118"/>
      <c r="AG151" s="313"/>
      <c r="AH151" s="313"/>
      <c r="AI151" s="313"/>
      <c r="AJ151" s="313"/>
      <c r="AK151" s="1118"/>
      <c r="AL151" s="313"/>
      <c r="AM151" s="313"/>
      <c r="AN151" s="313"/>
      <c r="AO151" s="313"/>
      <c r="AP151" s="1118"/>
      <c r="AQ151" s="313"/>
      <c r="AR151" s="313"/>
      <c r="AS151" s="313"/>
      <c r="AT151" s="313"/>
      <c r="AU151" s="1118"/>
      <c r="AV151" s="313"/>
      <c r="AW151" s="313"/>
      <c r="AX151" s="313"/>
      <c r="AY151" s="313"/>
      <c r="AZ151" s="1118"/>
    </row>
    <row r="152" spans="2:52">
      <c r="B152" s="435" t="str">
        <f>'Quarterly Model'!B250</f>
        <v>Common Stock</v>
      </c>
      <c r="C152" s="145">
        <f>'Quarterly Model'!AG250</f>
        <v>0</v>
      </c>
      <c r="D152" s="145">
        <f>'Quarterly Model'!AH250</f>
        <v>0</v>
      </c>
      <c r="E152" s="145">
        <f>'Quarterly Model'!AI250</f>
        <v>0</v>
      </c>
      <c r="F152" s="145">
        <f>'Quarterly Model'!AJ250</f>
        <v>0</v>
      </c>
      <c r="G152" s="1127">
        <f>'Quarterly Model'!AK250</f>
        <v>0</v>
      </c>
      <c r="H152" s="1128">
        <f>'Quarterly Model'!AL250</f>
        <v>0</v>
      </c>
      <c r="I152" s="1128">
        <f>'Quarterly Model'!AM250</f>
        <v>0</v>
      </c>
      <c r="J152" s="1128">
        <f>'Quarterly Model'!AN250</f>
        <v>0</v>
      </c>
      <c r="K152" s="1128">
        <f>'Quarterly Model'!AO250</f>
        <v>0</v>
      </c>
      <c r="L152" s="1127">
        <f>'Quarterly Model'!AP250</f>
        <v>0</v>
      </c>
      <c r="M152" s="1128">
        <f>'Quarterly Model'!AQ250</f>
        <v>0</v>
      </c>
      <c r="N152" s="1128">
        <f>'Quarterly Model'!AR250</f>
        <v>0</v>
      </c>
      <c r="O152" s="1128">
        <f>'Quarterly Model'!AS250</f>
        <v>0</v>
      </c>
      <c r="P152" s="1128">
        <f>'Quarterly Model'!AT250</f>
        <v>0</v>
      </c>
      <c r="Q152" s="1127">
        <f>'Quarterly Model'!AU250</f>
        <v>0</v>
      </c>
      <c r="R152" s="1126">
        <f>'Quarterly Model'!AV250</f>
        <v>0</v>
      </c>
      <c r="S152" s="1128">
        <f>'Quarterly Model'!AW250</f>
        <v>0</v>
      </c>
      <c r="T152" s="1128">
        <f>'Quarterly Model'!AX250</f>
        <v>0</v>
      </c>
      <c r="U152" s="1128">
        <f>'Quarterly Model'!AY250</f>
        <v>0</v>
      </c>
      <c r="V152" s="1127">
        <f>'Quarterly Model'!AZ250</f>
        <v>0</v>
      </c>
      <c r="W152" s="1128">
        <f>'Quarterly Model'!BA250</f>
        <v>0</v>
      </c>
      <c r="X152" s="1128">
        <f>'Quarterly Model'!BB250</f>
        <v>0</v>
      </c>
      <c r="Y152" s="1128">
        <f>'Quarterly Model'!BC250</f>
        <v>0</v>
      </c>
      <c r="Z152" s="1128">
        <f>'Quarterly Model'!BD250</f>
        <v>0</v>
      </c>
      <c r="AA152" s="1127">
        <f>'Quarterly Model'!BE250</f>
        <v>0</v>
      </c>
      <c r="AB152" s="1128">
        <f>'Quarterly Model'!BF250</f>
        <v>0</v>
      </c>
      <c r="AC152" s="1128">
        <f>'Quarterly Model'!BG250</f>
        <v>0</v>
      </c>
      <c r="AD152" s="1128">
        <f>'Quarterly Model'!BH250</f>
        <v>0</v>
      </c>
      <c r="AE152" s="1128">
        <f>'Quarterly Model'!BI250</f>
        <v>0</v>
      </c>
      <c r="AF152" s="1127">
        <f>'Quarterly Model'!BJ250</f>
        <v>0</v>
      </c>
      <c r="AG152" s="1128">
        <f>'Quarterly Model'!BK250</f>
        <v>0</v>
      </c>
      <c r="AH152" s="1128">
        <f>'Quarterly Model'!BL250</f>
        <v>0</v>
      </c>
      <c r="AI152" s="1128">
        <f>'Quarterly Model'!BM250</f>
        <v>0</v>
      </c>
      <c r="AJ152" s="1128">
        <f>'Quarterly Model'!BN250</f>
        <v>0</v>
      </c>
      <c r="AK152" s="1127">
        <f>'Quarterly Model'!BO250</f>
        <v>0</v>
      </c>
      <c r="AL152" s="1128">
        <f>'Quarterly Model'!BP250</f>
        <v>0</v>
      </c>
      <c r="AM152" s="1128">
        <f>'Quarterly Model'!BQ250</f>
        <v>0</v>
      </c>
      <c r="AN152" s="1128">
        <f>'Quarterly Model'!BR250</f>
        <v>0</v>
      </c>
      <c r="AO152" s="1128">
        <f>'Quarterly Model'!BS250</f>
        <v>0</v>
      </c>
      <c r="AP152" s="1127">
        <f>'Quarterly Model'!BT250</f>
        <v>0</v>
      </c>
      <c r="AQ152" s="1128">
        <f>'Quarterly Model'!BU250</f>
        <v>0</v>
      </c>
      <c r="AR152" s="1128">
        <f>'Quarterly Model'!BV250</f>
        <v>0</v>
      </c>
      <c r="AS152" s="1128">
        <f>'Quarterly Model'!BW250</f>
        <v>0</v>
      </c>
      <c r="AT152" s="1128">
        <f>'Quarterly Model'!BX250</f>
        <v>0</v>
      </c>
      <c r="AU152" s="1127">
        <f>'Quarterly Model'!BY250</f>
        <v>0</v>
      </c>
      <c r="AV152" s="1128">
        <f>'Quarterly Model'!BZ250</f>
        <v>0</v>
      </c>
      <c r="AW152" s="1128">
        <f>'Quarterly Model'!CA250</f>
        <v>0</v>
      </c>
      <c r="AX152" s="1128">
        <f>'Quarterly Model'!CB250</f>
        <v>0</v>
      </c>
      <c r="AY152" s="1128">
        <f>'Quarterly Model'!CC250</f>
        <v>0</v>
      </c>
      <c r="AZ152" s="1127">
        <f>'Quarterly Model'!CD250</f>
        <v>0</v>
      </c>
    </row>
    <row r="153" spans="2:52">
      <c r="B153" s="435" t="str">
        <f>'Quarterly Model'!B251</f>
        <v>Retained Earnings</v>
      </c>
      <c r="C153" s="145">
        <f>'Quarterly Model'!AG251</f>
        <v>0</v>
      </c>
      <c r="D153" s="145">
        <f>'Quarterly Model'!AH251</f>
        <v>0</v>
      </c>
      <c r="E153" s="145">
        <f>'Quarterly Model'!AI251</f>
        <v>0</v>
      </c>
      <c r="F153" s="145">
        <f>'Quarterly Model'!AJ251</f>
        <v>0</v>
      </c>
      <c r="G153" s="1127">
        <f>'Quarterly Model'!AK251</f>
        <v>0</v>
      </c>
      <c r="H153" s="1128">
        <f>'Quarterly Model'!AL251</f>
        <v>0</v>
      </c>
      <c r="I153" s="1128">
        <f>'Quarterly Model'!AM251</f>
        <v>0</v>
      </c>
      <c r="J153" s="1128">
        <f>'Quarterly Model'!AN251</f>
        <v>0</v>
      </c>
      <c r="K153" s="1128">
        <f>'Quarterly Model'!AO251</f>
        <v>0</v>
      </c>
      <c r="L153" s="1127">
        <f>'Quarterly Model'!AP251</f>
        <v>-61</v>
      </c>
      <c r="M153" s="1128">
        <f>'Quarterly Model'!AQ251</f>
        <v>0</v>
      </c>
      <c r="N153" s="1128">
        <f>'Quarterly Model'!AR251</f>
        <v>0</v>
      </c>
      <c r="O153" s="1128">
        <f>'Quarterly Model'!AS251</f>
        <v>0</v>
      </c>
      <c r="P153" s="1128">
        <f>'Quarterly Model'!AT251</f>
        <v>110</v>
      </c>
      <c r="Q153" s="1127">
        <f>'Quarterly Model'!AU251</f>
        <v>110</v>
      </c>
      <c r="R153" s="1126">
        <f>'Quarterly Model'!AV251</f>
        <v>142</v>
      </c>
      <c r="S153" s="1128">
        <f>'Quarterly Model'!AW251</f>
        <v>24</v>
      </c>
      <c r="T153" s="1128">
        <f>'Quarterly Model'!AX251</f>
        <v>301</v>
      </c>
      <c r="U153" s="1128">
        <f>'Quarterly Model'!AY251</f>
        <v>668</v>
      </c>
      <c r="V153" s="1127">
        <f>'Quarterly Model'!AZ251</f>
        <v>668</v>
      </c>
      <c r="W153" s="1128">
        <f>'Quarterly Model'!BA251</f>
        <v>437</v>
      </c>
      <c r="X153" s="1128">
        <f>'Quarterly Model'!BB251</f>
        <v>460</v>
      </c>
      <c r="Y153" s="1128">
        <f>'Quarterly Model'!BC251</f>
        <v>734</v>
      </c>
      <c r="Z153" s="1128">
        <f>'Quarterly Model'!BD251</f>
        <v>1074</v>
      </c>
      <c r="AA153" s="1127">
        <f>'Quarterly Model'!BE251</f>
        <v>1074</v>
      </c>
      <c r="AB153" s="1128">
        <f>'Quarterly Model'!BF251</f>
        <v>900</v>
      </c>
      <c r="AC153" s="1128">
        <f>'Quarterly Model'!BG251</f>
        <v>1223</v>
      </c>
      <c r="AD153" s="1128">
        <f>'Quarterly Model'!BH251</f>
        <v>1503</v>
      </c>
      <c r="AE153" s="1128">
        <f>'Quarterly Model'!BI251</f>
        <v>1822</v>
      </c>
      <c r="AF153" s="1127">
        <f>'Quarterly Model'!BJ251</f>
        <v>1822</v>
      </c>
      <c r="AG153" s="1128">
        <f>'Quarterly Model'!BK251</f>
        <v>523</v>
      </c>
      <c r="AH153" s="1128">
        <f>'Quarterly Model'!BL251</f>
        <v>574.67312481934937</v>
      </c>
      <c r="AI153" s="1128">
        <f>'Quarterly Model'!BM251</f>
        <v>596.84549694231418</v>
      </c>
      <c r="AJ153" s="1128">
        <f>'Quarterly Model'!BN251</f>
        <v>747.09378608903239</v>
      </c>
      <c r="AK153" s="1127">
        <f>'Quarterly Model'!BO251</f>
        <v>747.09378608903239</v>
      </c>
      <c r="AL153" s="1128">
        <f>'Quarterly Model'!BP251</f>
        <v>872.06339531790127</v>
      </c>
      <c r="AM153" s="1128">
        <f>'Quarterly Model'!BQ251</f>
        <v>1025.6404590601524</v>
      </c>
      <c r="AN153" s="1128">
        <f>'Quarterly Model'!BR251</f>
        <v>1175.1746327461369</v>
      </c>
      <c r="AO153" s="1128">
        <f>'Quarterly Model'!BS251</f>
        <v>1485.6714352497393</v>
      </c>
      <c r="AP153" s="1127">
        <f>'Quarterly Model'!BT251</f>
        <v>1485.6714352497393</v>
      </c>
      <c r="AQ153" s="1128">
        <f>'Quarterly Model'!BU251</f>
        <v>1620.4568797415845</v>
      </c>
      <c r="AR153" s="1128">
        <f>'Quarterly Model'!BV251</f>
        <v>1796.8284529429293</v>
      </c>
      <c r="AS153" s="1128">
        <f>'Quarterly Model'!BW251</f>
        <v>1952.1980154613789</v>
      </c>
      <c r="AT153" s="1128">
        <f>'Quarterly Model'!BX251</f>
        <v>2307.2425111010825</v>
      </c>
      <c r="AU153" s="1127">
        <f>'Quarterly Model'!BY251</f>
        <v>2307.2425111010825</v>
      </c>
      <c r="AV153" s="1128">
        <f>'Quarterly Model'!BZ251</f>
        <v>2603.699827660042</v>
      </c>
      <c r="AW153" s="1128">
        <f>'Quarterly Model'!CA251</f>
        <v>2954.9525435369242</v>
      </c>
      <c r="AX153" s="1128">
        <f>'Quarterly Model'!CB251</f>
        <v>3304.5479570259358</v>
      </c>
      <c r="AY153" s="1128">
        <f>'Quarterly Model'!CC251</f>
        <v>3905.6685467115421</v>
      </c>
      <c r="AZ153" s="1127">
        <f>'Quarterly Model'!CD251</f>
        <v>3905.6685467115421</v>
      </c>
    </row>
    <row r="154" spans="2:52">
      <c r="B154" s="449" t="str">
        <f>'Quarterly Model'!B252</f>
        <v>Additional paid-in capital</v>
      </c>
      <c r="C154" s="145">
        <f>'Quarterly Model'!AG252</f>
        <v>0</v>
      </c>
      <c r="D154" s="145">
        <f>'Quarterly Model'!AH252</f>
        <v>0</v>
      </c>
      <c r="E154" s="145">
        <f>'Quarterly Model'!AI252</f>
        <v>0</v>
      </c>
      <c r="F154" s="145">
        <f>'Quarterly Model'!AJ252</f>
        <v>0</v>
      </c>
      <c r="G154" s="1127">
        <f>'Quarterly Model'!AK252</f>
        <v>0</v>
      </c>
      <c r="H154" s="1128">
        <f>'Quarterly Model'!AL252</f>
        <v>0</v>
      </c>
      <c r="I154" s="1128">
        <f>'Quarterly Model'!AM252</f>
        <v>0</v>
      </c>
      <c r="J154" s="1128">
        <f>'Quarterly Model'!AN252</f>
        <v>0</v>
      </c>
      <c r="K154" s="1128">
        <f>'Quarterly Model'!AO252</f>
        <v>0</v>
      </c>
      <c r="L154" s="1127">
        <f>'Quarterly Model'!AP252</f>
        <v>12716</v>
      </c>
      <c r="M154" s="1128">
        <f>'Quarterly Model'!AQ252</f>
        <v>0</v>
      </c>
      <c r="N154" s="1128">
        <f>'Quarterly Model'!AR252</f>
        <v>0</v>
      </c>
      <c r="O154" s="1128">
        <f>'Quarterly Model'!AS252</f>
        <v>0</v>
      </c>
      <c r="P154" s="1128">
        <f>'Quarterly Model'!AT252</f>
        <v>12716</v>
      </c>
      <c r="Q154" s="1127">
        <f>'Quarterly Model'!AU252</f>
        <v>12716</v>
      </c>
      <c r="R154" s="1126">
        <f>'Quarterly Model'!AV252</f>
        <v>12716</v>
      </c>
      <c r="S154" s="1128">
        <f>'Quarterly Model'!AW252</f>
        <v>12716</v>
      </c>
      <c r="T154" s="1128">
        <f>'Quarterly Model'!AX252</f>
        <v>12910</v>
      </c>
      <c r="U154" s="1128">
        <f>'Quarterly Model'!AY252</f>
        <v>13100</v>
      </c>
      <c r="V154" s="1127">
        <f>'Quarterly Model'!AZ252</f>
        <v>13100</v>
      </c>
      <c r="W154" s="1128">
        <f>'Quarterly Model'!BA252</f>
        <v>13188</v>
      </c>
      <c r="X154" s="1128">
        <f>'Quarterly Model'!BB252</f>
        <v>13305</v>
      </c>
      <c r="Y154" s="1128">
        <f>'Quarterly Model'!BC252</f>
        <v>13419</v>
      </c>
      <c r="Z154" s="1128">
        <f>'Quarterly Model'!BD252</f>
        <v>13579</v>
      </c>
      <c r="AA154" s="1127">
        <f>'Quarterly Model'!BE252</f>
        <v>13579</v>
      </c>
      <c r="AB154" s="1128">
        <f>'Quarterly Model'!BF252</f>
        <v>13724</v>
      </c>
      <c r="AC154" s="1128">
        <f>'Quarterly Model'!BG252</f>
        <v>13873</v>
      </c>
      <c r="AD154" s="1128">
        <f>'Quarterly Model'!BH252</f>
        <v>14071</v>
      </c>
      <c r="AE154" s="1128">
        <f>'Quarterly Model'!BI252</f>
        <v>14314</v>
      </c>
      <c r="AF154" s="1127">
        <f>'Quarterly Model'!BJ252</f>
        <v>14314</v>
      </c>
      <c r="AG154" s="1128">
        <f>'Quarterly Model'!BK252</f>
        <v>14287</v>
      </c>
      <c r="AH154" s="1128">
        <f>'Quarterly Model'!BL252</f>
        <v>14536.884001744811</v>
      </c>
      <c r="AI154" s="1128">
        <f>'Quarterly Model'!BM252</f>
        <v>14776.364811001522</v>
      </c>
      <c r="AJ154" s="1128">
        <f>'Quarterly Model'!BN252</f>
        <v>15053.766332922498</v>
      </c>
      <c r="AK154" s="1127">
        <f>'Quarterly Model'!BO252</f>
        <v>15053.766332922498</v>
      </c>
      <c r="AL154" s="1128">
        <f>'Quarterly Model'!BP252</f>
        <v>15298.718905958191</v>
      </c>
      <c r="AM154" s="1128">
        <f>'Quarterly Model'!BQ252</f>
        <v>15553.377516823073</v>
      </c>
      <c r="AN154" s="1128">
        <f>'Quarterly Model'!BR252</f>
        <v>15815.382696194947</v>
      </c>
      <c r="AO154" s="1128">
        <f>'Quarterly Model'!BS252</f>
        <v>16119.051981197166</v>
      </c>
      <c r="AP154" s="1127">
        <f>'Quarterly Model'!BT252</f>
        <v>16119.051981197166</v>
      </c>
      <c r="AQ154" s="1128">
        <f>'Quarterly Model'!BU252</f>
        <v>16412.580046018702</v>
      </c>
      <c r="AR154" s="1128">
        <f>'Quarterly Model'!BV252</f>
        <v>16718.830062522731</v>
      </c>
      <c r="AS154" s="1128">
        <f>'Quarterly Model'!BW252</f>
        <v>17028.483719446125</v>
      </c>
      <c r="AT154" s="1128">
        <f>'Quarterly Model'!BX252</f>
        <v>17388.659214391482</v>
      </c>
      <c r="AU154" s="1127">
        <f>'Quarterly Model'!BY252</f>
        <v>17388.659214391482</v>
      </c>
      <c r="AV154" s="1128">
        <f>'Quarterly Model'!BZ252</f>
        <v>17706.797164261752</v>
      </c>
      <c r="AW154" s="1128">
        <f>'Quarterly Model'!CA252</f>
        <v>18039.285040960054</v>
      </c>
      <c r="AX154" s="1128">
        <f>'Quarterly Model'!CB252</f>
        <v>18377.733393084589</v>
      </c>
      <c r="AY154" s="1128">
        <f>'Quarterly Model'!CC252</f>
        <v>18772.006888950691</v>
      </c>
      <c r="AZ154" s="1127">
        <f>'Quarterly Model'!CD252</f>
        <v>18772.006888950691</v>
      </c>
    </row>
    <row r="155" spans="2:52">
      <c r="B155" s="450" t="str">
        <f>'Quarterly Model'!B253</f>
        <v>Accumulated other comprehensive loss</v>
      </c>
      <c r="C155" s="145">
        <f>'Quarterly Model'!AG253</f>
        <v>0</v>
      </c>
      <c r="D155" s="145">
        <f>'Quarterly Model'!AH253</f>
        <v>0</v>
      </c>
      <c r="E155" s="145">
        <f>'Quarterly Model'!AI253</f>
        <v>0</v>
      </c>
      <c r="F155" s="145">
        <f>'Quarterly Model'!AJ253</f>
        <v>0</v>
      </c>
      <c r="G155" s="1127">
        <f>'Quarterly Model'!AK253</f>
        <v>0</v>
      </c>
      <c r="H155" s="1128">
        <f>'Quarterly Model'!AL253</f>
        <v>0</v>
      </c>
      <c r="I155" s="1128">
        <f>'Quarterly Model'!AM253</f>
        <v>0</v>
      </c>
      <c r="J155" s="1128">
        <f>'Quarterly Model'!AN253</f>
        <v>0</v>
      </c>
      <c r="K155" s="1128">
        <f>'Quarterly Model'!AO253</f>
        <v>0</v>
      </c>
      <c r="L155" s="1127">
        <f>'Quarterly Model'!AP253</f>
        <v>0</v>
      </c>
      <c r="M155" s="1128">
        <f>'Quarterly Model'!AQ253</f>
        <v>0</v>
      </c>
      <c r="N155" s="1128">
        <f>'Quarterly Model'!AR253</f>
        <v>0</v>
      </c>
      <c r="O155" s="1128">
        <f>'Quarterly Model'!AS253</f>
        <v>0</v>
      </c>
      <c r="P155" s="1128">
        <f>'Quarterly Model'!AT253</f>
        <v>0</v>
      </c>
      <c r="Q155" s="1127">
        <f>'Quarterly Model'!AU253</f>
        <v>0</v>
      </c>
      <c r="R155" s="1126">
        <f>'Quarterly Model'!AV253</f>
        <v>0</v>
      </c>
      <c r="S155" s="1128">
        <f>'Quarterly Model'!AW253</f>
        <v>0</v>
      </c>
      <c r="T155" s="1128">
        <f>'Quarterly Model'!AX253</f>
        <v>3</v>
      </c>
      <c r="U155" s="1128">
        <f>'Quarterly Model'!AY253</f>
        <v>-9</v>
      </c>
      <c r="V155" s="1127">
        <f>'Quarterly Model'!AZ253</f>
        <v>-9</v>
      </c>
      <c r="W155" s="1128">
        <f>'Quarterly Model'!BA253</f>
        <v>-27</v>
      </c>
      <c r="X155" s="1128">
        <f>'Quarterly Model'!BB253</f>
        <v>52</v>
      </c>
      <c r="Y155" s="1128">
        <f>'Quarterly Model'!BC253</f>
        <v>39</v>
      </c>
      <c r="Z155" s="1128">
        <f>'Quarterly Model'!BD253</f>
        <v>59</v>
      </c>
      <c r="AA155" s="1127">
        <f>'Quarterly Model'!BE253</f>
        <v>59</v>
      </c>
      <c r="AB155" s="1128">
        <f>'Quarterly Model'!BF253</f>
        <v>2</v>
      </c>
      <c r="AC155" s="1128">
        <f>'Quarterly Model'!BG253</f>
        <v>-98</v>
      </c>
      <c r="AD155" s="1128">
        <f>'Quarterly Model'!BH253</f>
        <v>-142</v>
      </c>
      <c r="AE155" s="1128">
        <f>'Quarterly Model'!BI253</f>
        <v>-142</v>
      </c>
      <c r="AF155" s="1127">
        <f>'Quarterly Model'!BJ253</f>
        <v>-142</v>
      </c>
      <c r="AG155" s="1128">
        <f>'Quarterly Model'!BK253</f>
        <v>-169</v>
      </c>
      <c r="AH155" s="1128">
        <f>'Quarterly Model'!BL253</f>
        <v>-169</v>
      </c>
      <c r="AI155" s="1128">
        <f>'Quarterly Model'!BM253</f>
        <v>-169</v>
      </c>
      <c r="AJ155" s="1128">
        <f>'Quarterly Model'!BN253</f>
        <v>-169</v>
      </c>
      <c r="AK155" s="1127">
        <f>'Quarterly Model'!BO253</f>
        <v>-169</v>
      </c>
      <c r="AL155" s="1128">
        <f>'Quarterly Model'!BP253</f>
        <v>-169</v>
      </c>
      <c r="AM155" s="1128">
        <f>'Quarterly Model'!BQ253</f>
        <v>-169</v>
      </c>
      <c r="AN155" s="1128">
        <f>'Quarterly Model'!BR253</f>
        <v>-169</v>
      </c>
      <c r="AO155" s="1128">
        <f>'Quarterly Model'!BS253</f>
        <v>-169</v>
      </c>
      <c r="AP155" s="1127">
        <f>'Quarterly Model'!BT253</f>
        <v>-169</v>
      </c>
      <c r="AQ155" s="1128">
        <f>'Quarterly Model'!BU253</f>
        <v>-169</v>
      </c>
      <c r="AR155" s="1128">
        <f>'Quarterly Model'!BV253</f>
        <v>-169</v>
      </c>
      <c r="AS155" s="1128">
        <f>'Quarterly Model'!BW253</f>
        <v>-169</v>
      </c>
      <c r="AT155" s="1128">
        <f>'Quarterly Model'!BX253</f>
        <v>-169</v>
      </c>
      <c r="AU155" s="1127">
        <f>'Quarterly Model'!BY253</f>
        <v>-169</v>
      </c>
      <c r="AV155" s="1128">
        <f>'Quarterly Model'!BZ253</f>
        <v>-169</v>
      </c>
      <c r="AW155" s="1128">
        <f>'Quarterly Model'!CA253</f>
        <v>-169</v>
      </c>
      <c r="AX155" s="1128">
        <f>'Quarterly Model'!CB253</f>
        <v>-169</v>
      </c>
      <c r="AY155" s="1128">
        <f>'Quarterly Model'!CC253</f>
        <v>-169</v>
      </c>
      <c r="AZ155" s="1127">
        <f>'Quarterly Model'!CD253</f>
        <v>-169</v>
      </c>
    </row>
    <row r="156" spans="2:52" ht="13.5" thickBot="1">
      <c r="B156" s="451" t="str">
        <f>'Quarterly Model'!B254</f>
        <v>Total stockholders' equity</v>
      </c>
      <c r="C156" s="386">
        <f>'Quarterly Model'!AG254</f>
        <v>0</v>
      </c>
      <c r="D156" s="386">
        <f>'Quarterly Model'!AH254</f>
        <v>0</v>
      </c>
      <c r="E156" s="386">
        <f>'Quarterly Model'!AI254</f>
        <v>0</v>
      </c>
      <c r="F156" s="386">
        <f>'Quarterly Model'!AJ254</f>
        <v>0</v>
      </c>
      <c r="G156" s="1174">
        <f>'Quarterly Model'!AK254</f>
        <v>0</v>
      </c>
      <c r="H156" s="1175">
        <f>'Quarterly Model'!AL254</f>
        <v>0</v>
      </c>
      <c r="I156" s="1175">
        <f>'Quarterly Model'!AM254</f>
        <v>0</v>
      </c>
      <c r="J156" s="1175">
        <f>'Quarterly Model'!AN254</f>
        <v>0</v>
      </c>
      <c r="K156" s="1175">
        <f>'Quarterly Model'!AO254</f>
        <v>0</v>
      </c>
      <c r="L156" s="1174">
        <f>'Quarterly Model'!AP254</f>
        <v>12655</v>
      </c>
      <c r="M156" s="1175">
        <f>'Quarterly Model'!AQ254</f>
        <v>0</v>
      </c>
      <c r="N156" s="1175">
        <f>'Quarterly Model'!AR254</f>
        <v>0</v>
      </c>
      <c r="O156" s="1175">
        <f>'Quarterly Model'!AS254</f>
        <v>0</v>
      </c>
      <c r="P156" s="1175">
        <f>'Quarterly Model'!AT254</f>
        <v>8248</v>
      </c>
      <c r="Q156" s="1174">
        <f>'Quarterly Model'!AU254</f>
        <v>12826</v>
      </c>
      <c r="R156" s="1176">
        <f>'Quarterly Model'!AV254</f>
        <v>12858</v>
      </c>
      <c r="S156" s="1175">
        <f>'Quarterly Model'!AW254</f>
        <v>12740</v>
      </c>
      <c r="T156" s="1175">
        <f>'Quarterly Model'!AX254</f>
        <v>13214</v>
      </c>
      <c r="U156" s="1175">
        <f>'Quarterly Model'!AY254</f>
        <v>13759</v>
      </c>
      <c r="V156" s="1174">
        <f>'Quarterly Model'!AZ254</f>
        <v>13759</v>
      </c>
      <c r="W156" s="1175">
        <f>'Quarterly Model'!BA254</f>
        <v>13598</v>
      </c>
      <c r="X156" s="1175">
        <f>'Quarterly Model'!BB254</f>
        <v>13817</v>
      </c>
      <c r="Y156" s="1175">
        <f>'Quarterly Model'!BC254</f>
        <v>14192</v>
      </c>
      <c r="Z156" s="1175">
        <f>'Quarterly Model'!BD254</f>
        <v>14712</v>
      </c>
      <c r="AA156" s="1174">
        <f>'Quarterly Model'!BE254</f>
        <v>14712</v>
      </c>
      <c r="AB156" s="1175">
        <f>'Quarterly Model'!BF254</f>
        <v>14626</v>
      </c>
      <c r="AC156" s="1175">
        <f>'Quarterly Model'!BG254</f>
        <v>14998</v>
      </c>
      <c r="AD156" s="1175">
        <f>'Quarterly Model'!BH254</f>
        <v>15432</v>
      </c>
      <c r="AE156" s="1175">
        <f>'Quarterly Model'!BI254</f>
        <v>15994</v>
      </c>
      <c r="AF156" s="1174">
        <f>'Quarterly Model'!BJ254</f>
        <v>15994</v>
      </c>
      <c r="AG156" s="1175">
        <f>'Quarterly Model'!BK254</f>
        <v>14641</v>
      </c>
      <c r="AH156" s="1175">
        <f>'Quarterly Model'!BL254</f>
        <v>14942.557126564161</v>
      </c>
      <c r="AI156" s="1175">
        <f>'Quarterly Model'!BM254</f>
        <v>15204.210307943837</v>
      </c>
      <c r="AJ156" s="1175">
        <f>'Quarterly Model'!BN254</f>
        <v>15631.86011901153</v>
      </c>
      <c r="AK156" s="1174">
        <f>'Quarterly Model'!BO254</f>
        <v>15631.86011901153</v>
      </c>
      <c r="AL156" s="1175">
        <f>'Quarterly Model'!BP254</f>
        <v>16001.782301276093</v>
      </c>
      <c r="AM156" s="1175">
        <f>'Quarterly Model'!BQ254</f>
        <v>16410.017975883224</v>
      </c>
      <c r="AN156" s="1175">
        <f>'Quarterly Model'!BR254</f>
        <v>16821.557328941082</v>
      </c>
      <c r="AO156" s="1175">
        <f>'Quarterly Model'!BS254</f>
        <v>17435.723416446905</v>
      </c>
      <c r="AP156" s="1174">
        <f>'Quarterly Model'!BT254</f>
        <v>17435.723416446905</v>
      </c>
      <c r="AQ156" s="1175">
        <f>'Quarterly Model'!BU254</f>
        <v>17864.036925760287</v>
      </c>
      <c r="AR156" s="1175">
        <f>'Quarterly Model'!BV254</f>
        <v>18346.65851546566</v>
      </c>
      <c r="AS156" s="1175">
        <f>'Quarterly Model'!BW254</f>
        <v>18811.681734907503</v>
      </c>
      <c r="AT156" s="1175">
        <f>'Quarterly Model'!BX254</f>
        <v>19526.901725492564</v>
      </c>
      <c r="AU156" s="1174">
        <f>'Quarterly Model'!BY254</f>
        <v>19526.901725492564</v>
      </c>
      <c r="AV156" s="1175">
        <f>'Quarterly Model'!BZ254</f>
        <v>20141.496991921795</v>
      </c>
      <c r="AW156" s="1175">
        <f>'Quarterly Model'!CA254</f>
        <v>20825.237584496979</v>
      </c>
      <c r="AX156" s="1175">
        <f>'Quarterly Model'!CB254</f>
        <v>21513.281350110527</v>
      </c>
      <c r="AY156" s="1175">
        <f>'Quarterly Model'!CC254</f>
        <v>22508.675435662233</v>
      </c>
      <c r="AZ156" s="1174">
        <f>'Quarterly Model'!CD254</f>
        <v>22508.675435662233</v>
      </c>
    </row>
    <row r="157" spans="2:52" ht="13.5" thickTop="1">
      <c r="B157" s="452" t="str">
        <f>'Quarterly Model'!B255</f>
        <v>Total Liabilities &amp; Stockholders' Equity</v>
      </c>
      <c r="C157" s="453">
        <f>'Quarterly Model'!AG255</f>
        <v>0</v>
      </c>
      <c r="D157" s="453">
        <f>'Quarterly Model'!AH255</f>
        <v>0</v>
      </c>
      <c r="E157" s="453">
        <f>'Quarterly Model'!AI255</f>
        <v>0</v>
      </c>
      <c r="F157" s="453">
        <f>'Quarterly Model'!AJ255</f>
        <v>0</v>
      </c>
      <c r="G157" s="1188">
        <f>'Quarterly Model'!AK255</f>
        <v>0</v>
      </c>
      <c r="H157" s="1189">
        <f>'Quarterly Model'!AL255</f>
        <v>0</v>
      </c>
      <c r="I157" s="1189">
        <f>'Quarterly Model'!AM255</f>
        <v>0</v>
      </c>
      <c r="J157" s="1189">
        <f>'Quarterly Model'!AN255</f>
        <v>0</v>
      </c>
      <c r="K157" s="1189">
        <f>'Quarterly Model'!AO255</f>
        <v>0</v>
      </c>
      <c r="L157" s="1188">
        <f>'Quarterly Model'!AP255</f>
        <v>24425</v>
      </c>
      <c r="M157" s="1189">
        <f>'Quarterly Model'!AQ255</f>
        <v>0</v>
      </c>
      <c r="N157" s="1189">
        <f>'Quarterly Model'!AR255</f>
        <v>0</v>
      </c>
      <c r="O157" s="1189">
        <f>'Quarterly Model'!AS255</f>
        <v>0</v>
      </c>
      <c r="P157" s="1189">
        <f>'Quarterly Model'!AT255</f>
        <v>21917</v>
      </c>
      <c r="Q157" s="1188">
        <f>'Quarterly Model'!AU255</f>
        <v>26495</v>
      </c>
      <c r="R157" s="1190">
        <f>'Quarterly Model'!AV255</f>
        <v>26797</v>
      </c>
      <c r="S157" s="1189">
        <f>'Quarterly Model'!AW255</f>
        <v>26911</v>
      </c>
      <c r="T157" s="1189">
        <f>'Quarterly Model'!AX255</f>
        <v>27896</v>
      </c>
      <c r="U157" s="1189">
        <f>'Quarterly Model'!AY255</f>
        <v>28881</v>
      </c>
      <c r="V157" s="1188">
        <f>'Quarterly Model'!AZ255</f>
        <v>28881</v>
      </c>
      <c r="W157" s="1189">
        <f>'Quarterly Model'!BA255</f>
        <v>29470</v>
      </c>
      <c r="X157" s="1189">
        <f>'Quarterly Model'!BB255</f>
        <v>30631</v>
      </c>
      <c r="Y157" s="1189">
        <f>'Quarterly Model'!BC255</f>
        <v>31356</v>
      </c>
      <c r="Z157" s="1189">
        <f>'Quarterly Model'!BD255</f>
        <v>33103</v>
      </c>
      <c r="AA157" s="1188">
        <f>'Quarterly Model'!BE255</f>
        <v>33103</v>
      </c>
      <c r="AB157" s="1189">
        <f>'Quarterly Model'!BF255</f>
        <v>33493</v>
      </c>
      <c r="AC157" s="1189">
        <f>'Quarterly Model'!BG255</f>
        <v>35290</v>
      </c>
      <c r="AD157" s="1189">
        <f>'Quarterly Model'!BH255</f>
        <v>37761</v>
      </c>
      <c r="AE157" s="1189">
        <f>'Quarterly Model'!BI255</f>
        <v>40774</v>
      </c>
      <c r="AF157" s="1188">
        <f>'Quarterly Model'!BJ255</f>
        <v>40774</v>
      </c>
      <c r="AG157" s="1189">
        <f>'Quarterly Model'!BK255</f>
        <v>42322</v>
      </c>
      <c r="AH157" s="1189">
        <f>'Quarterly Model'!BL255</f>
        <v>42883.77822916185</v>
      </c>
      <c r="AI157" s="1189">
        <f>'Quarterly Model'!BM255</f>
        <v>43012.562421958712</v>
      </c>
      <c r="AJ157" s="1189">
        <f>'Quarterly Model'!BN255</f>
        <v>43675.527324210503</v>
      </c>
      <c r="AK157" s="1188">
        <f>'Quarterly Model'!BO255</f>
        <v>43675.527324210503</v>
      </c>
      <c r="AL157" s="1189">
        <f>'Quarterly Model'!BP255</f>
        <v>43497.884217644991</v>
      </c>
      <c r="AM157" s="1189">
        <f>'Quarterly Model'!BQ255</f>
        <v>43976.219054351823</v>
      </c>
      <c r="AN157" s="1189">
        <f>'Quarterly Model'!BR255</f>
        <v>44440.816957737952</v>
      </c>
      <c r="AO157" s="1189">
        <f>'Quarterly Model'!BS255</f>
        <v>45355.890474796273</v>
      </c>
      <c r="AP157" s="1188">
        <f>'Quarterly Model'!BT255</f>
        <v>45355.890474796273</v>
      </c>
      <c r="AQ157" s="1189">
        <f>'Quarterly Model'!BU255</f>
        <v>45659.256352687094</v>
      </c>
      <c r="AR157" s="1189">
        <f>'Quarterly Model'!BV255</f>
        <v>46231.517710345004</v>
      </c>
      <c r="AS157" s="1189">
        <f>'Quarterly Model'!BW255</f>
        <v>46720.523220004579</v>
      </c>
      <c r="AT157" s="1189">
        <f>'Quarterly Model'!BX255</f>
        <v>47791.723641096702</v>
      </c>
      <c r="AU157" s="1188">
        <f>'Quarterly Model'!BY255</f>
        <v>47791.723641096702</v>
      </c>
      <c r="AV157" s="1189">
        <f>'Quarterly Model'!BZ255</f>
        <v>48245.3897208376</v>
      </c>
      <c r="AW157" s="1189">
        <f>'Quarterly Model'!CA255</f>
        <v>49036.342410403842</v>
      </c>
      <c r="AX157" s="1189">
        <f>'Quarterly Model'!CB255</f>
        <v>49768.918463684633</v>
      </c>
      <c r="AY157" s="1189">
        <f>'Quarterly Model'!CC255</f>
        <v>51181.396956500917</v>
      </c>
      <c r="AZ157" s="1188">
        <f>'Quarterly Model'!CD255</f>
        <v>51181.396956500917</v>
      </c>
    </row>
  </sheetData>
  <mergeCells count="3">
    <mergeCell ref="B4:B5"/>
    <mergeCell ref="B68:B69"/>
    <mergeCell ref="B120:B121"/>
  </mergeCells>
  <pageMargins left="0" right="0" top="0" bottom="0" header="0" footer="0"/>
  <pageSetup paperSize="5" scale="30"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tabColor theme="7"/>
    <pageSetUpPr fitToPage="1"/>
  </sheetPr>
  <dimension ref="A1:AM74"/>
  <sheetViews>
    <sheetView showGridLines="0" zoomScale="80" zoomScaleNormal="80" workbookViewId="0"/>
  </sheetViews>
  <sheetFormatPr defaultRowHeight="12.75"/>
  <cols>
    <col min="1" max="1" width="2.42578125" customWidth="1"/>
    <col min="2" max="2" width="35.140625" customWidth="1"/>
    <col min="3" max="4" width="11.28515625" customWidth="1"/>
    <col min="5" max="15" width="12.140625" customWidth="1"/>
    <col min="16" max="16" width="23.85546875" customWidth="1"/>
    <col min="17" max="17" width="21.7109375" bestFit="1" customWidth="1"/>
    <col min="18" max="18" width="24.140625" bestFit="1" customWidth="1"/>
    <col min="19" max="21" width="9.28515625" bestFit="1" customWidth="1"/>
    <col min="22" max="24" width="9.5703125" bestFit="1" customWidth="1"/>
    <col min="25" max="25" width="9.42578125" bestFit="1" customWidth="1"/>
    <col min="26" max="26" width="9.5703125" bestFit="1" customWidth="1"/>
    <col min="28" max="28" width="10.28515625" customWidth="1"/>
    <col min="29" max="29" width="21" customWidth="1"/>
    <col min="30" max="36" width="9.28515625" bestFit="1" customWidth="1"/>
    <col min="37" max="37" width="9.5703125" bestFit="1" customWidth="1"/>
    <col min="38" max="38" width="9.42578125" bestFit="1" customWidth="1"/>
    <col min="39" max="39" width="9.5703125" bestFit="1" customWidth="1"/>
  </cols>
  <sheetData>
    <row r="1" spans="1:39">
      <c r="A1" s="1191"/>
      <c r="B1" s="1191"/>
      <c r="C1" s="1191"/>
      <c r="D1" s="1192"/>
      <c r="E1" s="1192"/>
      <c r="F1" s="1191"/>
      <c r="G1" s="1192"/>
      <c r="H1" s="1192"/>
      <c r="I1" s="1191"/>
      <c r="J1" s="1192"/>
      <c r="K1" s="1192"/>
      <c r="L1" s="1191"/>
      <c r="M1" s="1191"/>
      <c r="N1" s="1191"/>
      <c r="O1" s="1191"/>
      <c r="P1" s="1191"/>
      <c r="Q1" s="1191"/>
      <c r="R1" s="1191"/>
      <c r="S1" s="1191"/>
      <c r="T1" s="1191"/>
      <c r="U1" s="1191"/>
      <c r="V1" s="1191"/>
      <c r="W1" s="1191"/>
      <c r="X1" s="1191"/>
      <c r="Y1" s="1191"/>
      <c r="Z1" s="1191"/>
      <c r="AA1" s="1191"/>
      <c r="AB1" s="1191"/>
      <c r="AC1" s="1191"/>
      <c r="AD1" s="1191"/>
      <c r="AE1" s="1191"/>
      <c r="AF1" s="1191"/>
      <c r="AG1" s="1191"/>
      <c r="AH1" s="1191"/>
      <c r="AI1" s="1191"/>
      <c r="AJ1" s="1191"/>
      <c r="AK1" s="1191"/>
      <c r="AL1" s="1191"/>
      <c r="AM1" s="1191"/>
    </row>
    <row r="2" spans="1:39" ht="52.5" customHeight="1">
      <c r="A2" s="1191"/>
      <c r="B2" s="1193" t="s">
        <v>538</v>
      </c>
      <c r="C2" s="1194">
        <v>2016</v>
      </c>
      <c r="D2" s="1191"/>
      <c r="E2" s="1194" t="s">
        <v>614</v>
      </c>
      <c r="F2" s="1194" t="s">
        <v>615</v>
      </c>
      <c r="H2" s="1194" t="s">
        <v>616</v>
      </c>
      <c r="I2" s="1194" t="s">
        <v>617</v>
      </c>
      <c r="J2" s="1191"/>
      <c r="K2" s="1194" t="s">
        <v>618</v>
      </c>
      <c r="L2" s="1194" t="s">
        <v>619</v>
      </c>
      <c r="N2" s="1194" t="s">
        <v>620</v>
      </c>
      <c r="O2" s="1194" t="s">
        <v>621</v>
      </c>
      <c r="P2" s="1191"/>
      <c r="Q2" s="1192"/>
      <c r="R2" s="1191"/>
      <c r="S2" s="1191"/>
      <c r="T2" s="1191"/>
      <c r="U2" s="1191"/>
      <c r="V2" s="1191"/>
      <c r="W2" s="1191"/>
      <c r="X2" s="1191"/>
      <c r="Y2" s="1191"/>
      <c r="Z2" s="1191"/>
      <c r="AA2" s="1191"/>
      <c r="AB2" s="1191"/>
      <c r="AC2" s="1191"/>
      <c r="AD2" s="1191"/>
      <c r="AE2" s="1191"/>
      <c r="AF2" s="1191"/>
      <c r="AG2" s="1191"/>
      <c r="AH2" s="1191"/>
      <c r="AI2" s="1191"/>
      <c r="AJ2" s="1191"/>
      <c r="AK2" s="1191"/>
      <c r="AL2" s="1191"/>
      <c r="AM2" s="1191"/>
    </row>
    <row r="3" spans="1:39">
      <c r="A3" s="1191"/>
      <c r="B3" s="1191" t="s">
        <v>403</v>
      </c>
      <c r="C3" s="1195">
        <f>+'Segment Detail'!BE6</f>
        <v>359928</v>
      </c>
      <c r="D3" s="1191"/>
      <c r="E3" s="1195">
        <f>+'Segment Detail'!BO6+E10-F14</f>
        <v>590119.19808780157</v>
      </c>
      <c r="F3" s="1195">
        <f>+'Segment Detail'!BO6</f>
        <v>587573.5404786201</v>
      </c>
      <c r="H3" s="1195">
        <f>+'Segment Detail'!BT6+H10-I14</f>
        <v>726827.63010676904</v>
      </c>
      <c r="I3" s="1195">
        <f>+'Segment Detail'!BT6</f>
        <v>721464.94778726739</v>
      </c>
      <c r="J3" s="1191"/>
      <c r="K3" s="1195">
        <f>+'Segment Detail'!BY6+K10-L14</f>
        <v>870606.90883465915</v>
      </c>
      <c r="L3" s="1195">
        <f>+'Segment Detail'!BY6</f>
        <v>858030.17748869467</v>
      </c>
      <c r="N3" s="1195">
        <f>+'Segment Detail'!CD6+N10-O14</f>
        <v>1025419.839127514</v>
      </c>
      <c r="O3" s="1195">
        <f>+'Segment Detail'!CD6</f>
        <v>1003895.3076617728</v>
      </c>
      <c r="P3" s="1191"/>
      <c r="Q3" s="1192"/>
      <c r="R3" s="1191"/>
      <c r="S3" s="1191"/>
      <c r="T3" s="1191"/>
      <c r="U3" s="1191"/>
      <c r="V3" s="1191"/>
      <c r="W3" s="1191"/>
      <c r="X3" s="1191"/>
      <c r="Y3" s="1191"/>
      <c r="Z3" s="1191"/>
      <c r="AA3" s="1191"/>
      <c r="AB3" s="1191"/>
      <c r="AC3" s="1191"/>
      <c r="AD3" s="1191"/>
      <c r="AE3" s="1191"/>
      <c r="AF3" s="1191"/>
      <c r="AG3" s="1191"/>
      <c r="AH3" s="1191"/>
      <c r="AI3" s="1191"/>
      <c r="AJ3" s="1191"/>
      <c r="AK3" s="1191"/>
      <c r="AL3" s="1191"/>
      <c r="AM3" s="1191"/>
    </row>
    <row r="4" spans="1:39">
      <c r="A4" s="1191"/>
      <c r="B4" s="1191" t="s">
        <v>373</v>
      </c>
      <c r="C4" s="1195">
        <f>'Quarterly Model'!BE14</f>
        <v>10842</v>
      </c>
      <c r="D4" s="1191"/>
      <c r="E4" s="1195">
        <f>'Quarterly Model'!BO14+E17-F17</f>
        <v>15503.905669781077</v>
      </c>
      <c r="F4" s="1195">
        <f>'Quarterly Model'!BO14</f>
        <v>15409.207206719526</v>
      </c>
      <c r="H4" s="1195">
        <f>'Quarterly Model'!BT14+H17-I17</f>
        <v>17953.180050399402</v>
      </c>
      <c r="I4" s="1195">
        <f>'Quarterly Model'!BT14</f>
        <v>17754.760804577836</v>
      </c>
      <c r="J4" s="1191"/>
      <c r="K4" s="1195">
        <f>'Quarterly Model'!BY14+K17-L17</f>
        <v>21106.843765471549</v>
      </c>
      <c r="L4" s="1195">
        <f>'Quarterly Model'!BY14</f>
        <v>20644.020051940057</v>
      </c>
      <c r="N4" s="1195">
        <f>'Quarterly Model'!CD14+N17-O17</f>
        <v>24815.735971437265</v>
      </c>
      <c r="O4" s="1195">
        <f>'Quarterly Model'!CD14</f>
        <v>23850.821975158746</v>
      </c>
      <c r="P4" s="1191"/>
      <c r="Q4" s="1192"/>
      <c r="R4" s="1191"/>
      <c r="S4" s="1191"/>
      <c r="T4" s="1191"/>
      <c r="U4" s="1191"/>
      <c r="V4" s="1191"/>
      <c r="W4" s="1191"/>
      <c r="X4" s="1191"/>
      <c r="Y4" s="1191"/>
      <c r="Z4" s="1191"/>
      <c r="AA4" s="1191"/>
      <c r="AB4" s="1191"/>
      <c r="AC4" s="1191"/>
      <c r="AD4" s="1191"/>
      <c r="AE4" s="1191"/>
      <c r="AF4" s="1191"/>
      <c r="AG4" s="1191"/>
      <c r="AH4" s="1191"/>
      <c r="AI4" s="1191"/>
      <c r="AJ4" s="1191"/>
      <c r="AK4" s="1191"/>
      <c r="AL4" s="1191"/>
      <c r="AM4" s="1191"/>
    </row>
    <row r="5" spans="1:39">
      <c r="A5" s="1191"/>
      <c r="B5" s="1191" t="s">
        <v>541</v>
      </c>
      <c r="C5" s="1196">
        <f>+('Quarterly Model'!BE20+'Quarterly Model'!BE27)</f>
        <v>1.231913049276522E-2</v>
      </c>
      <c r="D5" s="1191"/>
      <c r="E5" s="1196">
        <f>+('Quarterly Model'!BO20+'Quarterly Model'!BO27)</f>
        <v>1.2007137764052E-2</v>
      </c>
      <c r="F5" s="1196">
        <f>+('Quarterly Model'!BO20+'Quarterly Model'!BO27)</f>
        <v>1.2007137764052E-2</v>
      </c>
      <c r="H5" s="1196">
        <f>+('Quarterly Model'!BT20+'Quarterly Model'!BT27)</f>
        <v>1.2091002178178996E-2</v>
      </c>
      <c r="I5" s="1196">
        <f>+('Quarterly Model'!BT20+'Quarterly Model'!BT27)</f>
        <v>1.2091002178178996E-2</v>
      </c>
      <c r="J5" s="1191"/>
      <c r="K5" s="1196">
        <f>+('Quarterly Model'!BY20+'Quarterly Model'!BY27)</f>
        <v>1.2203727106472981E-2</v>
      </c>
      <c r="L5" s="1196">
        <f>+('Quarterly Model'!BY20+'Quarterly Model'!BY27)</f>
        <v>1.2203727106472981E-2</v>
      </c>
      <c r="N5" s="1196">
        <f>+('Quarterly Model'!CD20+'Quarterly Model'!CD27)</f>
        <v>1.2323727106472979E-2</v>
      </c>
      <c r="O5" s="1196">
        <f>+('Quarterly Model'!CD20+'Quarterly Model'!CD27)</f>
        <v>1.2323727106472979E-2</v>
      </c>
      <c r="P5" s="1191"/>
      <c r="Q5" s="1192"/>
      <c r="R5" s="1191"/>
      <c r="S5" s="1191"/>
      <c r="T5" s="1191"/>
      <c r="U5" s="1191"/>
      <c r="V5" s="1191"/>
      <c r="W5" s="1191"/>
      <c r="X5" s="1191"/>
      <c r="Y5" s="1191"/>
      <c r="Z5" s="1191"/>
      <c r="AA5" s="1191"/>
      <c r="AB5" s="1191"/>
      <c r="AC5" s="1191"/>
      <c r="AD5" s="1191"/>
      <c r="AE5" s="1191"/>
      <c r="AF5" s="1191"/>
      <c r="AG5" s="1191"/>
      <c r="AH5" s="1191"/>
      <c r="AI5" s="1191"/>
      <c r="AJ5" s="1191"/>
      <c r="AK5" s="1191"/>
      <c r="AL5" s="1191"/>
      <c r="AM5" s="1191"/>
    </row>
    <row r="6" spans="1:39">
      <c r="A6" s="1191"/>
      <c r="B6" s="1191" t="s">
        <v>542</v>
      </c>
      <c r="C6" s="1195">
        <f>+'Quarterly Model'!BE33</f>
        <v>6408</v>
      </c>
      <c r="D6" s="1191"/>
      <c r="E6" s="1195">
        <f>F6+(E19-F19)</f>
        <v>8418.2631611289507</v>
      </c>
      <c r="F6" s="1195">
        <f>+'Quarterly Model'!BO33</f>
        <v>8354.1307596809493</v>
      </c>
      <c r="H6" s="1195">
        <f>I6+(H19-I19)</f>
        <v>9165.1055916177775</v>
      </c>
      <c r="I6" s="1195">
        <f>+'Quarterly Model'!BT33</f>
        <v>9031.5265494021914</v>
      </c>
      <c r="J6" s="1191"/>
      <c r="K6" s="1195">
        <f>L6+(K19-L19)</f>
        <v>10482.194633043368</v>
      </c>
      <c r="L6" s="1195">
        <f>+'Quarterly Model'!BY33</f>
        <v>10172.853916749451</v>
      </c>
      <c r="N6" s="1195">
        <f>+'Quarterly Model'!CD33+N19-O19</f>
        <v>12178.741704466354</v>
      </c>
      <c r="O6" s="1195">
        <f>+'Quarterly Model'!CD33</f>
        <v>11479.090160066324</v>
      </c>
      <c r="P6" s="1191"/>
      <c r="Q6" s="1192"/>
      <c r="R6" s="1191"/>
      <c r="S6" s="1191"/>
      <c r="T6" s="1191"/>
      <c r="U6" s="1191"/>
      <c r="V6" s="1191"/>
      <c r="W6" s="1191"/>
      <c r="X6" s="1191"/>
      <c r="Y6" s="1191"/>
      <c r="Z6" s="1191"/>
      <c r="AA6" s="1191"/>
      <c r="AB6" s="1191"/>
      <c r="AC6" s="1191"/>
      <c r="AD6" s="1191"/>
      <c r="AE6" s="1191"/>
      <c r="AF6" s="1191"/>
      <c r="AG6" s="1191"/>
      <c r="AH6" s="1191"/>
      <c r="AI6" s="1191"/>
      <c r="AJ6" s="1191"/>
      <c r="AK6" s="1191"/>
      <c r="AL6" s="1191"/>
      <c r="AM6" s="1191"/>
    </row>
    <row r="7" spans="1:39">
      <c r="A7" s="1191"/>
      <c r="B7" s="1191" t="s">
        <v>543</v>
      </c>
      <c r="C7" s="1195">
        <f>+'Quarterly Model'!BE37+'Quarterly Model'!BE44+'Quarterly Model'!BE51+'Quarterly Model'!BE58+'Quarterly Model'!BE72</f>
        <v>4234</v>
      </c>
      <c r="D7" s="1191"/>
      <c r="E7" s="1195">
        <f>+'Quarterly Model'!BO37+'Quarterly Model'!BO44+'Quarterly Model'!BO51+'Quarterly Model'!BO58+'Quarterly Model'!BO72</f>
        <v>4651.1527267487427</v>
      </c>
      <c r="F7" s="1195">
        <f>+'Quarterly Model'!BO37+'Quarterly Model'!BO44+'Quarterly Model'!BO51+'Quarterly Model'!BO58+'Quarterly Model'!BO72</f>
        <v>4651.1527267487427</v>
      </c>
      <c r="H7" s="1195">
        <f>+'Quarterly Model'!BT37+'Quarterly Model'!BT44+'Quarterly Model'!BT51+'Quarterly Model'!BT58+'Quarterly Model'!BT72</f>
        <v>4946.0160287721937</v>
      </c>
      <c r="I7" s="1195">
        <f>+'Quarterly Model'!BT37+'Quarterly Model'!BT44+'Quarterly Model'!BT51+'Quarterly Model'!BT58+'Quarterly Model'!BT72</f>
        <v>4946.0160287721937</v>
      </c>
      <c r="J7" s="1191"/>
      <c r="K7" s="1195">
        <f>+'Quarterly Model'!BY37+'Quarterly Model'!BY44+'Quarterly Model'!BY51+'Quarterly Model'!BY58+'Quarterly Model'!BY72</f>
        <v>5271.6377267812841</v>
      </c>
      <c r="L7" s="1195">
        <f>+'Quarterly Model'!BY37+'Quarterly Model'!BY44+'Quarterly Model'!BY51+'Quarterly Model'!BY58+'Quarterly Model'!BY72</f>
        <v>5271.6377267812841</v>
      </c>
      <c r="N7" s="1195">
        <f>+'Quarterly Model'!CD37+'Quarterly Model'!CD44+'Quarterly Model'!CD51+'Quarterly Model'!CD58+'Quarterly Model'!CD72</f>
        <v>5480.772820177418</v>
      </c>
      <c r="O7" s="1195">
        <f>+'Quarterly Model'!CD37+'Quarterly Model'!CD44+'Quarterly Model'!CD51+'Quarterly Model'!CD58+'Quarterly Model'!CD72</f>
        <v>5480.772820177418</v>
      </c>
      <c r="P7" s="1191"/>
      <c r="Q7" s="1286"/>
      <c r="R7" s="1191"/>
      <c r="S7" s="1191"/>
      <c r="T7" s="1191"/>
      <c r="U7" s="1191"/>
      <c r="V7" s="1191"/>
      <c r="W7" s="1191"/>
      <c r="X7" s="1191"/>
      <c r="Y7" s="1191"/>
      <c r="Z7" s="1191"/>
      <c r="AA7" s="1191"/>
      <c r="AB7" s="1191"/>
      <c r="AC7" s="1191"/>
      <c r="AD7" s="1191"/>
      <c r="AE7" s="1191"/>
      <c r="AF7" s="1191"/>
      <c r="AG7" s="1191"/>
      <c r="AH7" s="1191"/>
      <c r="AI7" s="1191"/>
      <c r="AJ7" s="1191"/>
      <c r="AK7" s="1191"/>
      <c r="AL7" s="1191"/>
      <c r="AM7" s="1191"/>
    </row>
    <row r="8" spans="1:39">
      <c r="A8" s="1191"/>
      <c r="B8" s="1191" t="s">
        <v>544</v>
      </c>
      <c r="C8" s="1195">
        <f>+'Quarterly Model'!BE76</f>
        <v>2174</v>
      </c>
      <c r="D8" s="1191"/>
      <c r="E8" s="1195">
        <f>+'Quarterly Model'!BO76+E23-F23</f>
        <v>3479.202098678737</v>
      </c>
      <c r="F8" s="1195">
        <f>+'Quarterly Model'!BO76</f>
        <v>3434.416695060514</v>
      </c>
      <c r="H8" s="1195">
        <f>+'Quarterly Model'!BT76+H23-I23</f>
        <v>4178.3331772173706</v>
      </c>
      <c r="I8" s="1195">
        <f>+'Quarterly Model'!BT76</f>
        <v>4085.5105206299977</v>
      </c>
      <c r="J8" s="1191"/>
      <c r="K8" s="1195">
        <f>+'Quarterly Model'!BY76+K23-L23</f>
        <v>5118.5581164663545</v>
      </c>
      <c r="L8" s="1195">
        <f>+'Quarterly Model'!BY76</f>
        <v>4901.2161899681669</v>
      </c>
      <c r="N8" s="1195">
        <f>+'Quarterly Model'!CD76+N23-O23</f>
        <v>6235.8393434490017</v>
      </c>
      <c r="O8" s="1195">
        <f>+'Quarterly Model'!CD76</f>
        <v>5998.3173398889057</v>
      </c>
      <c r="P8" s="1191"/>
      <c r="Q8" s="1192"/>
      <c r="R8" s="1191"/>
      <c r="S8" s="1191"/>
      <c r="T8" s="1191"/>
      <c r="U8" s="1191"/>
      <c r="V8" s="1191"/>
      <c r="W8" s="1191"/>
      <c r="X8" s="1191"/>
      <c r="Y8" s="1191"/>
      <c r="Z8" s="1191"/>
      <c r="AA8" s="1191"/>
      <c r="AB8" s="1191"/>
      <c r="AC8" s="1191"/>
      <c r="AD8" s="1191"/>
      <c r="AE8" s="1191"/>
      <c r="AF8" s="1191"/>
      <c r="AG8" s="1191"/>
      <c r="AH8" s="1191"/>
      <c r="AI8" s="1191"/>
      <c r="AJ8" s="1191"/>
      <c r="AK8" s="1191"/>
      <c r="AL8" s="1191"/>
      <c r="AM8" s="1191"/>
    </row>
    <row r="9" spans="1:39">
      <c r="A9" s="1191"/>
      <c r="B9" s="1191" t="s">
        <v>545</v>
      </c>
      <c r="C9" s="1197">
        <f>+'Quarterly Model'!BE105</f>
        <v>1.4989733059548254</v>
      </c>
      <c r="D9" s="1191"/>
      <c r="E9" s="1197"/>
      <c r="F9" s="1197">
        <f>+'Quarterly Model'!BO105</f>
        <v>2.3370817911138912</v>
      </c>
      <c r="H9" s="1197"/>
      <c r="I9" s="1197">
        <f>+'Quarterly Model'!BT105</f>
        <v>2.7298344863937456</v>
      </c>
      <c r="J9" s="1191"/>
      <c r="K9" s="1197"/>
      <c r="L9" s="1197">
        <f>+'Quarterly Model'!BY105</f>
        <v>3.2791163914250228</v>
      </c>
      <c r="N9" s="1197">
        <f>+'Quarterly Model'!CD105</f>
        <v>4.0158853943045703</v>
      </c>
      <c r="O9" s="1197">
        <f>+'Quarterly Model'!CD105</f>
        <v>4.0158853943045703</v>
      </c>
      <c r="P9" s="1191"/>
      <c r="Q9" s="1192"/>
      <c r="R9" s="1191"/>
      <c r="S9" s="1191"/>
      <c r="T9" s="1191"/>
      <c r="U9" s="1191"/>
      <c r="V9" s="1191"/>
      <c r="W9" s="1191"/>
      <c r="X9" s="1191"/>
      <c r="Y9" s="1191"/>
      <c r="Z9" s="1191"/>
      <c r="AA9" s="1191"/>
      <c r="AB9" s="1191"/>
      <c r="AC9" s="1191"/>
      <c r="AD9" s="1191"/>
      <c r="AE9" s="1191"/>
      <c r="AF9" s="1191"/>
      <c r="AG9" s="1191"/>
      <c r="AH9" s="1191"/>
      <c r="AI9" s="1191"/>
      <c r="AJ9" s="1191"/>
      <c r="AK9" s="1191"/>
      <c r="AL9" s="1191"/>
      <c r="AM9" s="1191"/>
    </row>
    <row r="10" spans="1:39">
      <c r="A10" s="1191"/>
      <c r="B10" s="1191" t="s">
        <v>608</v>
      </c>
      <c r="C10" s="1198">
        <f>+C11*C3</f>
        <v>61187.76</v>
      </c>
      <c r="D10" s="1191"/>
      <c r="E10" s="1198">
        <f>C10*(1+5.33%)^2</f>
        <v>67884.202911506392</v>
      </c>
      <c r="F10" s="1198">
        <f>E10</f>
        <v>67884.202911506392</v>
      </c>
      <c r="G10" s="531"/>
      <c r="H10" s="1198">
        <f>C10*(1+5.33%)^3</f>
        <v>71502.430926689689</v>
      </c>
      <c r="I10" s="1198">
        <f>H10</f>
        <v>71502.430926689689</v>
      </c>
      <c r="J10" s="1191"/>
      <c r="K10" s="1198">
        <f>C10*(1+5.25%)^4</f>
        <v>75084.963259489392</v>
      </c>
      <c r="L10" s="1198">
        <f>K10</f>
        <v>75084.963259489392</v>
      </c>
      <c r="N10" s="1198">
        <f>C10*(1+4.67%)^5</f>
        <v>76873.326663361819</v>
      </c>
      <c r="O10" s="1198">
        <f>N10</f>
        <v>76873.326663361819</v>
      </c>
      <c r="P10" s="1191"/>
      <c r="Q10" s="1192"/>
      <c r="R10" s="1191"/>
      <c r="S10" s="1191"/>
      <c r="T10" s="1191"/>
      <c r="U10" s="1191"/>
      <c r="V10" s="1191"/>
      <c r="W10" s="1191"/>
      <c r="X10" s="1191"/>
      <c r="Y10" s="1191"/>
      <c r="Z10" s="1191"/>
      <c r="AA10" s="1191"/>
      <c r="AB10" s="1191"/>
      <c r="AC10" s="1191"/>
      <c r="AD10" s="1191"/>
      <c r="AE10" s="1191"/>
      <c r="AF10" s="1191"/>
      <c r="AG10" s="1191"/>
      <c r="AH10" s="1191"/>
      <c r="AI10" s="1191"/>
      <c r="AJ10" s="1191"/>
      <c r="AK10" s="1191"/>
      <c r="AL10" s="1191"/>
      <c r="AM10" s="1191"/>
    </row>
    <row r="11" spans="1:39">
      <c r="A11" s="1191"/>
      <c r="B11" s="1199" t="s">
        <v>547</v>
      </c>
      <c r="C11" s="1200">
        <v>0.17</v>
      </c>
      <c r="D11" s="1191"/>
      <c r="E11" s="1202">
        <f>E10/E3</f>
        <v>0.11503473049423849</v>
      </c>
      <c r="F11" s="1202">
        <f>F10/F3</f>
        <v>0.11553311753318558</v>
      </c>
      <c r="H11" s="1202">
        <f>H10/H3</f>
        <v>9.8376049512848285E-2</v>
      </c>
      <c r="I11" s="1202">
        <f>I10/I3</f>
        <v>9.9107283238066668E-2</v>
      </c>
      <c r="J11" s="1191"/>
      <c r="K11" s="1202">
        <f>K10/K3</f>
        <v>8.6244391696814707E-2</v>
      </c>
      <c r="L11" s="1202">
        <f>L10/L3</f>
        <v>8.7508534349281325E-2</v>
      </c>
      <c r="N11" s="1202">
        <f>N10/N3</f>
        <v>7.4967660786405349E-2</v>
      </c>
      <c r="O11" s="1202">
        <f>N11</f>
        <v>7.4967660786405349E-2</v>
      </c>
      <c r="Q11" s="1286"/>
      <c r="R11" s="1191"/>
      <c r="S11" s="1191"/>
      <c r="T11" s="1191"/>
      <c r="U11" s="1191"/>
      <c r="V11" s="1191"/>
      <c r="W11" s="1191"/>
      <c r="X11" s="1191"/>
      <c r="Y11" s="1191"/>
      <c r="Z11" s="1191"/>
      <c r="AA11" s="1191"/>
      <c r="AB11" s="1191"/>
      <c r="AC11" s="1191"/>
      <c r="AD11" s="1191"/>
      <c r="AE11" s="1191"/>
      <c r="AF11" s="1191"/>
      <c r="AG11" s="1191"/>
      <c r="AH11" s="1191"/>
      <c r="AI11" s="1191"/>
      <c r="AJ11" s="1191"/>
      <c r="AK11" s="1191"/>
      <c r="AL11" s="1191"/>
      <c r="AM11" s="1191"/>
    </row>
    <row r="12" spans="1:39">
      <c r="A12" s="1191"/>
      <c r="B12" s="1199" t="s">
        <v>549</v>
      </c>
      <c r="C12" s="1191"/>
      <c r="D12" s="1191"/>
      <c r="E12" s="1202">
        <f>(E10/C10)^0.5-1</f>
        <v>5.3299999999999903E-2</v>
      </c>
      <c r="F12" s="1191"/>
      <c r="H12" s="1202">
        <f>(H10/C10)^0.3333-1</f>
        <v>5.329453042818022E-2</v>
      </c>
      <c r="I12" s="1191"/>
      <c r="J12" s="1191"/>
      <c r="K12" s="1202">
        <f>(K10/F10)^0.3333-1</f>
        <v>3.417322695656777E-2</v>
      </c>
      <c r="L12" s="1191"/>
      <c r="N12" s="1202">
        <f>(N10/C10)^0.2-1</f>
        <v>4.6699999999999964E-2</v>
      </c>
      <c r="O12" s="1191"/>
      <c r="P12" s="1191"/>
      <c r="Q12" s="1192"/>
      <c r="R12" s="1191"/>
      <c r="S12" s="1191"/>
      <c r="T12" s="1191"/>
      <c r="U12" s="1191"/>
      <c r="V12" s="1191"/>
      <c r="W12" s="1191"/>
      <c r="X12" s="1191"/>
      <c r="Y12" s="1191"/>
      <c r="Z12" s="1191"/>
      <c r="AA12" s="1191"/>
      <c r="AB12" s="1191"/>
      <c r="AC12" s="1191"/>
      <c r="AD12" s="1191"/>
      <c r="AE12" s="1191"/>
      <c r="AF12" s="1191"/>
      <c r="AG12" s="1191"/>
      <c r="AH12" s="1191"/>
      <c r="AI12" s="1191"/>
      <c r="AJ12" s="1191"/>
      <c r="AK12" s="1191"/>
      <c r="AL12" s="1191"/>
      <c r="AM12" s="1191"/>
    </row>
    <row r="13" spans="1:39">
      <c r="A13" s="1191"/>
      <c r="B13" s="1234" t="s">
        <v>605</v>
      </c>
      <c r="C13" s="1191"/>
      <c r="D13" s="1191"/>
      <c r="E13" s="1203"/>
      <c r="F13" s="1201">
        <f>5%*75%</f>
        <v>3.7500000000000006E-2</v>
      </c>
      <c r="H13" s="1203"/>
      <c r="I13" s="1201">
        <f>10%*75%</f>
        <v>7.5000000000000011E-2</v>
      </c>
      <c r="J13" s="1191"/>
      <c r="K13" s="1203"/>
      <c r="L13" s="1201">
        <f>(10%*75%)+((1-10%*75%)*20%/2)</f>
        <v>0.16750000000000004</v>
      </c>
      <c r="N13" s="1203">
        <v>0</v>
      </c>
      <c r="O13" s="1201">
        <f>0.1*0.8+0.2</f>
        <v>0.28000000000000003</v>
      </c>
      <c r="P13" s="1191" t="s">
        <v>548</v>
      </c>
      <c r="Q13" s="1192"/>
      <c r="R13" s="1191"/>
      <c r="S13" s="1191"/>
      <c r="T13" s="1191"/>
      <c r="U13" s="1191"/>
      <c r="V13" s="1191"/>
      <c r="W13" s="1191"/>
      <c r="X13" s="1191"/>
      <c r="Y13" s="1191"/>
      <c r="Z13" s="1191"/>
      <c r="AA13" s="1191"/>
      <c r="AB13" s="1191"/>
      <c r="AC13" s="1191"/>
      <c r="AD13" s="1191"/>
      <c r="AE13" s="1191"/>
      <c r="AF13" s="1191"/>
      <c r="AG13" s="1191"/>
      <c r="AH13" s="1191"/>
      <c r="AI13" s="1191"/>
      <c r="AJ13" s="1191"/>
      <c r="AK13" s="1191"/>
      <c r="AL13" s="1191"/>
      <c r="AM13" s="1191"/>
    </row>
    <row r="14" spans="1:39">
      <c r="A14" s="1191"/>
      <c r="B14" s="1234" t="s">
        <v>546</v>
      </c>
      <c r="C14" s="1191"/>
      <c r="D14" s="1191"/>
      <c r="E14" s="1203"/>
      <c r="F14" s="1198">
        <f>E10*(1-F13)</f>
        <v>65338.545302324907</v>
      </c>
      <c r="H14" s="1203"/>
      <c r="I14" s="1198">
        <f>H10*(1-I13)</f>
        <v>66139.748607187968</v>
      </c>
      <c r="J14" s="1191"/>
      <c r="K14" s="1203"/>
      <c r="L14" s="1198">
        <f>K10*(1-L13)</f>
        <v>62508.23191352492</v>
      </c>
      <c r="N14" s="1198">
        <f>N10*(1-N13)</f>
        <v>76873.326663361819</v>
      </c>
      <c r="O14" s="1198">
        <f>O10*(1-O13)</f>
        <v>55348.795197620508</v>
      </c>
      <c r="P14" s="1191"/>
      <c r="Q14" s="1192"/>
      <c r="R14" s="1191"/>
      <c r="S14" s="1191"/>
      <c r="T14" s="1191"/>
      <c r="U14" s="1191"/>
      <c r="V14" s="1191"/>
      <c r="W14" s="1191"/>
      <c r="X14" s="1191"/>
      <c r="Y14" s="1191"/>
      <c r="Z14" s="1191"/>
      <c r="AA14" s="1191"/>
      <c r="AB14" s="1191"/>
      <c r="AC14" s="1191"/>
      <c r="AD14" s="1191"/>
      <c r="AE14" s="1191"/>
      <c r="AF14" s="1191"/>
      <c r="AG14" s="1191"/>
      <c r="AH14" s="1191"/>
      <c r="AI14" s="1191"/>
      <c r="AJ14" s="1191"/>
      <c r="AK14" s="1191"/>
      <c r="AL14" s="1191"/>
      <c r="AM14" s="1191"/>
    </row>
    <row r="15" spans="1:39">
      <c r="A15" s="1191"/>
      <c r="B15" s="1234" t="s">
        <v>551</v>
      </c>
      <c r="C15" s="1204">
        <v>3.7600000000000001E-2</v>
      </c>
      <c r="D15" s="1191"/>
      <c r="E15" s="1205">
        <v>3.7199999999999997E-2</v>
      </c>
      <c r="F15" s="1206">
        <v>3.7199999999999997E-2</v>
      </c>
      <c r="H15" s="1205">
        <v>3.6999999999999998E-2</v>
      </c>
      <c r="I15" s="1206">
        <v>3.6999999999999998E-2</v>
      </c>
      <c r="J15" s="1191"/>
      <c r="K15" s="1205">
        <v>3.6799999999999999E-2</v>
      </c>
      <c r="L15" s="1206">
        <v>3.6799999999999999E-2</v>
      </c>
      <c r="N15" s="1205">
        <v>3.6600000000000001E-2</v>
      </c>
      <c r="O15" s="1206">
        <f>N15-(N15-0.027)/3</f>
        <v>3.3399999999999999E-2</v>
      </c>
      <c r="P15" s="1191" t="s">
        <v>552</v>
      </c>
      <c r="Q15" s="1287"/>
      <c r="R15" s="1288"/>
      <c r="S15" s="1191"/>
      <c r="T15" s="1191"/>
      <c r="U15" s="1191"/>
      <c r="V15" s="1191"/>
      <c r="W15" s="1191"/>
      <c r="X15" s="1191"/>
      <c r="Y15" s="1191"/>
      <c r="Z15" s="1191"/>
      <c r="AA15" s="1191"/>
      <c r="AB15" s="1191"/>
      <c r="AC15" s="1191"/>
      <c r="AD15" s="1191"/>
      <c r="AE15" s="1191"/>
      <c r="AF15" s="1191"/>
      <c r="AG15" s="1191"/>
      <c r="AH15" s="1191"/>
      <c r="AI15" s="1191"/>
      <c r="AJ15" s="1191"/>
      <c r="AK15" s="1191"/>
      <c r="AL15" s="1191"/>
      <c r="AM15" s="1191"/>
    </row>
    <row r="16" spans="1:39">
      <c r="A16" s="1191"/>
      <c r="B16" s="1199"/>
      <c r="C16" s="1191"/>
      <c r="D16" s="1191"/>
      <c r="E16" s="1203"/>
      <c r="F16" s="1191"/>
      <c r="H16" s="1203"/>
      <c r="I16" s="1191"/>
      <c r="J16" s="1191"/>
      <c r="K16" s="1203"/>
      <c r="L16" s="1191"/>
      <c r="N16" s="1203"/>
      <c r="O16" s="1191"/>
      <c r="P16" s="1191"/>
      <c r="Q16" s="1192"/>
      <c r="R16" s="1191"/>
      <c r="S16" s="1191"/>
      <c r="T16" s="1191"/>
      <c r="U16" s="1191"/>
      <c r="V16" s="1191"/>
      <c r="W16" s="1191"/>
      <c r="X16" s="1191"/>
      <c r="Y16" s="1191"/>
      <c r="Z16" s="1191"/>
      <c r="AA16" s="1191"/>
      <c r="AB16" s="1191"/>
      <c r="AC16" s="1191"/>
      <c r="AD16" s="1191"/>
      <c r="AE16" s="1191"/>
      <c r="AF16" s="1191"/>
      <c r="AG16" s="1191"/>
      <c r="AH16" s="1191"/>
      <c r="AI16" s="1191"/>
      <c r="AJ16" s="1191"/>
      <c r="AK16" s="1191"/>
      <c r="AL16" s="1191"/>
      <c r="AM16" s="1191"/>
    </row>
    <row r="17" spans="1:39">
      <c r="A17" s="1191"/>
      <c r="B17" s="1191" t="s">
        <v>550</v>
      </c>
      <c r="C17" s="1198">
        <f>+C4*0.22</f>
        <v>2385.2400000000002</v>
      </c>
      <c r="D17" s="1191"/>
      <c r="E17" s="1198">
        <f>+E10*E15</f>
        <v>2525.2923483080376</v>
      </c>
      <c r="F17" s="1198">
        <f>+F14*F15</f>
        <v>2430.5938852464865</v>
      </c>
      <c r="H17" s="1198">
        <f>+H10*H15</f>
        <v>2645.5899442875184</v>
      </c>
      <c r="I17" s="1198">
        <f>+I14*I15</f>
        <v>2447.1706984659545</v>
      </c>
      <c r="J17" s="1191"/>
      <c r="K17" s="1198">
        <f>+K10*K15</f>
        <v>2763.1266479492097</v>
      </c>
      <c r="L17" s="1198">
        <f>+L14*L15</f>
        <v>2300.3029344177171</v>
      </c>
      <c r="N17" s="1198">
        <f>+N10*(1-N13)*N15</f>
        <v>2813.5637558790427</v>
      </c>
      <c r="O17" s="1198">
        <f>+O14*O15</f>
        <v>1848.6497596005249</v>
      </c>
      <c r="P17" s="1269"/>
      <c r="Q17" s="1192"/>
      <c r="R17" s="1191"/>
      <c r="S17" s="1191"/>
      <c r="T17" s="1191"/>
      <c r="U17" s="1191"/>
      <c r="V17" s="1191"/>
      <c r="W17" s="1191"/>
      <c r="X17" s="1191"/>
      <c r="Y17" s="1191"/>
      <c r="Z17" s="1191"/>
      <c r="AA17" s="1191"/>
      <c r="AB17" s="1191"/>
      <c r="AC17" s="1191"/>
      <c r="AD17" s="1191"/>
      <c r="AE17" s="1191"/>
      <c r="AF17" s="1191"/>
      <c r="AG17" s="1191"/>
      <c r="AH17" s="1191"/>
      <c r="AI17" s="1191"/>
      <c r="AJ17" s="1191"/>
      <c r="AK17" s="1191"/>
      <c r="AL17" s="1191"/>
      <c r="AM17" s="1191"/>
    </row>
    <row r="18" spans="1:39">
      <c r="A18" s="1191"/>
      <c r="B18" s="1191" t="s">
        <v>553</v>
      </c>
      <c r="C18" s="1207">
        <f>+C5</f>
        <v>1.231913049276522E-2</v>
      </c>
      <c r="D18" s="1191"/>
      <c r="E18" s="1207">
        <f>+E5</f>
        <v>1.2007137764052E-2</v>
      </c>
      <c r="F18" s="1208">
        <f>E18</f>
        <v>1.2007137764052E-2</v>
      </c>
      <c r="H18" s="1207">
        <f>+H5</f>
        <v>1.2091002178178996E-2</v>
      </c>
      <c r="I18" s="1208">
        <f>H18</f>
        <v>1.2091002178178996E-2</v>
      </c>
      <c r="J18" s="1191"/>
      <c r="K18" s="1207">
        <f>+K5</f>
        <v>1.2203727106472981E-2</v>
      </c>
      <c r="L18" s="1208">
        <f>K18</f>
        <v>1.2203727106472981E-2</v>
      </c>
      <c r="N18" s="1207">
        <f>+N5</f>
        <v>1.2323727106472979E-2</v>
      </c>
      <c r="O18" s="1208">
        <f>N18</f>
        <v>1.2323727106472979E-2</v>
      </c>
      <c r="P18" s="1191"/>
      <c r="Q18" s="1192"/>
      <c r="R18" s="1191"/>
      <c r="S18" s="1191"/>
      <c r="T18" s="1191"/>
      <c r="U18" s="1191"/>
      <c r="V18" s="1191"/>
      <c r="W18" s="1191"/>
      <c r="X18" s="1191"/>
      <c r="Y18" s="1191"/>
      <c r="Z18" s="1191"/>
      <c r="AA18" s="1191"/>
      <c r="AB18" s="1191"/>
      <c r="AC18" s="1191"/>
      <c r="AD18" s="1191"/>
      <c r="AE18" s="1191"/>
      <c r="AF18" s="1191"/>
      <c r="AG18" s="1191"/>
      <c r="AH18" s="1191"/>
      <c r="AI18" s="1191"/>
      <c r="AJ18" s="1191"/>
      <c r="AK18" s="1191"/>
      <c r="AL18" s="1191"/>
      <c r="AM18" s="1191"/>
    </row>
    <row r="19" spans="1:39">
      <c r="A19" s="1191"/>
      <c r="B19" s="1191" t="s">
        <v>554</v>
      </c>
      <c r="C19" s="1198">
        <f>+C10*(C15-C18)</f>
        <v>1546.879776</v>
      </c>
      <c r="D19" s="1191"/>
      <c r="E19" s="1198">
        <f>+E10*(E15-E18)</f>
        <v>1710.1973719467205</v>
      </c>
      <c r="F19" s="1198">
        <f>+F14*(F15-F18)</f>
        <v>1646.0649704987186</v>
      </c>
      <c r="H19" s="1198">
        <f>+H10*(H15-H18)</f>
        <v>1781.0538962078201</v>
      </c>
      <c r="I19" s="1198">
        <f>+I14*(I15-I18)</f>
        <v>1647.4748539922339</v>
      </c>
      <c r="J19" s="1191"/>
      <c r="K19" s="1198">
        <f>+K10*(K15-K18)</f>
        <v>1846.8102465308509</v>
      </c>
      <c r="L19" s="1198">
        <f>+L14*(L15-L18)</f>
        <v>1537.4695302369335</v>
      </c>
      <c r="N19" s="1198">
        <f>+N10*(N15-N18)</f>
        <v>1866.1978563130185</v>
      </c>
      <c r="O19" s="1198">
        <f>+O14*(O15-O18)</f>
        <v>1166.5463119129877</v>
      </c>
      <c r="P19" s="1191"/>
      <c r="Q19" s="1192"/>
      <c r="R19" s="1191"/>
      <c r="S19" s="1191"/>
      <c r="T19" s="1191"/>
      <c r="U19" s="1191"/>
      <c r="V19" s="1191"/>
      <c r="W19" s="1191"/>
      <c r="X19" s="1191"/>
      <c r="Y19" s="1191"/>
      <c r="Z19" s="1191"/>
      <c r="AA19" s="1191"/>
      <c r="AB19" s="1191"/>
      <c r="AC19" s="1191"/>
      <c r="AD19" s="1191"/>
      <c r="AE19" s="1191"/>
      <c r="AF19" s="1191"/>
      <c r="AG19" s="1191"/>
      <c r="AH19" s="1191"/>
      <c r="AI19" s="1191"/>
      <c r="AJ19" s="1191"/>
      <c r="AK19" s="1191"/>
      <c r="AL19" s="1191"/>
      <c r="AM19" s="1191"/>
    </row>
    <row r="20" spans="1:39">
      <c r="A20" s="1191"/>
      <c r="B20" s="1191" t="s">
        <v>555</v>
      </c>
      <c r="C20" s="1198">
        <f>C10*$D$43</f>
        <v>930.05395199999998</v>
      </c>
      <c r="D20" s="1191"/>
      <c r="E20" s="1198">
        <f>+SUM(E21:E22)</f>
        <v>992.6452529924486</v>
      </c>
      <c r="F20" s="1198">
        <f>+SUM(F21:F22)</f>
        <v>973.29825516266919</v>
      </c>
      <c r="H20" s="1198">
        <f>+SUM(H21:H22)</f>
        <v>1026.102852293654</v>
      </c>
      <c r="I20" s="1198">
        <f>+SUM(I21:I22)</f>
        <v>985.34646666544097</v>
      </c>
      <c r="J20" s="1191"/>
      <c r="K20" s="1198">
        <f>+SUM(K21:K22)</f>
        <v>1050.2587486856435</v>
      </c>
      <c r="L20" s="1198">
        <f>+SUM(L21:L22)</f>
        <v>958.25995888991338</v>
      </c>
      <c r="N20" s="1198">
        <f>+SUM(N21:N22)</f>
        <v>1079.064188757578</v>
      </c>
      <c r="O20" s="1198">
        <f>+SUM(O21:O22)</f>
        <v>616.9346479176437</v>
      </c>
      <c r="P20" s="1236"/>
      <c r="Q20" s="1279"/>
      <c r="R20" s="1191"/>
      <c r="S20" s="1191"/>
      <c r="T20" s="1191"/>
      <c r="U20" s="1191"/>
      <c r="V20" s="1191"/>
      <c r="W20" s="1191"/>
      <c r="X20" s="1191"/>
      <c r="Y20" s="1191"/>
      <c r="Z20" s="1191"/>
      <c r="AA20" s="1191"/>
      <c r="AB20" s="1191"/>
      <c r="AC20" s="1191"/>
      <c r="AD20" s="1191"/>
      <c r="AE20" s="1191"/>
      <c r="AF20" s="1191"/>
      <c r="AG20" s="1191"/>
      <c r="AH20" s="1191"/>
      <c r="AI20" s="1191"/>
      <c r="AJ20" s="1191"/>
      <c r="AK20" s="1191"/>
      <c r="AL20" s="1191"/>
      <c r="AM20" s="1191"/>
    </row>
    <row r="21" spans="1:39">
      <c r="A21" s="1191"/>
      <c r="B21" s="1209" t="s">
        <v>556</v>
      </c>
      <c r="C21" s="1210">
        <f>+C20/2</f>
        <v>465.02697599999999</v>
      </c>
      <c r="D21" s="1191"/>
      <c r="E21" s="1210">
        <f>+C21*1.0125^2</f>
        <v>476.72531086499998</v>
      </c>
      <c r="F21" s="1210">
        <f>C21*1.0125^2</f>
        <v>476.72531086499998</v>
      </c>
      <c r="H21" s="1210">
        <f>+C21*1.0125^3</f>
        <v>482.68437725081242</v>
      </c>
      <c r="I21" s="1210">
        <f>+C21*1.0125^3</f>
        <v>482.68437725081242</v>
      </c>
      <c r="J21" s="1191"/>
      <c r="K21" s="1210">
        <f>+F21*1.0125^4</f>
        <v>501.01224244247857</v>
      </c>
      <c r="L21" s="1210">
        <f>+F21*1.0125^4</f>
        <v>501.01224244247857</v>
      </c>
      <c r="N21" s="1210">
        <f>+C21*1.0125^5</f>
        <v>494.82690611602817</v>
      </c>
      <c r="O21" s="1210">
        <f>+C21*1.01^5*((O14/N14)+10%)</f>
        <v>400.77338078176138</v>
      </c>
      <c r="P21" s="1191" t="s">
        <v>612</v>
      </c>
      <c r="Q21" s="1211"/>
      <c r="R21" s="1191"/>
      <c r="S21" s="1191"/>
      <c r="T21" s="1191"/>
      <c r="U21" s="1191"/>
      <c r="V21" s="1191"/>
      <c r="W21" s="1191"/>
      <c r="X21" s="1191"/>
      <c r="Y21" s="1191"/>
      <c r="Z21" s="1191"/>
      <c r="AA21" s="1191"/>
      <c r="AB21" s="1191"/>
      <c r="AC21" s="1191"/>
      <c r="AD21" s="1191"/>
      <c r="AE21" s="1191"/>
      <c r="AF21" s="1191"/>
      <c r="AG21" s="1191"/>
      <c r="AH21" s="1191"/>
      <c r="AI21" s="1191"/>
      <c r="AJ21" s="1191"/>
      <c r="AK21" s="1191"/>
      <c r="AL21" s="1191"/>
      <c r="AM21" s="1191"/>
    </row>
    <row r="22" spans="1:39">
      <c r="A22" s="1191"/>
      <c r="B22" s="1209" t="s">
        <v>557</v>
      </c>
      <c r="C22" s="1210">
        <f>+C20/2</f>
        <v>465.02697599999999</v>
      </c>
      <c r="D22" s="1236"/>
      <c r="E22" s="1210">
        <f>+C22/C10*E10</f>
        <v>515.91994212744862</v>
      </c>
      <c r="F22" s="1210">
        <f>+C22/C10*F14</f>
        <v>496.57294429766927</v>
      </c>
      <c r="H22" s="1210">
        <f>+C22/C10*H10</f>
        <v>543.41847504284158</v>
      </c>
      <c r="I22" s="1210">
        <f>+C22/C10*I14</f>
        <v>502.66208941462855</v>
      </c>
      <c r="J22" s="1191"/>
      <c r="K22" s="1210">
        <f>+F22/F10*K10</f>
        <v>549.24650624316496</v>
      </c>
      <c r="L22" s="1210">
        <f>+F22/F10*L14</f>
        <v>457.24771644743481</v>
      </c>
      <c r="N22" s="1210">
        <f>+C22/C10*N10</f>
        <v>584.23728264154977</v>
      </c>
      <c r="O22" s="1210">
        <f>+(C22/C10-(D43-F43))*O14</f>
        <v>216.1612671358823</v>
      </c>
      <c r="P22" s="1191" t="s">
        <v>613</v>
      </c>
      <c r="Q22" s="1192"/>
      <c r="R22" s="1191"/>
      <c r="S22" s="1191"/>
      <c r="T22" s="1191"/>
      <c r="U22" s="1191"/>
      <c r="V22" s="1191"/>
      <c r="W22" s="1191"/>
      <c r="X22" s="1191"/>
      <c r="Y22" s="1191"/>
      <c r="Z22" s="1191"/>
      <c r="AA22" s="1191"/>
      <c r="AB22" s="1191"/>
      <c r="AC22" s="1191"/>
      <c r="AD22" s="1191"/>
      <c r="AE22" s="1191"/>
      <c r="AF22" s="1191"/>
      <c r="AG22" s="1191"/>
      <c r="AH22" s="1191"/>
      <c r="AI22" s="1191"/>
      <c r="AJ22" s="1191"/>
      <c r="AK22" s="1191"/>
      <c r="AL22" s="1191"/>
      <c r="AM22" s="1191"/>
    </row>
    <row r="23" spans="1:39">
      <c r="A23" s="1191"/>
      <c r="B23" s="1191" t="s">
        <v>558</v>
      </c>
      <c r="C23" s="1198">
        <f>+C19-C20</f>
        <v>616.82582400000001</v>
      </c>
      <c r="D23" s="1191"/>
      <c r="E23" s="1198">
        <f>+E19-E20</f>
        <v>717.55211895427192</v>
      </c>
      <c r="F23" s="1198">
        <f>+F19-F20</f>
        <v>672.7667153360494</v>
      </c>
      <c r="H23" s="1198">
        <f>+H19-H20</f>
        <v>754.95104391416612</v>
      </c>
      <c r="I23" s="1198">
        <f>+I19-I20</f>
        <v>662.1283873267929</v>
      </c>
      <c r="J23" s="1191"/>
      <c r="K23" s="1198">
        <f>+K19-K20</f>
        <v>796.55149784520745</v>
      </c>
      <c r="L23" s="1198">
        <f>+L19-L20</f>
        <v>579.20957134702007</v>
      </c>
      <c r="N23" s="1198">
        <f>+N19-N20</f>
        <v>787.13366755544052</v>
      </c>
      <c r="O23" s="1198">
        <f>+O19-O20</f>
        <v>549.61166399534397</v>
      </c>
      <c r="P23" s="1212"/>
      <c r="Q23" s="1280"/>
      <c r="R23" s="1191"/>
      <c r="S23" s="1191"/>
      <c r="T23" s="1191"/>
      <c r="U23" s="1191"/>
      <c r="V23" s="1191"/>
      <c r="W23" s="1191"/>
      <c r="X23" s="1191"/>
      <c r="Y23" s="1191"/>
      <c r="Z23" s="1191"/>
      <c r="AA23" s="1191"/>
      <c r="AB23" s="1191"/>
      <c r="AC23" s="1191"/>
      <c r="AD23" s="1191"/>
      <c r="AE23" s="1191"/>
      <c r="AF23" s="1191"/>
      <c r="AG23" s="1191"/>
      <c r="AH23" s="1191"/>
      <c r="AI23" s="1191"/>
      <c r="AJ23" s="1191"/>
      <c r="AK23" s="1191"/>
      <c r="AL23" s="1191"/>
      <c r="AM23" s="1191"/>
    </row>
    <row r="24" spans="1:39">
      <c r="A24" s="1191"/>
      <c r="B24" s="1191" t="s">
        <v>609</v>
      </c>
      <c r="C24" s="1218">
        <f>C23/C17</f>
        <v>0.25860115711626502</v>
      </c>
      <c r="D24" s="1191"/>
      <c r="E24" s="1218">
        <f>E23/E17</f>
        <v>0.28414615814087291</v>
      </c>
      <c r="F24" s="1218">
        <f>F23/F17</f>
        <v>0.27679108361939458</v>
      </c>
      <c r="H24" s="1218">
        <f>H23/H17</f>
        <v>0.28536207795327151</v>
      </c>
      <c r="I24" s="1218">
        <f>I23/I17</f>
        <v>0.2705689422245281</v>
      </c>
      <c r="J24" s="1191"/>
      <c r="K24" s="1218">
        <f>K23/K17</f>
        <v>0.28827904013607458</v>
      </c>
      <c r="L24" s="1218">
        <f>L23/L17</f>
        <v>0.25179708406259854</v>
      </c>
      <c r="N24" s="1218">
        <f>N23/N17</f>
        <v>0.27976393494218726</v>
      </c>
      <c r="O24" s="1218">
        <f>O23/O17</f>
        <v>0.29730437641909502</v>
      </c>
      <c r="P24" s="1212"/>
      <c r="Q24" s="1280"/>
      <c r="R24" s="1191"/>
      <c r="S24" s="1191"/>
      <c r="T24" s="1191"/>
      <c r="U24" s="1191"/>
      <c r="V24" s="1191"/>
      <c r="W24" s="1191"/>
      <c r="X24" s="1191"/>
      <c r="Y24" s="1191"/>
      <c r="Z24" s="1191"/>
      <c r="AA24" s="1191"/>
      <c r="AB24" s="1191"/>
      <c r="AC24" s="1191"/>
      <c r="AD24" s="1191"/>
      <c r="AE24" s="1191"/>
      <c r="AF24" s="1191"/>
      <c r="AG24" s="1191"/>
      <c r="AH24" s="1191"/>
      <c r="AI24" s="1191"/>
      <c r="AJ24" s="1191"/>
      <c r="AK24" s="1191"/>
      <c r="AL24" s="1191"/>
      <c r="AM24" s="1191"/>
    </row>
    <row r="25" spans="1:39">
      <c r="A25" s="1191"/>
      <c r="B25" s="1191" t="s">
        <v>559</v>
      </c>
      <c r="C25" s="1213">
        <f>+C23/C8</f>
        <v>0.28372852989880404</v>
      </c>
      <c r="D25" s="1191"/>
      <c r="E25" s="1213">
        <f>+E23/E8</f>
        <v>0.20624042484533156</v>
      </c>
      <c r="F25" s="1213">
        <f>+F23/F8</f>
        <v>0.19588965902234393</v>
      </c>
      <c r="H25" s="1213">
        <f>+H23/H8</f>
        <v>0.18068234673830824</v>
      </c>
      <c r="I25" s="1213">
        <f>+I23/I8</f>
        <v>0.1620674782217158</v>
      </c>
      <c r="J25" s="1191"/>
      <c r="K25" s="1213">
        <f>+K23/K8</f>
        <v>0.15562028987864934</v>
      </c>
      <c r="L25" s="1213">
        <f>+L23/L8</f>
        <v>0.11817670327061863</v>
      </c>
      <c r="N25" s="1213">
        <f>+N23/N8</f>
        <v>0.12622738082281673</v>
      </c>
      <c r="O25" s="1213">
        <f>+O23/O8</f>
        <v>9.1627640361809079E-2</v>
      </c>
      <c r="P25" s="1191"/>
      <c r="Q25" s="1192"/>
      <c r="R25" s="1191"/>
      <c r="S25" s="1191"/>
      <c r="T25" s="1191"/>
      <c r="U25" s="1191"/>
      <c r="V25" s="1191"/>
      <c r="W25" s="1191"/>
      <c r="X25" s="1191"/>
      <c r="Y25" s="1191"/>
      <c r="Z25" s="1191"/>
      <c r="AA25" s="1191"/>
      <c r="AB25" s="1191"/>
      <c r="AC25" s="1191"/>
      <c r="AD25" s="1191"/>
      <c r="AE25" s="1191"/>
      <c r="AF25" s="1191"/>
      <c r="AG25" s="1191"/>
      <c r="AH25" s="1191"/>
      <c r="AI25" s="1191"/>
      <c r="AJ25" s="1191"/>
      <c r="AK25" s="1191"/>
      <c r="AL25" s="1191"/>
      <c r="AM25" s="1191"/>
    </row>
    <row r="26" spans="1:39">
      <c r="A26" s="1191"/>
      <c r="B26" s="1191" t="s">
        <v>560</v>
      </c>
      <c r="C26" s="1214"/>
      <c r="D26" s="1191"/>
      <c r="E26" s="1214"/>
      <c r="F26" s="1215">
        <f>(E8+(F23-E23))/E8-1</f>
        <v>-1.2872320246998692E-2</v>
      </c>
      <c r="H26" s="1214"/>
      <c r="I26" s="1215">
        <f>(H8+(I23-H23))/H8-1</f>
        <v>-2.2215235753217266E-2</v>
      </c>
      <c r="J26" s="1191"/>
      <c r="K26" s="1214"/>
      <c r="L26" s="1215">
        <f>(K8+(L23-K23))/K8-1</f>
        <v>-4.2461552951601811E-2</v>
      </c>
      <c r="N26" s="1214"/>
      <c r="O26" s="1215">
        <f>(N8+(O23-N23))/N8-1</f>
        <v>-3.8089820869042001E-2</v>
      </c>
      <c r="P26" s="1191"/>
      <c r="Q26" s="1192"/>
      <c r="R26" s="1191"/>
      <c r="S26" s="1191"/>
      <c r="T26" s="1191"/>
      <c r="U26" s="1191"/>
      <c r="V26" s="1191"/>
      <c r="W26" s="1191"/>
      <c r="X26" s="1191"/>
      <c r="Y26" s="1191"/>
      <c r="Z26" s="1191"/>
      <c r="AA26" s="1191"/>
      <c r="AB26" s="1191"/>
      <c r="AC26" s="1191"/>
      <c r="AD26" s="1191"/>
      <c r="AE26" s="1191"/>
      <c r="AF26" s="1191"/>
      <c r="AG26" s="1191"/>
      <c r="AH26" s="1191"/>
      <c r="AI26" s="1191"/>
      <c r="AJ26" s="1191"/>
      <c r="AK26" s="1191"/>
      <c r="AL26" s="1191"/>
      <c r="AM26" s="1191"/>
    </row>
    <row r="27" spans="1:39">
      <c r="A27" s="1191"/>
      <c r="B27" s="1191"/>
      <c r="C27" s="1191"/>
      <c r="D27" s="1191"/>
      <c r="E27" s="1214"/>
      <c r="F27" s="1191"/>
      <c r="H27" s="1214"/>
      <c r="I27" s="1191"/>
      <c r="J27" s="1191"/>
      <c r="K27" s="1214"/>
      <c r="L27" s="1191"/>
      <c r="N27" s="1214"/>
      <c r="O27" s="1191"/>
      <c r="P27" s="1191"/>
      <c r="Q27" s="1192"/>
      <c r="R27" s="1191"/>
      <c r="S27" s="1191"/>
      <c r="T27" s="1191"/>
      <c r="U27" s="1191"/>
      <c r="V27" s="1191"/>
      <c r="W27" s="1191"/>
      <c r="X27" s="1191"/>
      <c r="Y27" s="1191"/>
      <c r="Z27" s="1191"/>
      <c r="AA27" s="1191"/>
      <c r="AB27" s="1191"/>
      <c r="AC27" s="1191"/>
      <c r="AD27" s="1191"/>
      <c r="AE27" s="1191"/>
      <c r="AF27" s="1191"/>
      <c r="AG27" s="1191"/>
      <c r="AH27" s="1191"/>
      <c r="AI27" s="1191"/>
      <c r="AJ27" s="1191"/>
      <c r="AK27" s="1191"/>
      <c r="AL27" s="1191"/>
      <c r="AM27" s="1191"/>
    </row>
    <row r="28" spans="1:39">
      <c r="A28" s="1191"/>
      <c r="B28" s="1191" t="s">
        <v>561</v>
      </c>
      <c r="C28" s="1216">
        <f>'Quarterly Model'!BE96</f>
        <v>45</v>
      </c>
      <c r="D28" s="1191"/>
      <c r="E28" s="1216">
        <f>'Quarterly Model'!$BT96</f>
        <v>0</v>
      </c>
      <c r="F28" s="1191"/>
      <c r="H28" s="1216">
        <f>'Quarterly Model'!$BT96</f>
        <v>0</v>
      </c>
      <c r="I28" s="1191"/>
      <c r="J28" s="1191"/>
      <c r="K28" s="1216">
        <f>'Quarterly Model'!$BT96</f>
        <v>0</v>
      </c>
      <c r="L28" s="1191"/>
      <c r="N28" s="1216">
        <f>'Quarterly Model'!$CD96</f>
        <v>0</v>
      </c>
      <c r="O28" s="1191"/>
      <c r="P28" s="1191"/>
      <c r="Q28" s="1192"/>
      <c r="R28" s="1191"/>
      <c r="S28" s="1191"/>
      <c r="T28" s="1191"/>
      <c r="U28" s="1191"/>
      <c r="V28" s="1191"/>
      <c r="W28" s="1191"/>
      <c r="X28" s="1191"/>
      <c r="Y28" s="1191"/>
      <c r="Z28" s="1191"/>
      <c r="AA28" s="1191"/>
      <c r="AB28" s="1191"/>
      <c r="AC28" s="1191"/>
      <c r="AD28" s="1191"/>
      <c r="AE28" s="1191"/>
      <c r="AF28" s="1191"/>
      <c r="AG28" s="1191"/>
      <c r="AH28" s="1191"/>
      <c r="AI28" s="1191"/>
      <c r="AJ28" s="1191"/>
      <c r="AK28" s="1191"/>
      <c r="AL28" s="1191"/>
      <c r="AM28" s="1191"/>
    </row>
    <row r="29" spans="1:39">
      <c r="A29" s="1191"/>
      <c r="B29" s="1191" t="s">
        <v>562</v>
      </c>
      <c r="C29" s="1198">
        <f>C28+C8</f>
        <v>2219</v>
      </c>
      <c r="D29" s="1191"/>
      <c r="E29" s="1198">
        <f>E28+E8</f>
        <v>3479.202098678737</v>
      </c>
      <c r="F29" s="1198">
        <f>E29+(F23-E23)</f>
        <v>3434.4166950605145</v>
      </c>
      <c r="H29" s="1198">
        <f>H28+H8</f>
        <v>4178.3331772173706</v>
      </c>
      <c r="I29" s="1198">
        <f>H29+(I23-H23)</f>
        <v>4085.5105206299972</v>
      </c>
      <c r="J29" s="1191"/>
      <c r="K29" s="1198">
        <f>K28+K8</f>
        <v>5118.5581164663545</v>
      </c>
      <c r="L29" s="1198">
        <f>K29+(L23-K23)</f>
        <v>4901.2161899681669</v>
      </c>
      <c r="N29" s="1198">
        <f>N28+N8</f>
        <v>6235.8393434490017</v>
      </c>
      <c r="O29" s="1198">
        <f>N29+(O23-N23)</f>
        <v>5998.3173398889048</v>
      </c>
      <c r="P29" s="1191"/>
      <c r="Q29" s="1192"/>
      <c r="R29" s="1191"/>
      <c r="S29" s="1191"/>
      <c r="T29" s="1191"/>
      <c r="U29" s="1191"/>
      <c r="V29" s="1191"/>
      <c r="W29" s="1191"/>
      <c r="X29" s="1191"/>
      <c r="Y29" s="1191"/>
      <c r="Z29" s="1191"/>
      <c r="AA29" s="1191"/>
      <c r="AB29" s="1191"/>
      <c r="AC29" s="1191"/>
      <c r="AD29" s="1191"/>
      <c r="AE29" s="1191"/>
      <c r="AF29" s="1191"/>
      <c r="AG29" s="1191"/>
      <c r="AH29" s="1191"/>
      <c r="AI29" s="1191"/>
      <c r="AJ29" s="1191"/>
      <c r="AK29" s="1191"/>
      <c r="AL29" s="1191"/>
      <c r="AM29" s="1191"/>
    </row>
    <row r="30" spans="1:39">
      <c r="A30" s="1191"/>
      <c r="B30" s="1191" t="s">
        <v>539</v>
      </c>
      <c r="C30" s="1217">
        <f>'Quarterly Model'!BE102</f>
        <v>0.1775574583145561</v>
      </c>
      <c r="D30" s="1191"/>
      <c r="E30" s="1217">
        <f>'Quarterly Model'!$BT102</f>
        <v>0.19499999999999992</v>
      </c>
      <c r="F30" s="1218">
        <f>E30</f>
        <v>0.19499999999999992</v>
      </c>
      <c r="H30" s="1217">
        <f>'Quarterly Model'!$BT102</f>
        <v>0.19499999999999992</v>
      </c>
      <c r="I30" s="1218">
        <f>H30</f>
        <v>0.19499999999999992</v>
      </c>
      <c r="J30" s="1191"/>
      <c r="K30" s="1217">
        <f>'Quarterly Model'!$BT102</f>
        <v>0.19499999999999992</v>
      </c>
      <c r="L30" s="1218">
        <f>K30</f>
        <v>0.19499999999999992</v>
      </c>
      <c r="N30" s="1217">
        <f>'Quarterly Model'!$CD102</f>
        <v>0.2049999999999999</v>
      </c>
      <c r="O30" s="1218">
        <f>N30</f>
        <v>0.2049999999999999</v>
      </c>
      <c r="P30" s="1219"/>
      <c r="Q30" s="1192"/>
      <c r="R30" s="1191"/>
      <c r="S30" s="1191"/>
      <c r="T30" s="1191"/>
      <c r="U30" s="1191"/>
      <c r="V30" s="1191"/>
      <c r="W30" s="1191"/>
      <c r="X30" s="1191"/>
      <c r="Y30" s="1191"/>
      <c r="Z30" s="1191"/>
      <c r="AA30" s="1191"/>
      <c r="AB30" s="1191"/>
      <c r="AC30" s="1191"/>
      <c r="AD30" s="1191"/>
      <c r="AE30" s="1191"/>
      <c r="AF30" s="1191"/>
      <c r="AG30" s="1191"/>
      <c r="AH30" s="1191"/>
      <c r="AI30" s="1191"/>
      <c r="AJ30" s="1191"/>
      <c r="AK30" s="1191"/>
      <c r="AL30" s="1191"/>
      <c r="AM30" s="1191"/>
    </row>
    <row r="31" spans="1:39">
      <c r="A31" s="1191"/>
      <c r="B31" s="1191" t="s">
        <v>563</v>
      </c>
      <c r="C31" s="1195">
        <f>'Quarterly Model'!BE143</f>
        <v>1217.5</v>
      </c>
      <c r="D31" s="1191"/>
      <c r="E31" s="1195">
        <f>'Quarterly Model'!$BT143</f>
        <v>1204.7748629082171</v>
      </c>
      <c r="F31" s="1198">
        <f>E31</f>
        <v>1204.7748629082171</v>
      </c>
      <c r="H31" s="1195">
        <f>'Quarterly Model'!$BT143</f>
        <v>1204.7748629082171</v>
      </c>
      <c r="I31" s="1198">
        <f>H31</f>
        <v>1204.7748629082171</v>
      </c>
      <c r="J31" s="1191"/>
      <c r="K31" s="1195">
        <f>'Quarterly Model'!$BT143</f>
        <v>1204.7748629082171</v>
      </c>
      <c r="L31" s="1198">
        <f>K31</f>
        <v>1204.7748629082171</v>
      </c>
      <c r="N31" s="1195">
        <f>'Quarterly Model'!$CD143</f>
        <v>1187.4497942532716</v>
      </c>
      <c r="O31" s="1198">
        <f>N31</f>
        <v>1187.4497942532716</v>
      </c>
      <c r="P31" s="1191"/>
      <c r="Q31" s="1192"/>
      <c r="R31" s="1191"/>
      <c r="S31" s="1191"/>
      <c r="T31" s="1191"/>
      <c r="U31" s="1191"/>
      <c r="V31" s="1191"/>
      <c r="W31" s="1191"/>
      <c r="X31" s="1191"/>
      <c r="Y31" s="1191"/>
      <c r="Z31" s="1191"/>
      <c r="AA31" s="1191"/>
      <c r="AB31" s="1191"/>
      <c r="AC31" s="1191"/>
      <c r="AD31" s="1191"/>
      <c r="AE31" s="1191"/>
      <c r="AF31" s="1191"/>
      <c r="AG31" s="1191"/>
      <c r="AH31" s="1191"/>
      <c r="AI31" s="1191"/>
      <c r="AJ31" s="1191"/>
      <c r="AK31" s="1191"/>
      <c r="AL31" s="1191"/>
      <c r="AM31" s="1191"/>
    </row>
    <row r="32" spans="1:39">
      <c r="A32" s="1191"/>
      <c r="B32" s="1191" t="s">
        <v>564</v>
      </c>
      <c r="C32" s="1220">
        <f>C29*(1-C30)/C31</f>
        <v>1.4989733059548256</v>
      </c>
      <c r="D32" s="1191"/>
      <c r="E32" s="1220">
        <f>E29*(1-E30)/E31</f>
        <v>2.324714580013405</v>
      </c>
      <c r="F32" s="1220">
        <f>F29*(1-F30)/F31</f>
        <v>2.2947901094566054</v>
      </c>
      <c r="H32" s="1220">
        <f>H29*(1-H30)/H31</f>
        <v>2.7918562307489214</v>
      </c>
      <c r="I32" s="1220">
        <f>I29*(1-I30)/I31</f>
        <v>2.7298344863937456</v>
      </c>
      <c r="J32" s="1191"/>
      <c r="K32" s="1220">
        <f>K29*(1-K30)/K31</f>
        <v>3.4200906830086493</v>
      </c>
      <c r="L32" s="1220">
        <f>L29*(1-L30)/L31</f>
        <v>3.2748683213727974</v>
      </c>
      <c r="N32" s="1220">
        <f>N29*(1-N30)/N31</f>
        <v>4.174906848301303</v>
      </c>
      <c r="O32" s="1220">
        <f>O29*(1-O30)/O31</f>
        <v>4.0158853943045703</v>
      </c>
      <c r="P32" s="1191"/>
      <c r="Q32" s="1192"/>
      <c r="R32" s="1191"/>
      <c r="S32" s="1191"/>
      <c r="T32" s="1191"/>
      <c r="U32" s="1191"/>
      <c r="V32" s="1191"/>
      <c r="W32" s="1191"/>
      <c r="X32" s="1191"/>
      <c r="Y32" s="1191"/>
      <c r="Z32" s="1191"/>
      <c r="AA32" s="1191"/>
      <c r="AB32" s="1191"/>
      <c r="AC32" s="1191"/>
      <c r="AD32" s="1191"/>
      <c r="AE32" s="1191"/>
      <c r="AF32" s="1191"/>
      <c r="AG32" s="1191"/>
      <c r="AH32" s="1191"/>
      <c r="AI32" s="1191"/>
      <c r="AJ32" s="1191"/>
      <c r="AK32" s="1191"/>
      <c r="AL32" s="1191"/>
      <c r="AM32" s="1191"/>
    </row>
    <row r="33" spans="1:39">
      <c r="A33" s="1191"/>
      <c r="B33" s="1191" t="s">
        <v>565</v>
      </c>
      <c r="C33" s="1214"/>
      <c r="D33" s="1191"/>
      <c r="E33" s="1214"/>
      <c r="F33" s="1215">
        <f>F32/E32-1</f>
        <v>-1.2872320246998692E-2</v>
      </c>
      <c r="H33" s="1214"/>
      <c r="I33" s="1215">
        <f>I32/H32-1</f>
        <v>-2.2215235753217266E-2</v>
      </c>
      <c r="J33" s="1191"/>
      <c r="K33" s="1214"/>
      <c r="L33" s="1215">
        <f>L32/K32-1</f>
        <v>-4.2461552951601811E-2</v>
      </c>
      <c r="N33" s="1214"/>
      <c r="O33" s="1215">
        <f>O32/N32-1</f>
        <v>-3.808982086904189E-2</v>
      </c>
      <c r="P33" s="1191" t="s">
        <v>566</v>
      </c>
      <c r="Q33" s="1192"/>
      <c r="R33" s="1191"/>
      <c r="S33" s="1191"/>
      <c r="T33" s="1191"/>
      <c r="U33" s="1191"/>
      <c r="V33" s="1191"/>
      <c r="W33" s="1191"/>
      <c r="X33" s="1191"/>
      <c r="Y33" s="1191"/>
      <c r="Z33" s="1191"/>
      <c r="AA33" s="1191"/>
      <c r="AB33" s="1191"/>
      <c r="AC33" s="1191"/>
      <c r="AD33" s="1191"/>
      <c r="AE33" s="1191">
        <f>14/3</f>
        <v>4.666666666666667</v>
      </c>
      <c r="AF33" s="1191"/>
      <c r="AG33" s="1191"/>
      <c r="AH33" s="1191"/>
      <c r="AI33" s="1191"/>
      <c r="AJ33" s="1191"/>
      <c r="AK33" s="1191"/>
      <c r="AL33" s="1191"/>
      <c r="AM33" s="1191"/>
    </row>
    <row r="34" spans="1:39">
      <c r="A34" s="1191"/>
      <c r="B34" s="1191"/>
      <c r="C34" s="1214"/>
      <c r="D34" s="1214"/>
      <c r="E34" s="1191"/>
      <c r="F34" s="1191"/>
      <c r="G34" s="1192"/>
      <c r="H34" s="1192"/>
      <c r="I34" s="1191"/>
      <c r="J34" s="1192"/>
      <c r="N34" s="1192"/>
      <c r="O34" s="1191"/>
      <c r="P34" s="1191"/>
      <c r="Q34" s="1192"/>
      <c r="R34" s="1221"/>
      <c r="S34" s="1222"/>
      <c r="T34" s="1191"/>
      <c r="U34" s="1191"/>
      <c r="V34" s="1191"/>
      <c r="W34" s="1191"/>
      <c r="X34" s="1191"/>
      <c r="Y34" s="1191"/>
      <c r="Z34" s="1191"/>
      <c r="AA34" s="1191"/>
      <c r="AB34" s="1191"/>
      <c r="AC34" s="1191"/>
      <c r="AD34" s="1191"/>
      <c r="AE34" s="1191"/>
      <c r="AF34" s="1191"/>
      <c r="AG34" s="1191"/>
      <c r="AH34" s="1191"/>
      <c r="AI34" s="1191"/>
      <c r="AJ34" s="1191"/>
      <c r="AK34" s="1191"/>
      <c r="AL34" s="1191"/>
      <c r="AM34" s="1191"/>
    </row>
    <row r="35" spans="1:39">
      <c r="A35" s="1191"/>
      <c r="B35" s="1191"/>
      <c r="C35" s="1191"/>
      <c r="D35" s="1191"/>
      <c r="E35" s="1212"/>
      <c r="F35" s="1191"/>
      <c r="G35" s="1192"/>
      <c r="H35" s="1192"/>
      <c r="I35" s="1191"/>
      <c r="J35" s="1192"/>
      <c r="K35" s="1192"/>
      <c r="L35" s="1191"/>
      <c r="M35" s="1191"/>
      <c r="N35" s="1191"/>
      <c r="O35" s="1223"/>
      <c r="P35" s="1191"/>
      <c r="Q35" s="1191"/>
      <c r="R35" s="1191"/>
      <c r="S35" s="1191"/>
      <c r="T35" s="1191"/>
      <c r="U35" s="1191"/>
      <c r="V35" s="1191"/>
      <c r="W35" s="1191"/>
      <c r="X35" s="1191"/>
      <c r="Y35" s="1191"/>
      <c r="Z35" s="1191"/>
      <c r="AA35" s="1191"/>
      <c r="AB35" s="1191"/>
      <c r="AC35" s="1191"/>
      <c r="AD35" s="1191"/>
      <c r="AE35" s="1191"/>
      <c r="AF35" s="1191"/>
      <c r="AG35" s="1191"/>
      <c r="AH35" s="1191"/>
      <c r="AI35" s="1191"/>
      <c r="AJ35" s="1191"/>
      <c r="AK35" s="1191"/>
      <c r="AL35" s="1191"/>
      <c r="AM35" s="1191"/>
    </row>
    <row r="36" spans="1:39" ht="25.5" customHeight="1">
      <c r="A36" s="1191"/>
      <c r="B36" s="1224" t="s">
        <v>567</v>
      </c>
      <c r="C36" s="1225" t="s">
        <v>568</v>
      </c>
      <c r="D36" s="1340" t="s">
        <v>610</v>
      </c>
      <c r="E36" s="1340"/>
      <c r="F36" s="1340" t="s">
        <v>611</v>
      </c>
      <c r="G36" s="1340"/>
      <c r="H36" s="1282" t="s">
        <v>569</v>
      </c>
      <c r="I36" s="1282"/>
      <c r="J36" s="1282"/>
      <c r="K36" s="1282"/>
      <c r="L36" s="1282"/>
      <c r="M36" s="1282"/>
      <c r="N36" s="1282"/>
      <c r="O36" s="1223"/>
      <c r="P36" s="1191"/>
      <c r="Q36" s="1191"/>
      <c r="R36" s="1191"/>
      <c r="S36" s="1191"/>
      <c r="T36" s="1191"/>
      <c r="U36" s="1191"/>
      <c r="V36" s="1191"/>
      <c r="W36" s="1191"/>
      <c r="X36" s="1191"/>
      <c r="Y36" s="1191"/>
      <c r="Z36" s="1191"/>
      <c r="AA36" s="1191"/>
      <c r="AB36" s="1191"/>
      <c r="AC36" s="1191"/>
      <c r="AD36" s="1191"/>
      <c r="AE36" s="1191"/>
      <c r="AF36" s="1191"/>
      <c r="AG36" s="1191"/>
      <c r="AH36" s="1191"/>
      <c r="AI36" s="1191"/>
      <c r="AJ36" s="1191"/>
      <c r="AK36" s="1191"/>
      <c r="AL36" s="1191"/>
      <c r="AM36" s="1191"/>
    </row>
    <row r="37" spans="1:39">
      <c r="A37" s="1191"/>
      <c r="B37" s="1191" t="s">
        <v>570</v>
      </c>
      <c r="C37" s="1203">
        <v>1.9E-3</v>
      </c>
      <c r="D37" s="1226">
        <v>3.5000000000000001E-3</v>
      </c>
      <c r="E37" s="1227"/>
      <c r="F37" s="1226">
        <v>0</v>
      </c>
      <c r="G37" s="1227"/>
      <c r="H37" s="1283" t="s">
        <v>571</v>
      </c>
      <c r="I37" s="1283"/>
      <c r="J37" s="1283"/>
      <c r="K37" s="1283"/>
      <c r="L37" s="1283"/>
      <c r="M37" s="1283"/>
      <c r="N37" s="1283"/>
      <c r="O37" s="1191"/>
      <c r="P37" s="1191"/>
      <c r="Q37" s="1191"/>
      <c r="R37" s="1191"/>
      <c r="S37" s="1191"/>
      <c r="T37" s="1191"/>
      <c r="U37" s="1191"/>
      <c r="V37" s="1191"/>
      <c r="W37" s="1191"/>
      <c r="X37" s="1191"/>
      <c r="Y37" s="1191"/>
      <c r="Z37" s="1191"/>
      <c r="AA37" s="1191"/>
      <c r="AB37" s="1191"/>
      <c r="AC37" s="1191"/>
      <c r="AD37" s="1191"/>
      <c r="AE37" s="1191"/>
      <c r="AF37" s="1191"/>
      <c r="AG37" s="1191"/>
      <c r="AH37" s="1191"/>
      <c r="AI37" s="1191"/>
      <c r="AJ37" s="1191"/>
      <c r="AK37" s="1191"/>
      <c r="AL37" s="1191"/>
      <c r="AM37" s="1191"/>
    </row>
    <row r="38" spans="1:39">
      <c r="A38" s="1191"/>
      <c r="B38" s="1191" t="s">
        <v>572</v>
      </c>
      <c r="C38" s="1203">
        <v>3.3388415745095549E-3</v>
      </c>
      <c r="D38" s="1226">
        <v>4.4999999999999997E-3</v>
      </c>
      <c r="E38" s="1227"/>
      <c r="F38" s="1226">
        <v>2.8E-3</v>
      </c>
      <c r="G38" s="1227"/>
      <c r="H38" s="1283" t="s">
        <v>573</v>
      </c>
      <c r="I38" s="1283"/>
      <c r="J38" s="1283"/>
      <c r="K38" s="1283"/>
      <c r="L38" s="1283"/>
      <c r="M38" s="1283"/>
      <c r="N38" s="1283"/>
      <c r="O38" s="1191"/>
      <c r="P38" s="1191"/>
      <c r="Q38" s="1191"/>
      <c r="R38" s="1191"/>
      <c r="S38" s="1191"/>
      <c r="T38" s="1191"/>
      <c r="U38" s="1191"/>
      <c r="V38" s="1222"/>
      <c r="W38" s="1236"/>
      <c r="X38" s="1191"/>
      <c r="Y38" s="1191"/>
      <c r="Z38" s="1191"/>
      <c r="AA38" s="1191"/>
      <c r="AB38" s="1191"/>
      <c r="AC38" s="1191"/>
      <c r="AD38" s="1191"/>
      <c r="AE38" s="1191"/>
      <c r="AF38" s="1191"/>
      <c r="AG38" s="1191"/>
      <c r="AH38" s="1191"/>
      <c r="AI38" s="1191"/>
      <c r="AJ38" s="1191"/>
      <c r="AK38" s="1191"/>
      <c r="AL38" s="1191"/>
      <c r="AM38" s="1191"/>
    </row>
    <row r="39" spans="1:39">
      <c r="A39" s="1191"/>
      <c r="B39" s="1191" t="s">
        <v>574</v>
      </c>
      <c r="C39" s="1203">
        <v>2.4998940722850728E-3</v>
      </c>
      <c r="D39" s="1226">
        <v>2E-3</v>
      </c>
      <c r="E39" s="1227"/>
      <c r="F39" s="1226">
        <f t="shared" ref="F39:F41" si="0">C39</f>
        <v>2.4998940722850728E-3</v>
      </c>
      <c r="G39" s="1227"/>
      <c r="H39" s="1283" t="s">
        <v>575</v>
      </c>
      <c r="I39" s="1283"/>
      <c r="J39" s="1283"/>
      <c r="K39" s="1283"/>
      <c r="L39" s="1283"/>
      <c r="M39" s="1283"/>
      <c r="N39" s="1283"/>
      <c r="O39" s="1191"/>
      <c r="P39" s="1191"/>
      <c r="Q39" s="1191"/>
      <c r="R39" s="1191"/>
      <c r="S39" s="1191"/>
      <c r="T39" s="1191"/>
      <c r="U39" s="1191"/>
      <c r="V39" s="1222"/>
      <c r="W39" s="1236"/>
      <c r="X39" s="1191"/>
      <c r="Y39" s="1191"/>
      <c r="Z39" s="1191"/>
      <c r="AA39" s="1191"/>
      <c r="AB39" s="1191"/>
      <c r="AC39" s="1191"/>
      <c r="AD39" s="1191"/>
      <c r="AE39" s="1191"/>
      <c r="AF39" s="1191"/>
      <c r="AG39" s="1191"/>
      <c r="AH39" s="1191"/>
      <c r="AI39" s="1191"/>
      <c r="AJ39" s="1191"/>
      <c r="AK39" s="1191"/>
      <c r="AL39" s="1191"/>
      <c r="AM39" s="1191"/>
    </row>
    <row r="40" spans="1:39" ht="13.5" customHeight="1">
      <c r="A40" s="1191"/>
      <c r="B40" s="1191" t="s">
        <v>131</v>
      </c>
      <c r="C40" s="1203">
        <v>1.9631936499865826E-3</v>
      </c>
      <c r="D40" s="1226">
        <v>2.5000000000000001E-3</v>
      </c>
      <c r="E40" s="1227"/>
      <c r="F40" s="1226">
        <v>2E-3</v>
      </c>
      <c r="G40" s="1227"/>
      <c r="H40" s="1283" t="s">
        <v>576</v>
      </c>
      <c r="I40" s="1283"/>
      <c r="J40" s="1283"/>
      <c r="K40" s="1283"/>
      <c r="L40" s="1283"/>
      <c r="M40" s="1283"/>
      <c r="N40" s="1283"/>
      <c r="O40" s="1191"/>
      <c r="P40" s="1191"/>
      <c r="Q40" s="1191"/>
      <c r="R40" s="1191"/>
      <c r="S40" s="1191"/>
      <c r="T40" s="1191"/>
      <c r="U40" s="1191"/>
      <c r="V40" s="1191"/>
      <c r="W40" s="1236"/>
      <c r="X40" s="1191"/>
      <c r="Y40" s="1191"/>
      <c r="Z40" s="1191"/>
      <c r="AA40" s="1191"/>
      <c r="AB40" s="1281"/>
      <c r="AC40" s="1191"/>
      <c r="AD40" s="1191"/>
      <c r="AE40" s="1191"/>
      <c r="AF40" s="1191"/>
      <c r="AG40" s="1191"/>
      <c r="AH40" s="1191"/>
      <c r="AI40" s="1191"/>
      <c r="AJ40" s="1191"/>
      <c r="AK40" s="1191"/>
      <c r="AL40" s="1191"/>
      <c r="AM40" s="1191"/>
    </row>
    <row r="41" spans="1:39">
      <c r="A41" s="1191"/>
      <c r="B41" s="1191" t="s">
        <v>577</v>
      </c>
      <c r="C41" s="1203">
        <v>2.5055435504145306E-3</v>
      </c>
      <c r="D41" s="1226">
        <v>1.5E-3</v>
      </c>
      <c r="E41" s="1227"/>
      <c r="F41" s="1226">
        <f t="shared" si="0"/>
        <v>2.5055435504145306E-3</v>
      </c>
      <c r="G41" s="1227"/>
      <c r="H41" s="1283" t="s">
        <v>578</v>
      </c>
      <c r="I41" s="1283"/>
      <c r="J41" s="1283"/>
      <c r="K41" s="1283"/>
      <c r="L41" s="1283"/>
      <c r="M41" s="1283"/>
      <c r="N41" s="1283"/>
      <c r="O41" s="1191"/>
      <c r="P41" s="1191"/>
      <c r="Q41" s="1191"/>
      <c r="R41" s="1191"/>
      <c r="S41" s="1191"/>
      <c r="T41" s="1191"/>
      <c r="U41" s="1191"/>
      <c r="V41" s="1191"/>
      <c r="W41" s="1191"/>
      <c r="X41" s="1191"/>
      <c r="Y41" s="1191"/>
      <c r="Z41" s="1191"/>
      <c r="AA41" s="1191"/>
      <c r="AB41" s="1281"/>
      <c r="AC41" s="1191"/>
      <c r="AD41" s="1191"/>
      <c r="AE41" s="1191"/>
      <c r="AF41" s="1191"/>
      <c r="AG41" s="1191"/>
      <c r="AH41" s="1191"/>
      <c r="AI41" s="1191"/>
      <c r="AJ41" s="1191"/>
      <c r="AK41" s="1191"/>
      <c r="AL41" s="1191"/>
      <c r="AM41" s="1191"/>
    </row>
    <row r="42" spans="1:39">
      <c r="A42" s="1191"/>
      <c r="B42" s="1191" t="s">
        <v>579</v>
      </c>
      <c r="C42" s="1203">
        <v>1.6524723528664039E-3</v>
      </c>
      <c r="D42" s="1226">
        <v>1.1999999999999999E-3</v>
      </c>
      <c r="E42" s="1227"/>
      <c r="F42" s="1226">
        <v>1.6999999999999999E-3</v>
      </c>
      <c r="G42" s="1227"/>
      <c r="H42" s="1284" t="s">
        <v>580</v>
      </c>
      <c r="I42" s="1284"/>
      <c r="J42" s="1284"/>
      <c r="K42" s="1284"/>
      <c r="L42" s="1284"/>
      <c r="M42" s="1284"/>
      <c r="N42" s="1284"/>
      <c r="O42" s="1191"/>
      <c r="P42" s="1191"/>
      <c r="Q42" s="1191"/>
      <c r="R42" s="1191"/>
      <c r="S42" s="1191"/>
      <c r="T42" s="1191"/>
      <c r="U42" s="1191"/>
      <c r="V42" s="1191"/>
      <c r="W42" s="1191"/>
      <c r="X42" s="1191"/>
      <c r="Y42" s="1191"/>
      <c r="Z42" s="1191"/>
      <c r="AA42" s="1191"/>
      <c r="AB42" s="1281"/>
      <c r="AC42" s="1191"/>
      <c r="AD42" s="1191"/>
      <c r="AE42" s="1191"/>
      <c r="AF42" s="1191"/>
      <c r="AG42" s="1191"/>
      <c r="AH42" s="1191"/>
      <c r="AI42" s="1191"/>
      <c r="AJ42" s="1191"/>
      <c r="AK42" s="1191"/>
      <c r="AL42" s="1191"/>
      <c r="AM42" s="1191"/>
    </row>
    <row r="43" spans="1:39" ht="13.5" thickBot="1">
      <c r="A43" s="1191"/>
      <c r="B43" s="1228" t="s">
        <v>581</v>
      </c>
      <c r="C43" s="1229">
        <f>+SUM(C37:C42)</f>
        <v>1.3859945200062146E-2</v>
      </c>
      <c r="D43" s="1230">
        <f>+SUM(D37:D42)</f>
        <v>1.52E-2</v>
      </c>
      <c r="E43" s="1231"/>
      <c r="F43" s="1230">
        <f>+SUM(F37:F42)</f>
        <v>1.1505437622699604E-2</v>
      </c>
      <c r="G43" s="1231"/>
      <c r="H43" s="1285" t="s">
        <v>582</v>
      </c>
      <c r="I43" s="1285"/>
      <c r="J43" s="1285"/>
      <c r="K43" s="1285"/>
      <c r="L43" s="1285"/>
      <c r="M43" s="1285"/>
      <c r="N43" s="1285"/>
      <c r="O43" s="1191"/>
      <c r="P43" s="1191"/>
      <c r="Q43" s="1191"/>
      <c r="R43" s="1191"/>
      <c r="S43" s="1191"/>
      <c r="T43" s="1191"/>
      <c r="U43" s="1191"/>
      <c r="V43" s="1191"/>
      <c r="W43" s="1191"/>
      <c r="X43" s="1191"/>
      <c r="Y43" s="1191"/>
      <c r="Z43" s="1191"/>
      <c r="AA43" s="1191"/>
      <c r="AB43" s="1191"/>
      <c r="AC43" s="1191"/>
      <c r="AD43" s="1191"/>
      <c r="AE43" s="1191"/>
      <c r="AF43" s="1191"/>
      <c r="AG43" s="1191"/>
      <c r="AH43" s="1191"/>
      <c r="AI43" s="1191"/>
      <c r="AJ43" s="1191"/>
      <c r="AK43" s="1191"/>
      <c r="AL43" s="1191"/>
      <c r="AM43" s="1191"/>
    </row>
    <row r="44" spans="1:39">
      <c r="A44" s="1191"/>
      <c r="B44" s="1191"/>
      <c r="C44" s="1191"/>
      <c r="D44" s="1191"/>
      <c r="E44" s="1191"/>
      <c r="F44" s="1191"/>
      <c r="G44" s="1191"/>
      <c r="H44" s="1191"/>
      <c r="I44" s="1191"/>
      <c r="J44" s="1191"/>
      <c r="K44" s="1191"/>
      <c r="L44" s="1191"/>
      <c r="M44" s="1191"/>
      <c r="N44" s="1191"/>
      <c r="O44" s="1191"/>
      <c r="P44" s="1191"/>
      <c r="Q44" s="1191"/>
      <c r="R44" s="1191"/>
      <c r="S44" s="1191"/>
      <c r="T44" s="1191"/>
      <c r="U44" s="1191"/>
      <c r="V44" s="1191"/>
      <c r="W44" s="1191"/>
      <c r="X44" s="1191"/>
      <c r="Y44" s="1191"/>
      <c r="Z44" s="1191"/>
      <c r="AA44" s="1191"/>
      <c r="AB44" s="1191"/>
      <c r="AC44" s="1191"/>
      <c r="AD44" s="1191"/>
      <c r="AE44" s="1191"/>
      <c r="AF44" s="1191"/>
      <c r="AG44" s="1191"/>
      <c r="AH44" s="1191"/>
      <c r="AI44" s="1191"/>
      <c r="AJ44" s="1191"/>
      <c r="AK44" s="1191"/>
      <c r="AL44" s="1191"/>
      <c r="AM44" s="1191"/>
    </row>
    <row r="45" spans="1:39">
      <c r="A45" s="1191"/>
      <c r="B45" s="1191"/>
      <c r="C45" s="1191"/>
      <c r="D45" s="1191"/>
      <c r="E45" s="1191"/>
      <c r="F45" s="1191"/>
      <c r="G45" s="1191"/>
      <c r="H45" s="1191"/>
      <c r="I45" s="1191"/>
      <c r="J45" s="1191"/>
      <c r="K45" s="1191"/>
      <c r="L45" s="1191"/>
      <c r="M45" s="1191"/>
      <c r="N45" s="1191"/>
      <c r="O45" s="1191"/>
      <c r="P45" s="1191"/>
      <c r="Q45" s="1191"/>
      <c r="R45" s="1191"/>
      <c r="S45" s="1191"/>
      <c r="T45" s="1191"/>
      <c r="U45" s="1191"/>
      <c r="V45" s="1191"/>
      <c r="W45" s="1191"/>
      <c r="X45" s="1191"/>
      <c r="Y45" s="1191"/>
      <c r="Z45" s="1191"/>
      <c r="AA45" s="1191"/>
      <c r="AB45" s="1191"/>
      <c r="AC45" s="1191"/>
      <c r="AD45" s="1191"/>
      <c r="AE45" s="1191"/>
      <c r="AF45" s="1191"/>
      <c r="AG45" s="1191"/>
      <c r="AH45" s="1191"/>
      <c r="AI45" s="1191"/>
      <c r="AJ45" s="1191"/>
      <c r="AK45" s="1191"/>
      <c r="AL45" s="1191"/>
      <c r="AM45" s="1191"/>
    </row>
    <row r="46" spans="1:39">
      <c r="A46" s="1191"/>
      <c r="B46" s="1191"/>
      <c r="C46" s="1191"/>
      <c r="D46" s="1191"/>
      <c r="E46" s="1232" t="s">
        <v>606</v>
      </c>
      <c r="F46" s="1232"/>
      <c r="G46" s="1232"/>
      <c r="H46" s="1232"/>
      <c r="I46" s="1232"/>
      <c r="J46" s="1191"/>
      <c r="K46" s="1191"/>
      <c r="L46" s="1191"/>
      <c r="M46" s="1191"/>
      <c r="N46" s="1191"/>
      <c r="O46" s="1191"/>
      <c r="P46" s="1191"/>
      <c r="Q46" s="1191"/>
      <c r="R46" s="1191"/>
      <c r="S46" s="1191"/>
      <c r="T46" s="1191"/>
      <c r="U46" s="1191"/>
      <c r="V46" s="1191"/>
      <c r="W46" s="1191"/>
      <c r="X46" s="1191"/>
      <c r="Y46" s="1191"/>
      <c r="Z46" s="1191"/>
      <c r="AA46" s="1191"/>
      <c r="AB46" s="1191"/>
      <c r="AC46" s="1191"/>
      <c r="AD46" s="1191"/>
      <c r="AE46" s="1191"/>
      <c r="AF46" s="1191"/>
      <c r="AG46" s="1191"/>
      <c r="AH46" s="1191"/>
      <c r="AI46" s="1191"/>
      <c r="AJ46" s="1191"/>
      <c r="AK46" s="1191"/>
      <c r="AL46" s="1191"/>
      <c r="AM46" s="1191"/>
    </row>
    <row r="47" spans="1:39" ht="13.5" customHeight="1" thickBot="1">
      <c r="A47" s="1191"/>
      <c r="B47" s="1191"/>
      <c r="C47" s="1191"/>
      <c r="D47" s="1238">
        <f>O33</f>
        <v>-3.808982086904189E-2</v>
      </c>
      <c r="E47" s="1239">
        <v>0.2</v>
      </c>
      <c r="F47" s="1237">
        <f>+E47+10%</f>
        <v>0.30000000000000004</v>
      </c>
      <c r="G47" s="1237">
        <f t="shared" ref="G47:I47" si="1">+F47+10%</f>
        <v>0.4</v>
      </c>
      <c r="H47" s="1237">
        <f t="shared" si="1"/>
        <v>0.5</v>
      </c>
      <c r="I47" s="1233">
        <f t="shared" si="1"/>
        <v>0.6</v>
      </c>
      <c r="J47" s="1191"/>
      <c r="K47" s="1269"/>
      <c r="L47" s="1269"/>
      <c r="M47" s="1269"/>
      <c r="N47" s="1269"/>
      <c r="O47" s="1269"/>
      <c r="P47" s="1191"/>
      <c r="Q47" s="1191"/>
      <c r="R47" s="1191"/>
      <c r="S47" s="1191"/>
      <c r="T47" s="1191"/>
      <c r="U47" s="1191"/>
      <c r="V47" s="1191"/>
      <c r="W47" s="1191"/>
      <c r="X47" s="1191"/>
      <c r="Y47" s="1191"/>
      <c r="Z47" s="1191"/>
      <c r="AA47" s="1191"/>
      <c r="AB47" s="1191"/>
      <c r="AC47" s="1191"/>
      <c r="AD47" s="1191"/>
      <c r="AE47" s="1191"/>
      <c r="AF47" s="1191"/>
      <c r="AG47" s="1191"/>
      <c r="AH47" s="1191"/>
      <c r="AI47" s="1191"/>
      <c r="AJ47" s="1191"/>
      <c r="AK47" s="1191"/>
      <c r="AL47" s="1191"/>
      <c r="AM47" s="1191"/>
    </row>
    <row r="48" spans="1:39">
      <c r="A48" s="1191"/>
      <c r="B48" s="1191"/>
      <c r="C48" s="1341" t="s">
        <v>607</v>
      </c>
      <c r="D48" s="1240">
        <v>2.3E-2</v>
      </c>
      <c r="E48" s="1241">
        <f t="dataTable" ref="E48:I52" dt2D="1" dtr="1" r1="O13" r2="O15"/>
        <v>-0.11905100378461531</v>
      </c>
      <c r="F48" s="1242">
        <v>-0.11946158048555233</v>
      </c>
      <c r="G48" s="1243">
        <v>-0.11987177465651555</v>
      </c>
      <c r="H48" s="1244">
        <v>-0.12028158683185397</v>
      </c>
      <c r="I48" s="1241">
        <v>-0.12069101754492306</v>
      </c>
      <c r="J48" s="1191"/>
      <c r="K48" s="1269"/>
      <c r="L48" s="1269"/>
      <c r="M48" s="1269"/>
      <c r="N48" s="1269"/>
      <c r="O48" s="1269"/>
      <c r="P48" s="1191"/>
      <c r="Q48" s="1191"/>
      <c r="R48" s="1191"/>
      <c r="S48" s="1191"/>
      <c r="T48" s="1191"/>
      <c r="U48" s="1191"/>
      <c r="V48" s="1191"/>
      <c r="W48" s="1191"/>
      <c r="X48" s="1191"/>
      <c r="Y48" s="1191"/>
      <c r="Z48" s="1191"/>
      <c r="AA48" s="1191"/>
      <c r="AB48" s="1191"/>
      <c r="AC48" s="1191"/>
      <c r="AD48" s="1191"/>
      <c r="AE48" s="1191"/>
      <c r="AF48" s="1191"/>
      <c r="AG48" s="1191"/>
      <c r="AH48" s="1191"/>
      <c r="AI48" s="1191"/>
      <c r="AJ48" s="1191"/>
      <c r="AK48" s="1191"/>
      <c r="AL48" s="1191"/>
      <c r="AM48" s="1191"/>
    </row>
    <row r="49" spans="1:39">
      <c r="A49" s="1191"/>
      <c r="B49" s="1191"/>
      <c r="C49" s="1341"/>
      <c r="D49" s="1240">
        <f>+D48+0.2%</f>
        <v>2.5000000000000001E-2</v>
      </c>
      <c r="E49" s="1241">
        <v>-0.10284467581225587</v>
      </c>
      <c r="F49" s="1245">
        <v>-0.10532686803814484</v>
      </c>
      <c r="G49" s="1246">
        <v>-0.10779536301790138</v>
      </c>
      <c r="H49" s="1247">
        <v>-0.1102502738158917</v>
      </c>
      <c r="I49" s="1241">
        <v>-0.11269171225550612</v>
      </c>
      <c r="J49" s="1191"/>
      <c r="K49" s="1269"/>
      <c r="L49" s="1269"/>
      <c r="M49" s="1269"/>
      <c r="N49" s="1269"/>
      <c r="O49" s="1269"/>
      <c r="P49" s="1191"/>
      <c r="Q49" s="1191"/>
      <c r="R49" s="1191"/>
      <c r="S49" s="1191"/>
      <c r="T49" s="1191"/>
      <c r="U49" s="1191"/>
      <c r="V49" s="1191"/>
      <c r="W49" s="1191"/>
      <c r="X49" s="1191"/>
      <c r="Y49" s="1191"/>
      <c r="Z49" s="1191"/>
      <c r="AA49" s="1191"/>
      <c r="AB49" s="1191"/>
      <c r="AC49" s="1191"/>
      <c r="AD49" s="1191"/>
      <c r="AE49" s="1191"/>
      <c r="AF49" s="1191"/>
      <c r="AG49" s="1191"/>
      <c r="AH49" s="1191"/>
      <c r="AI49" s="1191"/>
      <c r="AJ49" s="1191"/>
      <c r="AK49" s="1191"/>
      <c r="AL49" s="1191"/>
      <c r="AM49" s="1191"/>
    </row>
    <row r="50" spans="1:39">
      <c r="A50" s="1191"/>
      <c r="B50" s="1191"/>
      <c r="C50" s="1341"/>
      <c r="D50" s="1240">
        <f t="shared" ref="D50:D52" si="2">+D49+0.2%</f>
        <v>2.7000000000000003E-2</v>
      </c>
      <c r="E50" s="1241">
        <v>-8.6030895297092291E-2</v>
      </c>
      <c r="F50" s="1245">
        <v>-9.0730961589970072E-2</v>
      </c>
      <c r="G50" s="1246">
        <v>-9.5382935220429177E-2</v>
      </c>
      <c r="H50" s="1247">
        <v>-9.9987550581687179E-2</v>
      </c>
      <c r="I50" s="1241">
        <v>-0.10454552719006849</v>
      </c>
      <c r="J50" s="1191"/>
      <c r="K50" s="1269"/>
      <c r="L50" s="1269"/>
      <c r="M50" s="1269"/>
      <c r="N50" s="1269"/>
      <c r="O50" s="1269"/>
      <c r="P50" s="1191"/>
      <c r="Q50" s="1191"/>
      <c r="R50" s="1235"/>
      <c r="S50" s="1191"/>
      <c r="T50" s="1191"/>
      <c r="U50" s="1191"/>
      <c r="V50" s="1191"/>
      <c r="W50" s="1191"/>
      <c r="X50" s="1191"/>
      <c r="Y50" s="1191"/>
      <c r="Z50" s="1191"/>
      <c r="AA50" s="1191"/>
      <c r="AB50" s="1191"/>
      <c r="AC50" s="1191"/>
      <c r="AD50" s="1191"/>
      <c r="AE50" s="1191"/>
      <c r="AF50" s="1191"/>
      <c r="AG50" s="1191"/>
      <c r="AH50" s="1191"/>
      <c r="AI50" s="1191"/>
      <c r="AJ50" s="1191"/>
      <c r="AK50" s="1191"/>
      <c r="AL50" s="1191"/>
      <c r="AM50" s="1191"/>
    </row>
    <row r="51" spans="1:39">
      <c r="A51" s="1191"/>
      <c r="B51" s="1191"/>
      <c r="C51" s="1341"/>
      <c r="D51" s="1240">
        <f t="shared" si="2"/>
        <v>2.9000000000000005E-2</v>
      </c>
      <c r="E51" s="1241">
        <v>-6.8574856746410617E-2</v>
      </c>
      <c r="F51" s="1245">
        <v>-7.5650914707597439E-2</v>
      </c>
      <c r="G51" s="1246">
        <v>-8.2620269350333064E-2</v>
      </c>
      <c r="H51" s="1247">
        <v>-8.9485316160100692E-2</v>
      </c>
      <c r="I51" s="1241">
        <v>-9.6248379450243338E-2</v>
      </c>
      <c r="J51" s="1191"/>
      <c r="K51" s="1269"/>
      <c r="L51" s="1269"/>
      <c r="M51" s="1269"/>
      <c r="N51" s="1269"/>
      <c r="O51" s="1269"/>
      <c r="P51" s="1191"/>
      <c r="Q51" s="1191"/>
      <c r="R51" s="1191"/>
      <c r="S51" s="1191"/>
      <c r="T51" s="1191"/>
      <c r="U51" s="1269"/>
      <c r="V51" s="1191"/>
      <c r="W51" s="1191"/>
      <c r="X51" s="1191"/>
      <c r="Y51" s="1191"/>
      <c r="Z51" s="1191"/>
      <c r="AA51" s="1191"/>
      <c r="AB51" s="1191"/>
      <c r="AC51" s="1191"/>
      <c r="AD51" s="1191"/>
      <c r="AE51" s="1191"/>
      <c r="AF51" s="1191"/>
      <c r="AG51" s="1191"/>
      <c r="AH51" s="1191"/>
      <c r="AI51" s="1191"/>
      <c r="AJ51" s="1191"/>
      <c r="AK51" s="1191"/>
      <c r="AL51" s="1191"/>
      <c r="AM51" s="1191"/>
    </row>
    <row r="52" spans="1:39" ht="13.5" thickBot="1">
      <c r="A52" s="1191"/>
      <c r="B52" s="1191"/>
      <c r="C52" s="1341"/>
      <c r="D52" s="1240">
        <f t="shared" si="2"/>
        <v>3.1000000000000007E-2</v>
      </c>
      <c r="E52" s="1241">
        <v>-5.0439043871433498E-2</v>
      </c>
      <c r="F52" s="1248">
        <v>-6.0062233037435631E-2</v>
      </c>
      <c r="G52" s="1249">
        <v>-6.9492329416867005E-2</v>
      </c>
      <c r="H52" s="1250">
        <v>-7.8735086997169246E-2</v>
      </c>
      <c r="I52" s="1241">
        <v>-8.7796033396272399E-2</v>
      </c>
      <c r="J52" s="1191"/>
      <c r="K52" s="1191"/>
      <c r="L52" s="1191"/>
      <c r="M52" s="1191"/>
      <c r="N52" s="1191"/>
      <c r="O52" s="1191"/>
      <c r="P52" s="1191"/>
      <c r="Q52" s="1191"/>
      <c r="R52" s="1191"/>
      <c r="S52" s="1191"/>
      <c r="T52" s="1191"/>
      <c r="U52" s="1191"/>
      <c r="V52" s="1191"/>
      <c r="W52" s="1191"/>
      <c r="X52" s="1191"/>
      <c r="Y52" s="1191"/>
      <c r="Z52" s="1191"/>
      <c r="AA52" s="1191"/>
      <c r="AB52" s="1191">
        <v>84.16</v>
      </c>
      <c r="AC52" s="1191"/>
      <c r="AD52" s="1191"/>
      <c r="AE52" s="1191"/>
      <c r="AF52" s="1191"/>
      <c r="AG52" s="1191"/>
      <c r="AH52" s="1191"/>
      <c r="AI52" s="1191"/>
      <c r="AJ52" s="1191"/>
      <c r="AK52" s="1191"/>
      <c r="AL52" s="1191"/>
      <c r="AM52" s="1191"/>
    </row>
    <row r="53" spans="1:39">
      <c r="A53" s="1191"/>
      <c r="B53" s="1191"/>
      <c r="C53" s="1251"/>
      <c r="D53" s="1251"/>
      <c r="E53" s="1241"/>
      <c r="F53" s="1241"/>
      <c r="G53" s="1241"/>
      <c r="H53" s="1241"/>
      <c r="I53" s="1241"/>
      <c r="J53" s="1191"/>
      <c r="K53" s="1191"/>
      <c r="L53" s="1191"/>
      <c r="M53" s="1191"/>
      <c r="N53" s="1191"/>
      <c r="O53" s="1191"/>
      <c r="P53" s="1191"/>
      <c r="Q53" s="1191"/>
      <c r="R53" s="1191"/>
      <c r="S53" s="1191"/>
      <c r="T53" s="1191"/>
      <c r="U53" s="1191"/>
      <c r="V53" s="1191"/>
      <c r="W53" s="1191"/>
      <c r="X53" s="1191"/>
      <c r="Y53" s="1191"/>
      <c r="Z53" s="1191"/>
      <c r="AA53" s="1191"/>
      <c r="AB53" s="1191">
        <v>74.680000000000007</v>
      </c>
      <c r="AC53" s="1191"/>
      <c r="AD53" s="1191"/>
      <c r="AE53" s="1191"/>
      <c r="AF53" s="1191"/>
      <c r="AG53" s="1191"/>
      <c r="AH53" s="1191"/>
      <c r="AI53" s="1191"/>
      <c r="AJ53" s="1191"/>
      <c r="AK53" s="1191"/>
      <c r="AL53" s="1191"/>
      <c r="AM53" s="1191"/>
    </row>
    <row r="54" spans="1:39">
      <c r="A54" s="1191"/>
      <c r="B54" s="1191"/>
      <c r="C54" s="1191"/>
      <c r="D54" s="1191"/>
      <c r="E54" s="1252"/>
      <c r="F54" s="1253"/>
      <c r="G54" s="1253"/>
      <c r="H54" s="1253"/>
      <c r="I54" s="1254"/>
      <c r="J54" s="1191"/>
      <c r="K54" s="1191"/>
      <c r="L54" s="1191"/>
      <c r="M54" s="1191"/>
      <c r="N54" s="1191"/>
      <c r="O54" s="1191"/>
      <c r="P54" s="1191"/>
      <c r="Q54" s="1191"/>
      <c r="R54" s="1191"/>
      <c r="S54" s="1191"/>
      <c r="T54" s="1191"/>
      <c r="U54" s="1191"/>
      <c r="V54" s="1191"/>
      <c r="W54" s="1191"/>
      <c r="X54" s="1191"/>
      <c r="Y54" s="1191"/>
      <c r="Z54" s="1191"/>
      <c r="AA54" s="1191"/>
      <c r="AB54" s="1191">
        <f>+AB53/AB52-1</f>
        <v>-0.11264258555133067</v>
      </c>
      <c r="AC54" s="1191"/>
      <c r="AD54" s="1191"/>
      <c r="AE54" s="1191"/>
      <c r="AF54" s="1191"/>
      <c r="AG54" s="1191"/>
      <c r="AH54" s="1191"/>
      <c r="AI54" s="1191"/>
      <c r="AJ54" s="1191"/>
      <c r="AK54" s="1191"/>
      <c r="AL54" s="1191"/>
      <c r="AM54" s="1191"/>
    </row>
    <row r="55" spans="1:39" hidden="1">
      <c r="A55" s="1191"/>
      <c r="B55" s="1191"/>
      <c r="C55" s="1191"/>
      <c r="D55" s="1191"/>
      <c r="E55" s="1218"/>
      <c r="F55" s="1218"/>
      <c r="G55" s="1218"/>
      <c r="H55" s="1218"/>
      <c r="I55" s="1218"/>
      <c r="J55" s="1191"/>
      <c r="K55" s="1191"/>
      <c r="L55" s="1191"/>
      <c r="M55" s="1191"/>
      <c r="N55" s="1191"/>
      <c r="O55" s="1191"/>
      <c r="P55" s="1191"/>
      <c r="Q55" s="1191"/>
      <c r="R55" s="1191"/>
      <c r="S55" s="1191"/>
      <c r="T55" s="1191"/>
      <c r="U55" s="1191"/>
      <c r="V55" s="1191"/>
      <c r="W55" s="1191"/>
      <c r="X55" s="1191"/>
      <c r="Y55" s="1191"/>
      <c r="Z55" s="1191"/>
      <c r="AA55" s="1191"/>
      <c r="AB55" s="1191"/>
      <c r="AC55" s="1191"/>
      <c r="AD55" s="1191"/>
      <c r="AE55" s="1191"/>
      <c r="AF55" s="1191"/>
      <c r="AG55" s="1191"/>
      <c r="AH55" s="1191"/>
      <c r="AI55" s="1191"/>
      <c r="AJ55" s="1191"/>
      <c r="AK55" s="1191"/>
      <c r="AL55" s="1191"/>
      <c r="AM55" s="1191"/>
    </row>
    <row r="56" spans="1:39">
      <c r="A56" s="1191"/>
      <c r="B56" s="1191"/>
      <c r="C56" s="1191"/>
      <c r="D56" s="1255">
        <f>N12</f>
        <v>4.6699999999999964E-2</v>
      </c>
      <c r="E56" s="1256"/>
      <c r="F56" s="1256"/>
      <c r="G56" s="1256"/>
      <c r="H56" s="1256"/>
      <c r="I56" s="1256"/>
      <c r="J56" s="1191"/>
      <c r="K56" s="1191"/>
      <c r="L56" s="1191"/>
      <c r="M56" s="1191"/>
      <c r="N56" s="1191"/>
      <c r="O56" s="1191"/>
      <c r="P56" s="1191"/>
      <c r="Q56" s="1191"/>
      <c r="R56" s="1191"/>
      <c r="S56" s="1191"/>
      <c r="T56" s="1191"/>
      <c r="U56" s="1191"/>
      <c r="V56" s="1191"/>
      <c r="W56" s="1191"/>
      <c r="X56" s="1191"/>
      <c r="Y56" s="1191"/>
      <c r="Z56" s="1191"/>
      <c r="AA56" s="1191"/>
      <c r="AB56" s="1191"/>
      <c r="AC56" s="1191"/>
      <c r="AD56" s="1191"/>
      <c r="AE56" s="1191"/>
      <c r="AF56" s="1191"/>
      <c r="AG56" s="1191"/>
      <c r="AH56" s="1191"/>
      <c r="AI56" s="1191"/>
      <c r="AJ56" s="1191"/>
      <c r="AK56" s="1191"/>
      <c r="AL56" s="1191"/>
      <c r="AM56" s="1191"/>
    </row>
    <row r="57" spans="1:39">
      <c r="A57" s="1191"/>
      <c r="B57" s="1191"/>
      <c r="C57" s="1191"/>
      <c r="D57" s="1191"/>
      <c r="E57" s="1191"/>
      <c r="F57" s="1191"/>
      <c r="G57" s="1191"/>
      <c r="H57" s="1191"/>
      <c r="I57" s="1191"/>
      <c r="J57" s="1191"/>
      <c r="K57" s="1191"/>
      <c r="L57" s="1191"/>
      <c r="M57" s="1191"/>
      <c r="N57" s="1191"/>
      <c r="O57" s="1191"/>
      <c r="P57" s="1191"/>
      <c r="Q57" s="1191"/>
      <c r="R57" s="1191"/>
      <c r="S57" s="1191"/>
      <c r="T57" s="1191"/>
      <c r="U57" s="1191"/>
      <c r="V57" s="1191"/>
      <c r="W57" s="1191"/>
      <c r="X57" s="1191"/>
      <c r="Y57" s="1191"/>
      <c r="Z57" s="1191"/>
      <c r="AA57" s="1191"/>
      <c r="AB57" s="1191"/>
      <c r="AC57" s="1191"/>
      <c r="AD57" s="1191"/>
      <c r="AE57" s="1191"/>
      <c r="AF57" s="1191"/>
      <c r="AG57" s="1191"/>
      <c r="AH57" s="1191"/>
      <c r="AI57" s="1191"/>
      <c r="AJ57" s="1191"/>
      <c r="AK57" s="1191"/>
      <c r="AL57" s="1191"/>
      <c r="AM57" s="1191"/>
    </row>
    <row r="58" spans="1:39">
      <c r="A58" s="1191"/>
      <c r="B58" s="1191"/>
      <c r="C58" s="1191"/>
      <c r="D58" s="1191"/>
      <c r="E58" s="1191"/>
      <c r="F58" s="1191"/>
      <c r="G58" s="1191"/>
      <c r="H58" s="1191"/>
      <c r="I58" s="1191"/>
      <c r="J58" s="1191"/>
      <c r="K58" s="1191"/>
      <c r="L58" s="1191"/>
      <c r="M58" s="1191"/>
      <c r="N58" s="1191"/>
      <c r="O58" s="1191"/>
      <c r="P58" s="1191"/>
      <c r="Q58" s="1191"/>
      <c r="R58" s="1191"/>
      <c r="S58" s="1191"/>
      <c r="T58" s="1191"/>
      <c r="U58" s="1191"/>
      <c r="V58" s="1191"/>
      <c r="W58" s="1191"/>
      <c r="X58" s="1191"/>
      <c r="Y58" s="1191"/>
      <c r="Z58" s="1191"/>
      <c r="AA58" s="1191"/>
      <c r="AB58" s="1191"/>
      <c r="AC58" s="1191"/>
      <c r="AD58" s="1191"/>
      <c r="AE58" s="1191"/>
      <c r="AF58" s="1191"/>
      <c r="AG58" s="1191"/>
      <c r="AH58" s="1191"/>
      <c r="AI58" s="1191"/>
      <c r="AJ58" s="1191"/>
      <c r="AK58" s="1191"/>
      <c r="AL58" s="1191"/>
      <c r="AM58" s="1191"/>
    </row>
    <row r="59" spans="1:39">
      <c r="A59" s="1191"/>
      <c r="B59" s="1191"/>
      <c r="C59" s="1191"/>
      <c r="D59" s="1191"/>
      <c r="E59" s="1191"/>
      <c r="F59" s="1191"/>
      <c r="G59" s="1191"/>
      <c r="H59" s="1191"/>
      <c r="I59" s="1191"/>
      <c r="J59" s="1191"/>
      <c r="K59" s="1191"/>
      <c r="L59" s="1191"/>
      <c r="M59" s="1191"/>
      <c r="N59" s="1191"/>
      <c r="O59" s="1191"/>
      <c r="P59" s="1191"/>
      <c r="Q59" s="1191"/>
      <c r="R59" s="1191"/>
      <c r="S59" s="1191"/>
      <c r="T59" s="1191"/>
      <c r="U59" s="1191"/>
      <c r="V59" s="1191"/>
      <c r="W59" s="1191"/>
      <c r="X59" s="1191"/>
      <c r="Y59" s="1191"/>
      <c r="Z59" s="1191"/>
      <c r="AA59" s="1191"/>
      <c r="AB59" s="1191"/>
      <c r="AC59" s="1191"/>
      <c r="AD59" s="1191"/>
      <c r="AE59" s="1191"/>
      <c r="AF59" s="1191"/>
      <c r="AG59" s="1191"/>
      <c r="AH59" s="1191"/>
      <c r="AI59" s="1191"/>
      <c r="AJ59" s="1191"/>
      <c r="AK59" s="1191"/>
      <c r="AL59" s="1191"/>
      <c r="AM59" s="1191"/>
    </row>
    <row r="60" spans="1:39">
      <c r="A60" s="1191"/>
      <c r="B60" s="1191"/>
      <c r="C60" s="1191"/>
      <c r="D60" s="1191"/>
      <c r="E60" s="1191"/>
      <c r="F60" s="1191"/>
      <c r="G60" s="1191"/>
      <c r="H60" s="1191"/>
      <c r="I60" s="1191"/>
      <c r="J60" s="1191"/>
      <c r="K60" s="1191"/>
      <c r="L60" s="1191"/>
      <c r="M60" s="1191"/>
      <c r="N60" s="1191"/>
      <c r="O60" s="1191"/>
      <c r="P60" s="1191"/>
      <c r="Q60" s="1191"/>
      <c r="R60" s="1191"/>
      <c r="S60" s="1191"/>
      <c r="T60" s="1191"/>
      <c r="U60" s="1191"/>
      <c r="V60" s="1191"/>
      <c r="W60" s="1191"/>
      <c r="X60" s="1191"/>
      <c r="Y60" s="1191"/>
      <c r="Z60" s="1191"/>
      <c r="AA60" s="1191"/>
      <c r="AB60" s="1191"/>
      <c r="AC60" s="1191"/>
      <c r="AD60" s="1191"/>
      <c r="AE60" s="1191"/>
      <c r="AF60" s="1191"/>
      <c r="AG60" s="1191"/>
      <c r="AH60" s="1191"/>
      <c r="AI60" s="1191"/>
      <c r="AJ60" s="1191"/>
      <c r="AK60" s="1191"/>
      <c r="AL60" s="1191"/>
      <c r="AM60" s="1191"/>
    </row>
    <row r="61" spans="1:39">
      <c r="A61" s="1191"/>
      <c r="B61" s="1191"/>
      <c r="C61" s="1191"/>
      <c r="D61" s="1191"/>
      <c r="E61" s="1191"/>
      <c r="F61" s="1191"/>
      <c r="G61" s="1191"/>
      <c r="H61" s="1191"/>
      <c r="I61" s="1191"/>
      <c r="J61" s="1191"/>
      <c r="K61" s="1191"/>
      <c r="L61" s="1191"/>
      <c r="M61" s="1191"/>
      <c r="N61" s="1191"/>
      <c r="O61" s="1191"/>
      <c r="P61" s="1191"/>
      <c r="Q61" s="1191"/>
      <c r="R61" s="1191"/>
      <c r="S61" s="1191"/>
      <c r="T61" s="1191"/>
      <c r="U61" s="1191"/>
      <c r="V61" s="1191"/>
      <c r="W61" s="1191"/>
      <c r="X61" s="1191"/>
      <c r="Y61" s="1191"/>
      <c r="Z61" s="1191"/>
      <c r="AA61" s="1191"/>
      <c r="AB61" s="1191"/>
      <c r="AC61" s="1191"/>
      <c r="AD61" s="1191"/>
      <c r="AE61" s="1191"/>
      <c r="AF61" s="1191"/>
      <c r="AG61" s="1191"/>
      <c r="AH61" s="1191"/>
      <c r="AI61" s="1191"/>
      <c r="AJ61" s="1191"/>
      <c r="AK61" s="1191"/>
      <c r="AL61" s="1191"/>
      <c r="AM61" s="1191"/>
    </row>
    <row r="62" spans="1:39">
      <c r="A62" s="1191"/>
      <c r="B62" s="1191"/>
      <c r="C62" s="1191"/>
      <c r="D62" s="1191"/>
      <c r="E62" s="1191"/>
      <c r="F62" s="1191"/>
      <c r="G62" s="1191"/>
      <c r="H62" s="1191"/>
      <c r="I62" s="1191"/>
      <c r="J62" s="1191"/>
      <c r="K62" s="1191"/>
      <c r="L62" s="1191"/>
      <c r="M62" s="1191"/>
      <c r="N62" s="1191"/>
      <c r="O62" s="1191"/>
      <c r="P62" s="1191"/>
      <c r="Q62" s="1191"/>
      <c r="R62" s="1191"/>
      <c r="S62" s="1191"/>
      <c r="T62" s="1191"/>
      <c r="U62" s="1191"/>
      <c r="V62" s="1191"/>
      <c r="W62" s="1191"/>
      <c r="X62" s="1191"/>
      <c r="Y62" s="1191"/>
      <c r="Z62" s="1191"/>
      <c r="AA62" s="1191"/>
      <c r="AB62" s="1191"/>
      <c r="AC62" s="1191"/>
      <c r="AD62" s="1191"/>
      <c r="AE62" s="1191"/>
      <c r="AF62" s="1191"/>
      <c r="AG62" s="1191"/>
      <c r="AH62" s="1191"/>
      <c r="AI62" s="1191"/>
      <c r="AJ62" s="1191"/>
      <c r="AK62" s="1191"/>
      <c r="AL62" s="1191"/>
      <c r="AM62" s="1191"/>
    </row>
    <row r="63" spans="1:39">
      <c r="A63" s="1191"/>
      <c r="B63" s="1191"/>
      <c r="C63" s="1191"/>
      <c r="D63" s="1191"/>
      <c r="E63" s="1191"/>
      <c r="F63" s="1191"/>
      <c r="G63" s="1191"/>
      <c r="H63" s="1191"/>
      <c r="I63" s="1191"/>
      <c r="J63" s="1191"/>
      <c r="K63" s="1191"/>
      <c r="L63" s="1191"/>
      <c r="M63" s="1191"/>
      <c r="N63" s="1191"/>
      <c r="O63" s="1191"/>
      <c r="P63" s="1191"/>
      <c r="Q63" s="1191"/>
      <c r="R63" s="1191"/>
      <c r="S63" s="1191"/>
      <c r="T63" s="1191"/>
      <c r="U63" s="1191"/>
      <c r="V63" s="1191"/>
      <c r="W63" s="1191"/>
      <c r="X63" s="1191"/>
      <c r="Y63" s="1191"/>
      <c r="Z63" s="1191"/>
      <c r="AA63" s="1191"/>
      <c r="AB63" s="1191"/>
      <c r="AC63" s="1191"/>
      <c r="AD63" s="1191"/>
      <c r="AE63" s="1191"/>
      <c r="AF63" s="1191"/>
      <c r="AG63" s="1191"/>
      <c r="AH63" s="1191"/>
      <c r="AI63" s="1191"/>
      <c r="AJ63" s="1191"/>
      <c r="AK63" s="1191"/>
      <c r="AL63" s="1191"/>
      <c r="AM63" s="1191"/>
    </row>
    <row r="64" spans="1:39">
      <c r="A64" s="1191"/>
      <c r="B64" s="1191"/>
      <c r="C64" s="1191"/>
      <c r="D64" s="1191"/>
      <c r="E64" s="1191"/>
      <c r="F64" s="1191"/>
      <c r="G64" s="1191"/>
      <c r="H64" s="1191"/>
      <c r="I64" s="1191"/>
      <c r="J64" s="1191"/>
      <c r="K64" s="1191"/>
      <c r="L64" s="1191"/>
      <c r="M64" s="1191"/>
      <c r="N64" s="1191"/>
      <c r="O64" s="1191"/>
      <c r="P64" s="1191"/>
      <c r="Q64" s="1191"/>
      <c r="R64" s="1191"/>
      <c r="S64" s="1191"/>
      <c r="T64" s="1191"/>
      <c r="U64" s="1191"/>
      <c r="V64" s="1191"/>
      <c r="W64" s="1191"/>
      <c r="X64" s="1191"/>
      <c r="Y64" s="1191"/>
      <c r="Z64" s="1191"/>
      <c r="AA64" s="1191"/>
      <c r="AB64" s="1191"/>
      <c r="AC64" s="1191"/>
      <c r="AD64" s="1191"/>
      <c r="AE64" s="1191"/>
      <c r="AF64" s="1191"/>
      <c r="AG64" s="1191"/>
      <c r="AH64" s="1191"/>
      <c r="AI64" s="1191"/>
      <c r="AJ64" s="1191"/>
      <c r="AK64" s="1191"/>
      <c r="AL64" s="1191"/>
      <c r="AM64" s="1191"/>
    </row>
    <row r="65" spans="1:39">
      <c r="A65" s="1191"/>
      <c r="B65" s="1191"/>
      <c r="C65" s="1191"/>
      <c r="D65" s="1191"/>
      <c r="E65" s="1191"/>
      <c r="F65" s="1191"/>
      <c r="G65" s="1191"/>
      <c r="H65" s="1191"/>
      <c r="I65" s="1191"/>
      <c r="J65" s="1191"/>
      <c r="K65" s="1191"/>
      <c r="L65" s="1191"/>
      <c r="M65" s="1191"/>
      <c r="N65" s="1191"/>
      <c r="O65" s="1191"/>
      <c r="P65" s="1191"/>
      <c r="Q65" s="1191"/>
      <c r="R65" s="1191"/>
      <c r="S65" s="1191"/>
      <c r="T65" s="1191"/>
      <c r="U65" s="1191"/>
      <c r="V65" s="1191"/>
      <c r="W65" s="1191"/>
      <c r="X65" s="1191"/>
      <c r="Y65" s="1191"/>
      <c r="Z65" s="1191"/>
      <c r="AA65" s="1191"/>
      <c r="AB65" s="1191"/>
      <c r="AC65" s="1191"/>
      <c r="AD65" s="1191"/>
      <c r="AE65" s="1191"/>
      <c r="AF65" s="1191"/>
      <c r="AG65" s="1191"/>
      <c r="AH65" s="1191"/>
      <c r="AI65" s="1191"/>
      <c r="AJ65" s="1191"/>
      <c r="AK65" s="1191"/>
      <c r="AL65" s="1191"/>
      <c r="AM65" s="1191"/>
    </row>
    <row r="66" spans="1:39">
      <c r="A66" s="1191"/>
      <c r="B66" s="1191"/>
      <c r="C66" s="1191"/>
      <c r="D66" s="1191"/>
      <c r="E66" s="1191"/>
      <c r="F66" s="1191"/>
      <c r="G66" s="1191"/>
      <c r="H66" s="1191"/>
      <c r="I66" s="1191"/>
      <c r="J66" s="1191"/>
      <c r="K66" s="1191"/>
      <c r="L66" s="1191"/>
      <c r="M66" s="1191"/>
      <c r="N66" s="1191"/>
      <c r="O66" s="1191"/>
      <c r="P66" s="1191"/>
      <c r="Q66" s="1191"/>
      <c r="R66" s="1191"/>
      <c r="S66" s="1191"/>
      <c r="T66" s="1191"/>
      <c r="U66" s="1191"/>
      <c r="V66" s="1191"/>
      <c r="W66" s="1191"/>
      <c r="X66" s="1191"/>
      <c r="Y66" s="1191"/>
      <c r="Z66" s="1191"/>
      <c r="AA66" s="1191"/>
      <c r="AB66" s="1191"/>
      <c r="AC66" s="1191"/>
      <c r="AD66" s="1191"/>
      <c r="AE66" s="1191"/>
      <c r="AF66" s="1191"/>
      <c r="AG66" s="1191"/>
      <c r="AH66" s="1191"/>
      <c r="AI66" s="1191"/>
      <c r="AJ66" s="1191"/>
      <c r="AK66" s="1191"/>
      <c r="AL66" s="1191"/>
      <c r="AM66" s="1191"/>
    </row>
    <row r="67" spans="1:39">
      <c r="A67" s="1191"/>
      <c r="B67" s="1191"/>
      <c r="C67" s="1191"/>
      <c r="D67" s="1191"/>
      <c r="E67" s="1191"/>
      <c r="F67" s="1191"/>
      <c r="G67" s="1191"/>
      <c r="H67" s="1191"/>
      <c r="I67" s="1191"/>
      <c r="J67" s="1191"/>
      <c r="K67" s="1191"/>
      <c r="L67" s="1191"/>
      <c r="M67" s="1191"/>
      <c r="N67" s="1191"/>
      <c r="O67" s="1191"/>
      <c r="P67" s="1191"/>
      <c r="Q67" s="1191"/>
      <c r="R67" s="1191"/>
      <c r="S67" s="1191"/>
      <c r="T67" s="1191"/>
      <c r="U67" s="1191"/>
      <c r="V67" s="1191"/>
      <c r="W67" s="1191"/>
      <c r="X67" s="1191"/>
      <c r="Y67" s="1191"/>
      <c r="Z67" s="1191"/>
      <c r="AA67" s="1191"/>
      <c r="AB67" s="1191"/>
      <c r="AC67" s="1191"/>
      <c r="AD67" s="1191"/>
      <c r="AE67" s="1191"/>
      <c r="AF67" s="1191"/>
      <c r="AG67" s="1191"/>
      <c r="AH67" s="1191"/>
      <c r="AI67" s="1191"/>
      <c r="AJ67" s="1191"/>
      <c r="AK67" s="1191"/>
      <c r="AL67" s="1191"/>
      <c r="AM67" s="1191"/>
    </row>
    <row r="68" spans="1:39">
      <c r="A68" s="1191"/>
      <c r="B68" s="1191"/>
      <c r="C68" s="1191"/>
      <c r="D68" s="1191"/>
      <c r="E68" s="1191"/>
      <c r="F68" s="1191"/>
      <c r="G68" s="1191"/>
      <c r="H68" s="1191"/>
      <c r="I68" s="1191"/>
      <c r="J68" s="1191"/>
      <c r="K68" s="1191"/>
      <c r="L68" s="1191"/>
      <c r="M68" s="1191"/>
      <c r="N68" s="1191"/>
      <c r="O68" s="1191"/>
      <c r="P68" s="1191"/>
      <c r="Q68" s="1191"/>
      <c r="R68" s="1191"/>
      <c r="S68" s="1191"/>
      <c r="T68" s="1191"/>
      <c r="U68" s="1191"/>
      <c r="V68" s="1191"/>
      <c r="W68" s="1191"/>
      <c r="X68" s="1191"/>
      <c r="Y68" s="1191"/>
      <c r="Z68" s="1191"/>
      <c r="AA68" s="1191"/>
      <c r="AB68" s="1191"/>
      <c r="AC68" s="1191"/>
      <c r="AD68" s="1191"/>
      <c r="AE68" s="1191"/>
      <c r="AF68" s="1191"/>
      <c r="AG68" s="1191"/>
      <c r="AH68" s="1191"/>
      <c r="AI68" s="1191"/>
      <c r="AJ68" s="1191"/>
      <c r="AK68" s="1191"/>
      <c r="AL68" s="1191"/>
      <c r="AM68" s="1191"/>
    </row>
    <row r="69" spans="1:39">
      <c r="A69" s="1191"/>
      <c r="B69" s="1191"/>
      <c r="C69" s="1191"/>
      <c r="D69" s="1191"/>
      <c r="E69" s="1191"/>
      <c r="F69" s="1191"/>
      <c r="G69" s="1191"/>
      <c r="H69" s="1191"/>
      <c r="I69" s="1191"/>
      <c r="J69" s="1191"/>
      <c r="K69" s="1191"/>
      <c r="L69" s="1191"/>
      <c r="M69" s="1191"/>
      <c r="N69" s="1191"/>
      <c r="O69" s="1191"/>
      <c r="P69" s="1191"/>
      <c r="Q69" s="1191"/>
      <c r="R69" s="1191"/>
      <c r="S69" s="1191"/>
      <c r="T69" s="1191"/>
      <c r="U69" s="1191"/>
      <c r="V69" s="1191"/>
      <c r="W69" s="1191"/>
      <c r="X69" s="1191"/>
      <c r="Y69" s="1191"/>
      <c r="Z69" s="1191"/>
      <c r="AA69" s="1191"/>
      <c r="AB69" s="1191"/>
      <c r="AC69" s="1191"/>
      <c r="AD69" s="1191"/>
      <c r="AE69" s="1191"/>
      <c r="AF69" s="1191"/>
      <c r="AG69" s="1191"/>
      <c r="AH69" s="1191"/>
      <c r="AI69" s="1191"/>
      <c r="AJ69" s="1191"/>
      <c r="AK69" s="1191"/>
      <c r="AL69" s="1191"/>
      <c r="AM69" s="1191"/>
    </row>
    <row r="70" spans="1:39">
      <c r="A70" s="1191"/>
      <c r="B70" s="1191"/>
      <c r="C70" s="1191"/>
      <c r="D70" s="1191"/>
      <c r="E70" s="1191"/>
      <c r="F70" s="1191"/>
      <c r="G70" s="1191"/>
      <c r="H70" s="1191"/>
      <c r="I70" s="1191"/>
      <c r="J70" s="1191"/>
      <c r="K70" s="1191"/>
      <c r="L70" s="1191"/>
      <c r="M70" s="1191"/>
      <c r="N70" s="1191"/>
      <c r="O70" s="1191"/>
      <c r="P70" s="1191"/>
      <c r="Q70" s="1191"/>
      <c r="R70" s="1191"/>
      <c r="S70" s="1191"/>
      <c r="T70" s="1191"/>
      <c r="U70" s="1191"/>
      <c r="V70" s="1191"/>
      <c r="W70" s="1191"/>
      <c r="X70" s="1191"/>
      <c r="Y70" s="1191"/>
      <c r="Z70" s="1191"/>
      <c r="AA70" s="1191"/>
      <c r="AB70" s="1191"/>
      <c r="AC70" s="1191"/>
      <c r="AD70" s="1191"/>
      <c r="AE70" s="1191"/>
      <c r="AF70" s="1191"/>
      <c r="AG70" s="1191"/>
      <c r="AH70" s="1191"/>
      <c r="AI70" s="1191"/>
      <c r="AJ70" s="1191"/>
      <c r="AK70" s="1191"/>
      <c r="AL70" s="1191"/>
      <c r="AM70" s="1191"/>
    </row>
    <row r="71" spans="1:39">
      <c r="A71" s="1191"/>
      <c r="B71" s="1191"/>
      <c r="C71" s="1191"/>
      <c r="D71" s="1191"/>
      <c r="E71" s="1191"/>
      <c r="F71" s="1191"/>
      <c r="G71" s="1191"/>
      <c r="H71" s="1191"/>
      <c r="I71" s="1191"/>
      <c r="J71" s="1191"/>
      <c r="K71" s="1191"/>
      <c r="L71" s="1191"/>
      <c r="M71" s="1191"/>
      <c r="N71" s="1191"/>
      <c r="O71" s="1191"/>
      <c r="P71" s="1191"/>
      <c r="Q71" s="1191"/>
      <c r="R71" s="1191"/>
      <c r="S71" s="1191"/>
      <c r="T71" s="1191"/>
      <c r="U71" s="1191"/>
      <c r="V71" s="1191"/>
      <c r="W71" s="1191"/>
      <c r="X71" s="1191"/>
      <c r="Y71" s="1191"/>
      <c r="Z71" s="1191"/>
      <c r="AA71" s="1191"/>
      <c r="AB71" s="1191"/>
      <c r="AC71" s="1191"/>
      <c r="AD71" s="1191"/>
      <c r="AE71" s="1191"/>
      <c r="AF71" s="1191"/>
      <c r="AG71" s="1191"/>
      <c r="AH71" s="1191"/>
      <c r="AI71" s="1191"/>
      <c r="AJ71" s="1191"/>
      <c r="AK71" s="1191"/>
      <c r="AL71" s="1191"/>
      <c r="AM71" s="1191"/>
    </row>
    <row r="72" spans="1:39">
      <c r="A72" s="1191"/>
      <c r="B72" s="1191"/>
      <c r="C72" s="1191"/>
      <c r="D72" s="1191"/>
      <c r="E72" s="1191"/>
      <c r="F72" s="1191"/>
      <c r="G72" s="1191"/>
      <c r="H72" s="1191"/>
      <c r="I72" s="1191"/>
      <c r="J72" s="1191"/>
      <c r="K72" s="1191"/>
      <c r="L72" s="1191"/>
      <c r="M72" s="1191"/>
      <c r="N72" s="1191"/>
      <c r="O72" s="1191"/>
      <c r="P72" s="1191"/>
      <c r="Q72" s="1191"/>
      <c r="R72" s="1191"/>
      <c r="S72" s="1191"/>
      <c r="T72" s="1191"/>
      <c r="U72" s="1191"/>
      <c r="V72" s="1191"/>
      <c r="W72" s="1191"/>
      <c r="X72" s="1191"/>
      <c r="Y72" s="1191"/>
      <c r="Z72" s="1191"/>
      <c r="AA72" s="1191"/>
      <c r="AB72" s="1191"/>
      <c r="AC72" s="1191"/>
      <c r="AD72" s="1191"/>
      <c r="AE72" s="1191"/>
      <c r="AF72" s="1191"/>
      <c r="AG72" s="1191"/>
      <c r="AH72" s="1191"/>
      <c r="AI72" s="1191"/>
      <c r="AJ72" s="1191"/>
      <c r="AK72" s="1191"/>
      <c r="AL72" s="1191"/>
      <c r="AM72" s="1191"/>
    </row>
    <row r="73" spans="1:39">
      <c r="A73" s="1191"/>
      <c r="B73" s="1191"/>
      <c r="C73" s="1191"/>
      <c r="D73" s="1235"/>
      <c r="E73" s="1235"/>
      <c r="F73" s="1235"/>
      <c r="G73" s="1235"/>
      <c r="H73" s="1235"/>
      <c r="I73" s="1235"/>
      <c r="J73" s="1235"/>
      <c r="K73" s="1191"/>
      <c r="L73" s="1191"/>
      <c r="M73" s="1191"/>
      <c r="N73" s="1191"/>
      <c r="O73" s="1191"/>
      <c r="P73" s="1191"/>
      <c r="Q73" s="1191"/>
      <c r="R73" s="1191"/>
      <c r="S73" s="1191"/>
      <c r="T73" s="1191"/>
      <c r="U73" s="1191"/>
      <c r="V73" s="1191"/>
      <c r="W73" s="1191"/>
      <c r="X73" s="1191"/>
      <c r="Y73" s="1191"/>
      <c r="Z73" s="1191"/>
      <c r="AA73" s="1191"/>
      <c r="AB73" s="1191"/>
      <c r="AC73" s="1191"/>
      <c r="AD73" s="1191"/>
      <c r="AE73" s="1191"/>
      <c r="AF73" s="1191"/>
      <c r="AG73" s="1191"/>
      <c r="AH73" s="1191"/>
      <c r="AI73" s="1191"/>
      <c r="AJ73" s="1191"/>
      <c r="AK73" s="1191"/>
      <c r="AL73" s="1191"/>
      <c r="AM73" s="1191"/>
    </row>
    <row r="74" spans="1:39">
      <c r="A74" s="1191"/>
      <c r="B74" s="1191"/>
      <c r="C74" s="1191"/>
      <c r="D74" s="1191"/>
      <c r="E74" s="1191"/>
      <c r="F74" s="1191"/>
      <c r="G74" s="1191"/>
      <c r="H74" s="1191"/>
      <c r="I74" s="1191"/>
      <c r="J74" s="1191"/>
      <c r="K74" s="1191"/>
      <c r="L74" s="1191"/>
      <c r="M74" s="1191"/>
      <c r="N74" s="1191"/>
      <c r="O74" s="1191"/>
      <c r="P74" s="1191"/>
      <c r="Q74" s="1191"/>
      <c r="R74" s="1191"/>
      <c r="S74" s="1191"/>
      <c r="T74" s="1191"/>
      <c r="U74" s="1191"/>
      <c r="V74" s="1191"/>
      <c r="W74" s="1191"/>
      <c r="X74" s="1191"/>
      <c r="Y74" s="1191"/>
      <c r="Z74" s="1191"/>
      <c r="AA74" s="1191"/>
      <c r="AB74" s="1191"/>
      <c r="AC74" s="1191"/>
      <c r="AD74" s="1191"/>
      <c r="AE74" s="1191"/>
      <c r="AF74" s="1191"/>
      <c r="AG74" s="1191"/>
      <c r="AH74" s="1191"/>
      <c r="AI74" s="1191"/>
      <c r="AJ74" s="1191"/>
      <c r="AK74" s="1191"/>
      <c r="AL74" s="1191"/>
      <c r="AM74" s="1191"/>
    </row>
  </sheetData>
  <mergeCells count="3">
    <mergeCell ref="F36:G36"/>
    <mergeCell ref="D36:E36"/>
    <mergeCell ref="C48:C52"/>
  </mergeCells>
  <conditionalFormatting sqref="E48:I53">
    <cfRule type="colorScale" priority="9">
      <colorScale>
        <cfvo type="min"/>
        <cfvo type="max"/>
        <color rgb="FFF8696B"/>
        <color rgb="FFFCFCFF"/>
      </colorScale>
    </cfRule>
  </conditionalFormatting>
  <pageMargins left="0" right="0" top="0" bottom="0" header="0" footer="0"/>
  <pageSetup paperSize="5" scale="44"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43"/>
  <sheetViews>
    <sheetView workbookViewId="0">
      <selection activeCell="B42" sqref="B42"/>
    </sheetView>
  </sheetViews>
  <sheetFormatPr defaultRowHeight="12.75"/>
  <cols>
    <col min="1" max="1" width="29.5703125" bestFit="1" customWidth="1"/>
    <col min="2" max="2" width="19.85546875" style="1324" customWidth="1"/>
    <col min="3" max="3" width="12" bestFit="1" customWidth="1"/>
    <col min="257" max="257" width="29.5703125" bestFit="1" customWidth="1"/>
    <col min="258" max="258" width="19.85546875" customWidth="1"/>
    <col min="259" max="259" width="12" bestFit="1" customWidth="1"/>
    <col min="513" max="513" width="29.5703125" bestFit="1" customWidth="1"/>
    <col min="514" max="514" width="19.85546875" customWidth="1"/>
    <col min="515" max="515" width="12" bestFit="1" customWidth="1"/>
    <col min="769" max="769" width="29.5703125" bestFit="1" customWidth="1"/>
    <col min="770" max="770" width="19.85546875" customWidth="1"/>
    <col min="771" max="771" width="12" bestFit="1" customWidth="1"/>
    <col min="1025" max="1025" width="29.5703125" bestFit="1" customWidth="1"/>
    <col min="1026" max="1026" width="19.85546875" customWidth="1"/>
    <col min="1027" max="1027" width="12" bestFit="1" customWidth="1"/>
    <col min="1281" max="1281" width="29.5703125" bestFit="1" customWidth="1"/>
    <col min="1282" max="1282" width="19.85546875" customWidth="1"/>
    <col min="1283" max="1283" width="12" bestFit="1" customWidth="1"/>
    <col min="1537" max="1537" width="29.5703125" bestFit="1" customWidth="1"/>
    <col min="1538" max="1538" width="19.85546875" customWidth="1"/>
    <col min="1539" max="1539" width="12" bestFit="1" customWidth="1"/>
    <col min="1793" max="1793" width="29.5703125" bestFit="1" customWidth="1"/>
    <col min="1794" max="1794" width="19.85546875" customWidth="1"/>
    <col min="1795" max="1795" width="12" bestFit="1" customWidth="1"/>
    <col min="2049" max="2049" width="29.5703125" bestFit="1" customWidth="1"/>
    <col min="2050" max="2050" width="19.85546875" customWidth="1"/>
    <col min="2051" max="2051" width="12" bestFit="1" customWidth="1"/>
    <col min="2305" max="2305" width="29.5703125" bestFit="1" customWidth="1"/>
    <col min="2306" max="2306" width="19.85546875" customWidth="1"/>
    <col min="2307" max="2307" width="12" bestFit="1" customWidth="1"/>
    <col min="2561" max="2561" width="29.5703125" bestFit="1" customWidth="1"/>
    <col min="2562" max="2562" width="19.85546875" customWidth="1"/>
    <col min="2563" max="2563" width="12" bestFit="1" customWidth="1"/>
    <col min="2817" max="2817" width="29.5703125" bestFit="1" customWidth="1"/>
    <col min="2818" max="2818" width="19.85546875" customWidth="1"/>
    <col min="2819" max="2819" width="12" bestFit="1" customWidth="1"/>
    <col min="3073" max="3073" width="29.5703125" bestFit="1" customWidth="1"/>
    <col min="3074" max="3074" width="19.85546875" customWidth="1"/>
    <col min="3075" max="3075" width="12" bestFit="1" customWidth="1"/>
    <col min="3329" max="3329" width="29.5703125" bestFit="1" customWidth="1"/>
    <col min="3330" max="3330" width="19.85546875" customWidth="1"/>
    <col min="3331" max="3331" width="12" bestFit="1" customWidth="1"/>
    <col min="3585" max="3585" width="29.5703125" bestFit="1" customWidth="1"/>
    <col min="3586" max="3586" width="19.85546875" customWidth="1"/>
    <col min="3587" max="3587" width="12" bestFit="1" customWidth="1"/>
    <col min="3841" max="3841" width="29.5703125" bestFit="1" customWidth="1"/>
    <col min="3842" max="3842" width="19.85546875" customWidth="1"/>
    <col min="3843" max="3843" width="12" bestFit="1" customWidth="1"/>
    <col min="4097" max="4097" width="29.5703125" bestFit="1" customWidth="1"/>
    <col min="4098" max="4098" width="19.85546875" customWidth="1"/>
    <col min="4099" max="4099" width="12" bestFit="1" customWidth="1"/>
    <col min="4353" max="4353" width="29.5703125" bestFit="1" customWidth="1"/>
    <col min="4354" max="4354" width="19.85546875" customWidth="1"/>
    <col min="4355" max="4355" width="12" bestFit="1" customWidth="1"/>
    <col min="4609" max="4609" width="29.5703125" bestFit="1" customWidth="1"/>
    <col min="4610" max="4610" width="19.85546875" customWidth="1"/>
    <col min="4611" max="4611" width="12" bestFit="1" customWidth="1"/>
    <col min="4865" max="4865" width="29.5703125" bestFit="1" customWidth="1"/>
    <col min="4866" max="4866" width="19.85546875" customWidth="1"/>
    <col min="4867" max="4867" width="12" bestFit="1" customWidth="1"/>
    <col min="5121" max="5121" width="29.5703125" bestFit="1" customWidth="1"/>
    <col min="5122" max="5122" width="19.85546875" customWidth="1"/>
    <col min="5123" max="5123" width="12" bestFit="1" customWidth="1"/>
    <col min="5377" max="5377" width="29.5703125" bestFit="1" customWidth="1"/>
    <col min="5378" max="5378" width="19.85546875" customWidth="1"/>
    <col min="5379" max="5379" width="12" bestFit="1" customWidth="1"/>
    <col min="5633" max="5633" width="29.5703125" bestFit="1" customWidth="1"/>
    <col min="5634" max="5634" width="19.85546875" customWidth="1"/>
    <col min="5635" max="5635" width="12" bestFit="1" customWidth="1"/>
    <col min="5889" max="5889" width="29.5703125" bestFit="1" customWidth="1"/>
    <col min="5890" max="5890" width="19.85546875" customWidth="1"/>
    <col min="5891" max="5891" width="12" bestFit="1" customWidth="1"/>
    <col min="6145" max="6145" width="29.5703125" bestFit="1" customWidth="1"/>
    <col min="6146" max="6146" width="19.85546875" customWidth="1"/>
    <col min="6147" max="6147" width="12" bestFit="1" customWidth="1"/>
    <col min="6401" max="6401" width="29.5703125" bestFit="1" customWidth="1"/>
    <col min="6402" max="6402" width="19.85546875" customWidth="1"/>
    <col min="6403" max="6403" width="12" bestFit="1" customWidth="1"/>
    <col min="6657" max="6657" width="29.5703125" bestFit="1" customWidth="1"/>
    <col min="6658" max="6658" width="19.85546875" customWidth="1"/>
    <col min="6659" max="6659" width="12" bestFit="1" customWidth="1"/>
    <col min="6913" max="6913" width="29.5703125" bestFit="1" customWidth="1"/>
    <col min="6914" max="6914" width="19.85546875" customWidth="1"/>
    <col min="6915" max="6915" width="12" bestFit="1" customWidth="1"/>
    <col min="7169" max="7169" width="29.5703125" bestFit="1" customWidth="1"/>
    <col min="7170" max="7170" width="19.85546875" customWidth="1"/>
    <col min="7171" max="7171" width="12" bestFit="1" customWidth="1"/>
    <col min="7425" max="7425" width="29.5703125" bestFit="1" customWidth="1"/>
    <col min="7426" max="7426" width="19.85546875" customWidth="1"/>
    <col min="7427" max="7427" width="12" bestFit="1" customWidth="1"/>
    <col min="7681" max="7681" width="29.5703125" bestFit="1" customWidth="1"/>
    <col min="7682" max="7682" width="19.85546875" customWidth="1"/>
    <col min="7683" max="7683" width="12" bestFit="1" customWidth="1"/>
    <col min="7937" max="7937" width="29.5703125" bestFit="1" customWidth="1"/>
    <col min="7938" max="7938" width="19.85546875" customWidth="1"/>
    <col min="7939" max="7939" width="12" bestFit="1" customWidth="1"/>
    <col min="8193" max="8193" width="29.5703125" bestFit="1" customWidth="1"/>
    <col min="8194" max="8194" width="19.85546875" customWidth="1"/>
    <col min="8195" max="8195" width="12" bestFit="1" customWidth="1"/>
    <col min="8449" max="8449" width="29.5703125" bestFit="1" customWidth="1"/>
    <col min="8450" max="8450" width="19.85546875" customWidth="1"/>
    <col min="8451" max="8451" width="12" bestFit="1" customWidth="1"/>
    <col min="8705" max="8705" width="29.5703125" bestFit="1" customWidth="1"/>
    <col min="8706" max="8706" width="19.85546875" customWidth="1"/>
    <col min="8707" max="8707" width="12" bestFit="1" customWidth="1"/>
    <col min="8961" max="8961" width="29.5703125" bestFit="1" customWidth="1"/>
    <col min="8962" max="8962" width="19.85546875" customWidth="1"/>
    <col min="8963" max="8963" width="12" bestFit="1" customWidth="1"/>
    <col min="9217" max="9217" width="29.5703125" bestFit="1" customWidth="1"/>
    <col min="9218" max="9218" width="19.85546875" customWidth="1"/>
    <col min="9219" max="9219" width="12" bestFit="1" customWidth="1"/>
    <col min="9473" max="9473" width="29.5703125" bestFit="1" customWidth="1"/>
    <col min="9474" max="9474" width="19.85546875" customWidth="1"/>
    <col min="9475" max="9475" width="12" bestFit="1" customWidth="1"/>
    <col min="9729" max="9729" width="29.5703125" bestFit="1" customWidth="1"/>
    <col min="9730" max="9730" width="19.85546875" customWidth="1"/>
    <col min="9731" max="9731" width="12" bestFit="1" customWidth="1"/>
    <col min="9985" max="9985" width="29.5703125" bestFit="1" customWidth="1"/>
    <col min="9986" max="9986" width="19.85546875" customWidth="1"/>
    <col min="9987" max="9987" width="12" bestFit="1" customWidth="1"/>
    <col min="10241" max="10241" width="29.5703125" bestFit="1" customWidth="1"/>
    <col min="10242" max="10242" width="19.85546875" customWidth="1"/>
    <col min="10243" max="10243" width="12" bestFit="1" customWidth="1"/>
    <col min="10497" max="10497" width="29.5703125" bestFit="1" customWidth="1"/>
    <col min="10498" max="10498" width="19.85546875" customWidth="1"/>
    <col min="10499" max="10499" width="12" bestFit="1" customWidth="1"/>
    <col min="10753" max="10753" width="29.5703125" bestFit="1" customWidth="1"/>
    <col min="10754" max="10754" width="19.85546875" customWidth="1"/>
    <col min="10755" max="10755" width="12" bestFit="1" customWidth="1"/>
    <col min="11009" max="11009" width="29.5703125" bestFit="1" customWidth="1"/>
    <col min="11010" max="11010" width="19.85546875" customWidth="1"/>
    <col min="11011" max="11011" width="12" bestFit="1" customWidth="1"/>
    <col min="11265" max="11265" width="29.5703125" bestFit="1" customWidth="1"/>
    <col min="11266" max="11266" width="19.85546875" customWidth="1"/>
    <col min="11267" max="11267" width="12" bestFit="1" customWidth="1"/>
    <col min="11521" max="11521" width="29.5703125" bestFit="1" customWidth="1"/>
    <col min="11522" max="11522" width="19.85546875" customWidth="1"/>
    <col min="11523" max="11523" width="12" bestFit="1" customWidth="1"/>
    <col min="11777" max="11777" width="29.5703125" bestFit="1" customWidth="1"/>
    <col min="11778" max="11778" width="19.85546875" customWidth="1"/>
    <col min="11779" max="11779" width="12" bestFit="1" customWidth="1"/>
    <col min="12033" max="12033" width="29.5703125" bestFit="1" customWidth="1"/>
    <col min="12034" max="12034" width="19.85546875" customWidth="1"/>
    <col min="12035" max="12035" width="12" bestFit="1" customWidth="1"/>
    <col min="12289" max="12289" width="29.5703125" bestFit="1" customWidth="1"/>
    <col min="12290" max="12290" width="19.85546875" customWidth="1"/>
    <col min="12291" max="12291" width="12" bestFit="1" customWidth="1"/>
    <col min="12545" max="12545" width="29.5703125" bestFit="1" customWidth="1"/>
    <col min="12546" max="12546" width="19.85546875" customWidth="1"/>
    <col min="12547" max="12547" width="12" bestFit="1" customWidth="1"/>
    <col min="12801" max="12801" width="29.5703125" bestFit="1" customWidth="1"/>
    <col min="12802" max="12802" width="19.85546875" customWidth="1"/>
    <col min="12803" max="12803" width="12" bestFit="1" customWidth="1"/>
    <col min="13057" max="13057" width="29.5703125" bestFit="1" customWidth="1"/>
    <col min="13058" max="13058" width="19.85546875" customWidth="1"/>
    <col min="13059" max="13059" width="12" bestFit="1" customWidth="1"/>
    <col min="13313" max="13313" width="29.5703125" bestFit="1" customWidth="1"/>
    <col min="13314" max="13314" width="19.85546875" customWidth="1"/>
    <col min="13315" max="13315" width="12" bestFit="1" customWidth="1"/>
    <col min="13569" max="13569" width="29.5703125" bestFit="1" customWidth="1"/>
    <col min="13570" max="13570" width="19.85546875" customWidth="1"/>
    <col min="13571" max="13571" width="12" bestFit="1" customWidth="1"/>
    <col min="13825" max="13825" width="29.5703125" bestFit="1" customWidth="1"/>
    <col min="13826" max="13826" width="19.85546875" customWidth="1"/>
    <col min="13827" max="13827" width="12" bestFit="1" customWidth="1"/>
    <col min="14081" max="14081" width="29.5703125" bestFit="1" customWidth="1"/>
    <col min="14082" max="14082" width="19.85546875" customWidth="1"/>
    <col min="14083" max="14083" width="12" bestFit="1" customWidth="1"/>
    <col min="14337" max="14337" width="29.5703125" bestFit="1" customWidth="1"/>
    <col min="14338" max="14338" width="19.85546875" customWidth="1"/>
    <col min="14339" max="14339" width="12" bestFit="1" customWidth="1"/>
    <col min="14593" max="14593" width="29.5703125" bestFit="1" customWidth="1"/>
    <col min="14594" max="14594" width="19.85546875" customWidth="1"/>
    <col min="14595" max="14595" width="12" bestFit="1" customWidth="1"/>
    <col min="14849" max="14849" width="29.5703125" bestFit="1" customWidth="1"/>
    <col min="14850" max="14850" width="19.85546875" customWidth="1"/>
    <col min="14851" max="14851" width="12" bestFit="1" customWidth="1"/>
    <col min="15105" max="15105" width="29.5703125" bestFit="1" customWidth="1"/>
    <col min="15106" max="15106" width="19.85546875" customWidth="1"/>
    <col min="15107" max="15107" width="12" bestFit="1" customWidth="1"/>
    <col min="15361" max="15361" width="29.5703125" bestFit="1" customWidth="1"/>
    <col min="15362" max="15362" width="19.85546875" customWidth="1"/>
    <col min="15363" max="15363" width="12" bestFit="1" customWidth="1"/>
    <col min="15617" max="15617" width="29.5703125" bestFit="1" customWidth="1"/>
    <col min="15618" max="15618" width="19.85546875" customWidth="1"/>
    <col min="15619" max="15619" width="12" bestFit="1" customWidth="1"/>
    <col min="15873" max="15873" width="29.5703125" bestFit="1" customWidth="1"/>
    <col min="15874" max="15874" width="19.85546875" customWidth="1"/>
    <col min="15875" max="15875" width="12" bestFit="1" customWidth="1"/>
    <col min="16129" max="16129" width="29.5703125" bestFit="1" customWidth="1"/>
    <col min="16130" max="16130" width="19.85546875" customWidth="1"/>
    <col min="16131" max="16131" width="12" bestFit="1" customWidth="1"/>
  </cols>
  <sheetData>
    <row r="1" spans="1:2">
      <c r="A1" t="s">
        <v>939</v>
      </c>
      <c r="B1" s="1323">
        <v>6.1</v>
      </c>
    </row>
    <row r="2" spans="1:2">
      <c r="A2" t="s">
        <v>940</v>
      </c>
      <c r="B2" s="1326">
        <v>43216.377743055556</v>
      </c>
    </row>
    <row r="3" spans="1:2">
      <c r="A3" t="s">
        <v>941</v>
      </c>
      <c r="B3" s="1324" t="s">
        <v>639</v>
      </c>
    </row>
    <row r="4" spans="1:2">
      <c r="A4" t="s">
        <v>942</v>
      </c>
      <c r="B4" s="1324" t="s">
        <v>943</v>
      </c>
    </row>
    <row r="5" spans="1:2">
      <c r="A5" t="s">
        <v>944</v>
      </c>
      <c r="B5" s="1324" t="s">
        <v>945</v>
      </c>
    </row>
    <row r="6" spans="1:2">
      <c r="A6" t="s">
        <v>946</v>
      </c>
    </row>
    <row r="7" spans="1:2">
      <c r="A7" t="s">
        <v>947</v>
      </c>
      <c r="B7" s="1324" t="s">
        <v>583</v>
      </c>
    </row>
    <row r="8" spans="1:2">
      <c r="A8" t="s">
        <v>948</v>
      </c>
      <c r="B8" s="1324" t="s">
        <v>949</v>
      </c>
    </row>
    <row r="9" spans="1:2">
      <c r="A9" t="s">
        <v>950</v>
      </c>
      <c r="B9" s="1324" t="s">
        <v>987</v>
      </c>
    </row>
    <row r="10" spans="1:2">
      <c r="A10" t="s">
        <v>951</v>
      </c>
    </row>
    <row r="11" spans="1:2">
      <c r="A11" t="s">
        <v>952</v>
      </c>
    </row>
    <row r="12" spans="1:2">
      <c r="A12" t="s">
        <v>953</v>
      </c>
    </row>
    <row r="13" spans="1:2">
      <c r="A13" t="s">
        <v>954</v>
      </c>
    </row>
    <row r="14" spans="1:2">
      <c r="A14" t="s">
        <v>955</v>
      </c>
    </row>
    <row r="15" spans="1:2">
      <c r="A15" t="s">
        <v>956</v>
      </c>
    </row>
    <row r="16" spans="1:2">
      <c r="A16" t="s">
        <v>957</v>
      </c>
    </row>
    <row r="17" spans="1:4">
      <c r="A17" t="s">
        <v>958</v>
      </c>
      <c r="B17" s="1324" t="s">
        <v>988</v>
      </c>
    </row>
    <row r="18" spans="1:4">
      <c r="A18" t="s">
        <v>959</v>
      </c>
      <c r="B18" s="1324" t="s">
        <v>991</v>
      </c>
    </row>
    <row r="19" spans="1:4">
      <c r="A19" t="s">
        <v>960</v>
      </c>
      <c r="B19" s="1324" t="s">
        <v>585</v>
      </c>
    </row>
    <row r="20" spans="1:4">
      <c r="A20" t="s">
        <v>961</v>
      </c>
      <c r="B20" s="1325" t="s">
        <v>992</v>
      </c>
    </row>
    <row r="21" spans="1:4">
      <c r="A21" t="s">
        <v>962</v>
      </c>
      <c r="B21" s="1324" t="s">
        <v>585</v>
      </c>
    </row>
    <row r="22" spans="1:4">
      <c r="A22" t="s">
        <v>963</v>
      </c>
      <c r="B22" s="1325" t="s">
        <v>600</v>
      </c>
    </row>
    <row r="23" spans="1:4">
      <c r="A23" t="s">
        <v>587</v>
      </c>
      <c r="B23" s="1323">
        <v>74</v>
      </c>
    </row>
    <row r="24" spans="1:4">
      <c r="A24" t="s">
        <v>586</v>
      </c>
      <c r="B24" s="1324" t="s">
        <v>584</v>
      </c>
      <c r="D24" t="s">
        <v>510</v>
      </c>
    </row>
    <row r="25" spans="1:4">
      <c r="A25" t="s">
        <v>964</v>
      </c>
      <c r="B25" s="1324" t="s">
        <v>993</v>
      </c>
    </row>
    <row r="26" spans="1:4">
      <c r="A26" t="s">
        <v>965</v>
      </c>
      <c r="B26" s="1324">
        <v>0</v>
      </c>
    </row>
    <row r="27" spans="1:4">
      <c r="A27" t="s">
        <v>966</v>
      </c>
      <c r="B27" s="1324" t="s">
        <v>967</v>
      </c>
    </row>
    <row r="28" spans="1:4">
      <c r="A28" t="s">
        <v>968</v>
      </c>
      <c r="B28" s="1324" t="s">
        <v>969</v>
      </c>
    </row>
    <row r="29" spans="1:4">
      <c r="A29" t="s">
        <v>970</v>
      </c>
    </row>
    <row r="30" spans="1:4">
      <c r="A30" t="s">
        <v>971</v>
      </c>
    </row>
    <row r="31" spans="1:4">
      <c r="A31" t="s">
        <v>972</v>
      </c>
    </row>
    <row r="32" spans="1:4">
      <c r="A32" t="s">
        <v>973</v>
      </c>
      <c r="B32" s="1323"/>
    </row>
    <row r="33" spans="1:2">
      <c r="A33" t="s">
        <v>974</v>
      </c>
      <c r="B33" s="1323"/>
    </row>
    <row r="34" spans="1:2">
      <c r="A34" t="s">
        <v>975</v>
      </c>
      <c r="B34" s="1323"/>
    </row>
    <row r="35" spans="1:2">
      <c r="A35" t="s">
        <v>976</v>
      </c>
      <c r="B35" s="1324">
        <v>1000000</v>
      </c>
    </row>
    <row r="36" spans="1:2">
      <c r="A36" t="s">
        <v>977</v>
      </c>
      <c r="B36" s="1324" t="s">
        <v>989</v>
      </c>
    </row>
    <row r="37" spans="1:2">
      <c r="A37" t="s">
        <v>978</v>
      </c>
      <c r="B37" s="1324" t="s">
        <v>979</v>
      </c>
    </row>
    <row r="38" spans="1:2">
      <c r="A38" t="s">
        <v>980</v>
      </c>
      <c r="B38" s="1324" t="s">
        <v>981</v>
      </c>
    </row>
    <row r="39" spans="1:2">
      <c r="A39" t="s">
        <v>982</v>
      </c>
      <c r="B39" s="1324" t="s">
        <v>990</v>
      </c>
    </row>
    <row r="40" spans="1:2">
      <c r="A40" t="s">
        <v>983</v>
      </c>
      <c r="B40" s="1324">
        <v>1500005525</v>
      </c>
    </row>
    <row r="41" spans="1:2">
      <c r="A41" t="s">
        <v>984</v>
      </c>
      <c r="B41" s="1324">
        <v>1</v>
      </c>
    </row>
    <row r="42" spans="1:2">
      <c r="A42" s="160" t="s">
        <v>985</v>
      </c>
    </row>
    <row r="43" spans="1:2">
      <c r="A43" t="s">
        <v>986</v>
      </c>
    </row>
  </sheetData>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13"/>
  <sheetViews>
    <sheetView workbookViewId="0">
      <selection activeCell="E11" sqref="E11"/>
    </sheetView>
  </sheetViews>
  <sheetFormatPr defaultRowHeight="12.75"/>
  <cols>
    <col min="1" max="1" width="28.5703125" bestFit="1" customWidth="1"/>
    <col min="257" max="257" width="28.5703125" bestFit="1" customWidth="1"/>
    <col min="513" max="513" width="28.5703125" bestFit="1" customWidth="1"/>
    <col min="769" max="769" width="28.5703125" bestFit="1" customWidth="1"/>
    <col min="1025" max="1025" width="28.5703125" bestFit="1" customWidth="1"/>
    <col min="1281" max="1281" width="28.5703125" bestFit="1" customWidth="1"/>
    <col min="1537" max="1537" width="28.5703125" bestFit="1" customWidth="1"/>
    <col min="1793" max="1793" width="28.5703125" bestFit="1" customWidth="1"/>
    <col min="2049" max="2049" width="28.5703125" bestFit="1" customWidth="1"/>
    <col min="2305" max="2305" width="28.5703125" bestFit="1" customWidth="1"/>
    <col min="2561" max="2561" width="28.5703125" bestFit="1" customWidth="1"/>
    <col min="2817" max="2817" width="28.5703125" bestFit="1" customWidth="1"/>
    <col min="3073" max="3073" width="28.5703125" bestFit="1" customWidth="1"/>
    <col min="3329" max="3329" width="28.5703125" bestFit="1" customWidth="1"/>
    <col min="3585" max="3585" width="28.5703125" bestFit="1" customWidth="1"/>
    <col min="3841" max="3841" width="28.5703125" bestFit="1" customWidth="1"/>
    <col min="4097" max="4097" width="28.5703125" bestFit="1" customWidth="1"/>
    <col min="4353" max="4353" width="28.5703125" bestFit="1" customWidth="1"/>
    <col min="4609" max="4609" width="28.5703125" bestFit="1" customWidth="1"/>
    <col min="4865" max="4865" width="28.5703125" bestFit="1" customWidth="1"/>
    <col min="5121" max="5121" width="28.5703125" bestFit="1" customWidth="1"/>
    <col min="5377" max="5377" width="28.5703125" bestFit="1" customWidth="1"/>
    <col min="5633" max="5633" width="28.5703125" bestFit="1" customWidth="1"/>
    <col min="5889" max="5889" width="28.5703125" bestFit="1" customWidth="1"/>
    <col min="6145" max="6145" width="28.5703125" bestFit="1" customWidth="1"/>
    <col min="6401" max="6401" width="28.5703125" bestFit="1" customWidth="1"/>
    <col min="6657" max="6657" width="28.5703125" bestFit="1" customWidth="1"/>
    <col min="6913" max="6913" width="28.5703125" bestFit="1" customWidth="1"/>
    <col min="7169" max="7169" width="28.5703125" bestFit="1" customWidth="1"/>
    <col min="7425" max="7425" width="28.5703125" bestFit="1" customWidth="1"/>
    <col min="7681" max="7681" width="28.5703125" bestFit="1" customWidth="1"/>
    <col min="7937" max="7937" width="28.5703125" bestFit="1" customWidth="1"/>
    <col min="8193" max="8193" width="28.5703125" bestFit="1" customWidth="1"/>
    <col min="8449" max="8449" width="28.5703125" bestFit="1" customWidth="1"/>
    <col min="8705" max="8705" width="28.5703125" bestFit="1" customWidth="1"/>
    <col min="8961" max="8961" width="28.5703125" bestFit="1" customWidth="1"/>
    <col min="9217" max="9217" width="28.5703125" bestFit="1" customWidth="1"/>
    <col min="9473" max="9473" width="28.5703125" bestFit="1" customWidth="1"/>
    <col min="9729" max="9729" width="28.5703125" bestFit="1" customWidth="1"/>
    <col min="9985" max="9985" width="28.5703125" bestFit="1" customWidth="1"/>
    <col min="10241" max="10241" width="28.5703125" bestFit="1" customWidth="1"/>
    <col min="10497" max="10497" width="28.5703125" bestFit="1" customWidth="1"/>
    <col min="10753" max="10753" width="28.5703125" bestFit="1" customWidth="1"/>
    <col min="11009" max="11009" width="28.5703125" bestFit="1" customWidth="1"/>
    <col min="11265" max="11265" width="28.5703125" bestFit="1" customWidth="1"/>
    <col min="11521" max="11521" width="28.5703125" bestFit="1" customWidth="1"/>
    <col min="11777" max="11777" width="28.5703125" bestFit="1" customWidth="1"/>
    <col min="12033" max="12033" width="28.5703125" bestFit="1" customWidth="1"/>
    <col min="12289" max="12289" width="28.5703125" bestFit="1" customWidth="1"/>
    <col min="12545" max="12545" width="28.5703125" bestFit="1" customWidth="1"/>
    <col min="12801" max="12801" width="28.5703125" bestFit="1" customWidth="1"/>
    <col min="13057" max="13057" width="28.5703125" bestFit="1" customWidth="1"/>
    <col min="13313" max="13313" width="28.5703125" bestFit="1" customWidth="1"/>
    <col min="13569" max="13569" width="28.5703125" bestFit="1" customWidth="1"/>
    <col min="13825" max="13825" width="28.5703125" bestFit="1" customWidth="1"/>
    <col min="14081" max="14081" width="28.5703125" bestFit="1" customWidth="1"/>
    <col min="14337" max="14337" width="28.5703125" bestFit="1" customWidth="1"/>
    <col min="14593" max="14593" width="28.5703125" bestFit="1" customWidth="1"/>
    <col min="14849" max="14849" width="28.5703125" bestFit="1" customWidth="1"/>
    <col min="15105" max="15105" width="28.5703125" bestFit="1" customWidth="1"/>
    <col min="15361" max="15361" width="28.5703125" bestFit="1" customWidth="1"/>
    <col min="15617" max="15617" width="28.5703125" bestFit="1" customWidth="1"/>
    <col min="15873" max="15873" width="28.5703125" bestFit="1" customWidth="1"/>
    <col min="16129" max="16129" width="28.5703125" bestFit="1" customWidth="1"/>
  </cols>
  <sheetData>
    <row r="1" spans="1:1">
      <c r="A1" s="1266" t="s">
        <v>994</v>
      </c>
    </row>
    <row r="2" spans="1:1">
      <c r="A2" s="1266" t="s">
        <v>999</v>
      </c>
    </row>
    <row r="3" spans="1:1">
      <c r="A3" s="1266" t="s">
        <v>1000</v>
      </c>
    </row>
    <row r="4" spans="1:1">
      <c r="A4" s="1266" t="s">
        <v>1001</v>
      </c>
    </row>
    <row r="5" spans="1:1">
      <c r="A5" s="1266" t="s">
        <v>1002</v>
      </c>
    </row>
    <row r="6" spans="1:1">
      <c r="A6" s="1266" t="s">
        <v>995</v>
      </c>
    </row>
    <row r="7" spans="1:1">
      <c r="A7" s="1266" t="s">
        <v>1003</v>
      </c>
    </row>
    <row r="8" spans="1:1">
      <c r="A8" s="1266" t="s">
        <v>1004</v>
      </c>
    </row>
    <row r="9" spans="1:1">
      <c r="A9" s="1266" t="s">
        <v>1005</v>
      </c>
    </row>
    <row r="10" spans="1:1">
      <c r="A10" s="1266" t="s">
        <v>996</v>
      </c>
    </row>
    <row r="11" spans="1:1">
      <c r="A11" s="1266" t="s">
        <v>1006</v>
      </c>
    </row>
    <row r="12" spans="1:1">
      <c r="A12" s="1266" t="s">
        <v>997</v>
      </c>
    </row>
    <row r="13" spans="1:1">
      <c r="A13" s="1266" t="s">
        <v>998</v>
      </c>
    </row>
  </sheetData>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F2"/>
  <sheetViews>
    <sheetView workbookViewId="0"/>
  </sheetViews>
  <sheetFormatPr defaultRowHeight="12.75"/>
  <sheetData>
    <row r="1" spans="1:6">
      <c r="A1" t="s">
        <v>599</v>
      </c>
    </row>
    <row r="2" spans="1:6">
      <c r="A2" s="1266" t="s">
        <v>596</v>
      </c>
      <c r="B2" s="1266" t="s">
        <v>604</v>
      </c>
      <c r="C2" s="1266" t="s">
        <v>597</v>
      </c>
      <c r="D2" s="1266" t="s">
        <v>584</v>
      </c>
      <c r="E2" s="1266" t="s">
        <v>598</v>
      </c>
      <c r="F2" s="1266" t="s">
        <v>600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109</vt:i4>
      </vt:variant>
    </vt:vector>
  </HeadingPairs>
  <TitlesOfParts>
    <vt:vector size="120" baseType="lpstr">
      <vt:lpstr>ImportantDisclosures</vt:lpstr>
      <vt:lpstr>Portfolio Manager's Snapshot</vt:lpstr>
      <vt:lpstr>Quarterly Model</vt:lpstr>
      <vt:lpstr>Segment Detail</vt:lpstr>
      <vt:lpstr>DCF</vt:lpstr>
      <vt:lpstr>Take Rate Drivers</vt:lpstr>
      <vt:lpstr>PT</vt:lpstr>
      <vt:lpstr>Presentation</vt:lpstr>
      <vt:lpstr>eBay Sensitivity</vt:lpstr>
      <vt:lpstr>IndexInformation</vt:lpstr>
      <vt:lpstr>ModPubIndex</vt:lpstr>
      <vt:lpstr>_Switch</vt:lpstr>
      <vt:lpstr>_Toggle</vt:lpstr>
      <vt:lpstr>AdditionalInstructions</vt:lpstr>
      <vt:lpstr>ImportantDisclosures!Address</vt:lpstr>
      <vt:lpstr>ModPubIndex!ANA</vt:lpstr>
      <vt:lpstr>ImportantDisclosures!Authors</vt:lpstr>
      <vt:lpstr>IndexInformation!Authors</vt:lpstr>
      <vt:lpstr>ModPubIndex!BRO</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ModPubIndex!EMAIL_ALERT</vt:lpstr>
      <vt:lpstr>IndexInformation!EmailAlert</vt:lpstr>
      <vt:lpstr>'Quarterly Model'!F2012_</vt:lpstr>
      <vt:lpstr>'Quarterly Model'!FC_Balance_Q</vt:lpstr>
      <vt:lpstr>FC_DCF</vt:lpstr>
      <vt:lpstr>'Segment Detail'!FC_Revenue</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Linking_1</vt:lpstr>
      <vt:lpstr>Linking_10</vt:lpstr>
      <vt:lpstr>Linking_11</vt:lpstr>
      <vt:lpstr>Linking_12</vt:lpstr>
      <vt:lpstr>Linking_13</vt:lpstr>
      <vt:lpstr>Linking_14</vt:lpstr>
      <vt:lpstr>Linking_2</vt:lpstr>
      <vt:lpstr>Linking_25</vt:lpstr>
      <vt:lpstr>Linking_26</vt:lpstr>
      <vt:lpstr>Linking_3</vt:lpstr>
      <vt:lpstr>Linking_31</vt:lpstr>
      <vt:lpstr>Linking_32</vt:lpstr>
      <vt:lpstr>Linking_33</vt:lpstr>
      <vt:lpstr>Linking_4</vt:lpstr>
      <vt:lpstr>Linking_5</vt:lpstr>
      <vt:lpstr>'eBay Sensitivity'!Linking_56</vt:lpstr>
      <vt:lpstr>'eBay Sensitivity'!Linking_57</vt:lpstr>
      <vt:lpstr>Linking_6</vt:lpstr>
      <vt:lpstr>Linking_7</vt:lpstr>
      <vt:lpstr>Linking_8</vt:lpstr>
      <vt:lpstr>Linking_9</vt:lpstr>
      <vt:lpstr>Linking_Range_10</vt:lpstr>
      <vt:lpstr>Linking_Range_21</vt:lpstr>
      <vt:lpstr>Linking_Range_22</vt:lpstr>
      <vt:lpstr>Linking_Range_23</vt:lpstr>
      <vt:lpstr>Linking_Range_45</vt:lpstr>
      <vt:lpstr>Linking_Range_50</vt:lpstr>
      <vt:lpstr>Linking_Range_52</vt:lpstr>
      <vt:lpstr>Linking_Range_8</vt:lpstr>
      <vt:lpstr>IndexInformation!MacroVersion</vt:lpstr>
      <vt:lpstr>ImportantDisclosures!ModelPrice</vt:lpstr>
      <vt:lpstr>IndexInformation!Multiplier</vt:lpstr>
      <vt:lpstr>IndexInformation!NextYearEPS</vt:lpstr>
      <vt:lpstr>IndexInformation!NextYearTotalRevenue</vt:lpstr>
      <vt:lpstr>IndexInformation!NextYearTotalRevenueActual</vt:lpstr>
      <vt:lpstr>ObjectType</vt:lpstr>
      <vt:lpstr>'Quarterly Model'!PA_Balance_Q</vt:lpstr>
      <vt:lpstr>'Quarterly Model'!PA_Cash_Q</vt:lpstr>
      <vt:lpstr>PA_DCF</vt:lpstr>
      <vt:lpstr>'Quarterly Model'!PA_Income_Q</vt:lpstr>
      <vt:lpstr>'Segment Detail'!PA_Revenue</vt:lpstr>
      <vt:lpstr>ModPubIndex!PANA</vt:lpstr>
      <vt:lpstr>IndexInformation!PathName</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2017-11-14T15:14:19Z</dcterms:created>
  <dc:creator>Hussain, Danyal (Research)</dc:creator>
  <cp:lastModifiedBy>Teymouri, Ellie (COMPLIANCE)</cp:lastModifiedBy>
  <cp:lastPrinted>2018-04-26T04:10:42Z</cp:lastPrinted>
  <dcterms:modified xsi:type="dcterms:W3CDTF">2018-04-26T13:19:14Z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ERModPubTicket" pid="2">
    <vt:lpwstr>NA</vt:lpwstr>
  </property>
  <property fmtid="{D5CDD505-2E9C-101B-9397-08002B2CF9AE}" name="ERCompanyUploadState" pid="3">
    <vt:lpwstr>P</vt:lpwstr>
  </property>
  <property fmtid="{D5CDD505-2E9C-101B-9397-08002B2CF9AE}" name="ModelId" pid="4">
    <vt:lpwstr>764317</vt:lpwstr>
  </property>
  <property fmtid="{D5CDD505-2E9C-101B-9397-08002B2CF9AE}" name="ERModPubCompanyName" pid="5">
    <vt:lpwstr>PayPal Holdings, Inc.</vt:lpwstr>
  </property>
  <property fmtid="{D5CDD505-2E9C-101B-9397-08002B2CF9AE}" name="MSDH34TAG" pid="6">
    <vt:lpwstr>.TEZUF76X5TAHATHESADREYAK-00-INB160+*94600-06=4d0781e0/-4952/-11e8/-adef/-6a0a1ce82510,MD=20180426092007/-0400,ZZ=000Z-2596.</vt:lpwstr>
  </property>
</Properties>
</file>